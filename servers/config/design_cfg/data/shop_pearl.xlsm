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75EAE35-B4C5-4038-863E-B005876CBA83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5" r:id="rId2"/>
    <sheet name="VNL" sheetId="6" r:id="rId3"/>
    <sheet name="Google" sheetId="9" r:id="rId4"/>
  </sheets>
  <functionGroups builtInGroupCount="19"/>
  <calcPr calcId="179017"/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13" i="6"/>
  <c r="I5" i="6" l="1"/>
  <c r="I6" i="6"/>
  <c r="I7" i="6"/>
  <c r="I8" i="6"/>
  <c r="I9" i="6"/>
  <c r="I10" i="6"/>
  <c r="I11" i="6"/>
  <c r="I12" i="6"/>
  <c r="I13" i="6"/>
  <c r="I5" i="9" l="1"/>
  <c r="I6" i="9"/>
  <c r="K6" i="9" s="1"/>
  <c r="I7" i="9"/>
  <c r="K7" i="9" s="1"/>
  <c r="I8" i="9"/>
  <c r="I9" i="9"/>
  <c r="I10" i="9"/>
  <c r="K10" i="9" s="1"/>
  <c r="I11" i="9"/>
  <c r="K11" i="9" s="1"/>
  <c r="I12" i="9"/>
  <c r="I13" i="9"/>
  <c r="K13" i="9" s="1"/>
  <c r="I14" i="9"/>
  <c r="K14" i="9" s="1"/>
  <c r="K5" i="9"/>
  <c r="G5" i="9"/>
  <c r="G6" i="9"/>
  <c r="G7" i="9"/>
  <c r="G8" i="9"/>
  <c r="G9" i="9"/>
  <c r="G10" i="9"/>
  <c r="G11" i="9"/>
  <c r="G12" i="9"/>
  <c r="G13" i="9"/>
  <c r="G14" i="9"/>
  <c r="K12" i="9"/>
  <c r="K9" i="9"/>
  <c r="K8" i="9"/>
  <c r="K13" i="6" l="1"/>
  <c r="K12" i="6"/>
  <c r="K11" i="6"/>
  <c r="K10" i="6"/>
  <c r="K9" i="6"/>
  <c r="K8" i="6"/>
  <c r="K7" i="6"/>
  <c r="K6" i="6"/>
  <c r="K5" i="6"/>
  <c r="G8" i="5" l="1"/>
  <c r="G9" i="5"/>
  <c r="G10" i="5"/>
  <c r="G11" i="5"/>
  <c r="G12" i="5"/>
  <c r="G13" i="5"/>
  <c r="G14" i="5"/>
  <c r="G6" i="5"/>
  <c r="G7" i="5"/>
  <c r="G5" i="5"/>
  <c r="B66" i="1" l="1"/>
  <c r="I14" i="5" l="1"/>
  <c r="K14" i="5" s="1"/>
  <c r="I13" i="5"/>
  <c r="K13" i="5" s="1"/>
  <c r="I12" i="5"/>
  <c r="K12" i="5" s="1"/>
  <c r="I11" i="5"/>
  <c r="K11" i="5" s="1"/>
  <c r="I10" i="5"/>
  <c r="K10" i="5" s="1"/>
  <c r="I9" i="5"/>
  <c r="K9" i="5" s="1"/>
  <c r="I8" i="5"/>
  <c r="K8" i="5" s="1"/>
  <c r="I7" i="5"/>
  <c r="K7" i="5" s="1"/>
  <c r="I6" i="5"/>
  <c r="K6" i="5" s="1"/>
  <c r="I5" i="5"/>
  <c r="K5" i="5" s="1"/>
</calcChain>
</file>

<file path=xl/sharedStrings.xml><?xml version="1.0" encoding="utf-8"?>
<sst xmlns="http://schemas.openxmlformats.org/spreadsheetml/2006/main" count="336" uniqueCount="130">
  <si>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</si>
  <si>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</si>
  <si>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</si>
  <si>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</si>
  <si>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</si>
  <si>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</si>
  <si>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</si>
  <si>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</si>
  <si>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</si>
  <si>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</si>
  <si>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</si>
  <si>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</si>
  <si>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</si>
  <si>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</si>
  <si>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icon</t>
  </si>
  <si>
    <t>price</t>
  </si>
  <si>
    <t>item</t>
  </si>
  <si>
    <t>int</t>
  </si>
  <si>
    <t>table</t>
  </si>
  <si>
    <t>显示图标</t>
  </si>
  <si>
    <t>价格</t>
  </si>
  <si>
    <t>礼包内容</t>
  </si>
  <si>
    <t>小型礼包</t>
  </si>
  <si>
    <t>中型礼包</t>
  </si>
  <si>
    <t>大型礼包</t>
  </si>
  <si>
    <t>奢华礼包</t>
  </si>
  <si>
    <t>豪华礼包</t>
  </si>
  <si>
    <t>物品 key值</t>
  </si>
  <si>
    <t>zs6_1</t>
  </si>
  <si>
    <t>zs10_1</t>
  </si>
  <si>
    <t>zs18_1</t>
  </si>
  <si>
    <t>zs28_1</t>
  </si>
  <si>
    <t>zs48_1</t>
  </si>
  <si>
    <t>zs98_1</t>
  </si>
  <si>
    <t>zs168_1</t>
  </si>
  <si>
    <t>zs268_1</t>
  </si>
  <si>
    <t>zs468_1</t>
  </si>
  <si>
    <t>zs698_1</t>
  </si>
  <si>
    <t>普通月卡</t>
  </si>
  <si>
    <t>壕月卡</t>
  </si>
  <si>
    <t>一元翻盘基金</t>
  </si>
  <si>
    <t>十元翻盘基金</t>
  </si>
  <si>
    <t>int</t>
    <phoneticPr fontId="5" type="noConversion"/>
  </si>
  <si>
    <t>玩吧id</t>
    <phoneticPr fontId="5" type="noConversion"/>
  </si>
  <si>
    <t>玩吧idiOS</t>
    <phoneticPr fontId="5" type="noConversion"/>
  </si>
  <si>
    <t>iOS</t>
    <phoneticPr fontId="5" type="noConversion"/>
  </si>
  <si>
    <t>string</t>
    <phoneticPr fontId="5" type="noConversion"/>
  </si>
  <si>
    <t>com.fishjoy.product1</t>
    <phoneticPr fontId="5" type="noConversion"/>
  </si>
  <si>
    <t>com.fishjoy.product2</t>
  </si>
  <si>
    <t>com.fishjoy.product3</t>
  </si>
  <si>
    <t>com.fishjoy.product4</t>
  </si>
  <si>
    <t>com.fishjoy.product5</t>
  </si>
  <si>
    <t>gift_6</t>
    <phoneticPr fontId="5" type="noConversion"/>
  </si>
  <si>
    <t>gift_12</t>
    <phoneticPr fontId="5" type="noConversion"/>
  </si>
  <si>
    <t>gift_18</t>
    <phoneticPr fontId="5" type="noConversion"/>
  </si>
  <si>
    <t>gift_30</t>
    <phoneticPr fontId="5" type="noConversion"/>
  </si>
  <si>
    <t>gift_45</t>
    <phoneticPr fontId="5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</si>
  <si>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</si>
  <si>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</si>
  <si>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</si>
  <si>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</si>
  <si>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</si>
  <si>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</si>
  <si>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</si>
  <si>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</si>
  <si>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</si>
  <si>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</si>
  <si>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</si>
  <si>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</si>
  <si>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5" type="noConversion"/>
  </si>
  <si>
    <t>com.fishjoy.product6</t>
    <phoneticPr fontId="5" type="noConversion"/>
  </si>
  <si>
    <t>com.fishjoy.product7</t>
    <phoneticPr fontId="5" type="noConversion"/>
  </si>
  <si>
    <t>com.fishjoy.product8</t>
    <phoneticPr fontId="5" type="noConversion"/>
  </si>
  <si>
    <t>com.fishjoy.product9</t>
    <phoneticPr fontId="5" type="noConversion"/>
  </si>
  <si>
    <t>com.fishjoy.product10</t>
    <phoneticPr fontId="5" type="noConversion"/>
  </si>
  <si>
    <t>name</t>
    <phoneticPr fontId="5" type="noConversion"/>
  </si>
  <si>
    <t>名称</t>
    <phoneticPr fontId="5" type="noConversion"/>
  </si>
  <si>
    <t>buyCost</t>
  </si>
  <si>
    <t>购买消耗</t>
  </si>
  <si>
    <t>firstratio</t>
  </si>
  <si>
    <t>首次倍数</t>
  </si>
  <si>
    <t>平台计费ID通用</t>
    <phoneticPr fontId="5" type="noConversion"/>
  </si>
  <si>
    <t>r000:人民币</t>
    <phoneticPr fontId="5" type="noConversion"/>
  </si>
  <si>
    <t>r001:越南盾</t>
    <phoneticPr fontId="5" type="noConversion"/>
  </si>
  <si>
    <t>r002:美元</t>
    <phoneticPr fontId="5" type="noConversion"/>
  </si>
  <si>
    <t>funid</t>
    <phoneticPr fontId="7" type="noConversion"/>
  </si>
  <si>
    <t>funidiOS</t>
    <phoneticPr fontId="7" type="noConversion"/>
  </si>
  <si>
    <t>iOS</t>
    <phoneticPr fontId="7" type="noConversion"/>
  </si>
  <si>
    <t>icon</t>
    <phoneticPr fontId="7" type="noConversion"/>
  </si>
  <si>
    <t>price</t>
    <phoneticPr fontId="7" type="noConversion"/>
  </si>
  <si>
    <t>int</t>
    <phoneticPr fontId="7" type="noConversion"/>
  </si>
  <si>
    <t>string</t>
    <phoneticPr fontId="7" type="noConversion"/>
  </si>
  <si>
    <t>vietnam_vn</t>
  </si>
  <si>
    <t>productid</t>
    <phoneticPr fontId="7" type="noConversion"/>
  </si>
  <si>
    <t>buyCost</t>
    <phoneticPr fontId="7" type="noConversion"/>
  </si>
  <si>
    <t>firstratio</t>
    <phoneticPr fontId="5" type="noConversion"/>
  </si>
  <si>
    <t>table</t>
    <phoneticPr fontId="7" type="noConversion"/>
  </si>
  <si>
    <t>google</t>
  </si>
  <si>
    <t>coco,ios,wanba</t>
    <phoneticPr fontId="5" type="noConversion"/>
  </si>
  <si>
    <t>iOS或google</t>
    <phoneticPr fontId="5" type="noConversion"/>
  </si>
  <si>
    <t>所属游戏</t>
  </si>
  <si>
    <t>商品ID</t>
  </si>
  <si>
    <t>商品名称</t>
  </si>
  <si>
    <t>商品价格</t>
  </si>
  <si>
    <t>商品描述</t>
  </si>
  <si>
    <t xml:space="preserve"> </t>
  </si>
  <si>
    <t>捕捞季</t>
  </si>
  <si>
    <t>周卡</t>
  </si>
  <si>
    <t>450钻石</t>
  </si>
  <si>
    <t>180钻石</t>
  </si>
  <si>
    <t>8666666金币</t>
  </si>
  <si>
    <t>获得8666666金币</t>
  </si>
  <si>
    <t>3286666金币</t>
  </si>
  <si>
    <t>获得3286666金币</t>
  </si>
  <si>
    <t>2036666金币</t>
  </si>
  <si>
    <t>获得2036666金币</t>
  </si>
  <si>
    <t>1176666金币</t>
  </si>
  <si>
    <t>获得1176666金币</t>
  </si>
  <si>
    <t>806666金币</t>
  </si>
  <si>
    <t>获得806666金币</t>
  </si>
  <si>
    <t>526666金币</t>
  </si>
  <si>
    <t>获得526666金币</t>
  </si>
  <si>
    <t>326666金币</t>
  </si>
  <si>
    <t>获得326666金币</t>
  </si>
  <si>
    <t>206666金币</t>
  </si>
  <si>
    <t>获得206666金币</t>
  </si>
  <si>
    <t>136666金币</t>
  </si>
  <si>
    <t>获得136666金币</t>
  </si>
  <si>
    <t>66666金币</t>
  </si>
  <si>
    <t>获得66666金币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</si>
</sst>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>
      <alignment vertical="center"/>
    </xf>
    <xf numFmtId="0" fontId="2" fillId="0" borderId="0"/>
  </cellStyleXfs>
  <cellXfs count="33">
    <xf numFmtId="0" fontId="0" fillId="0" borderId="0" xfId="0"/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1" fillId="4" borderId="5" xfId="0" applyFont="1" applyFill="1" applyBorder="1" applyAlignment="1" applyProtection="1">
      <alignment horizontal="center"/>
    </xf>
    <xf numFmtId="0" fontId="0" fillId="0" borderId="6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7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5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 applyFill="1" applyAlignment="1"/>
    <xf numFmtId="0" fontId="4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6" borderId="6" xfId="1" applyNumberFormat="1" applyFont="1" applyFill="1" applyBorder="1" applyAlignment="1">
      <alignment horizontal="center" vertical="center"/>
    </xf>
    <xf numFmtId="0" fontId="4" fillId="7" borderId="0" xfId="1" applyFill="1" applyAlignment="1"/>
    <xf numFmtId="0" fontId="4" fillId="0" borderId="0" xfId="1" applyFill="1" applyAlignment="1"/>
    <xf numFmtId="0" fontId="3" fillId="8" borderId="0" xfId="0" applyFont="1" applyFill="1" applyAlignment="1">
      <alignment vertical="center" wrapText="1"/>
    </xf>
    <xf numFmtId="0" fontId="3" fillId="8" borderId="0" xfId="0" applyFont="1" applyFill="1" applyAlignment="1">
      <alignment vertical="center"/>
    </xf>
    <xf numFmtId="0" fontId="3" fillId="8" borderId="0" xfId="0" applyFont="1" applyFill="1" applyAlignment="1">
      <alignment horizontal="center" vertical="center"/>
    </xf>
    <xf numFmtId="49" fontId="6" fillId="5" borderId="1" xfId="1" applyNumberFormat="1" applyFont="1" applyFill="1" applyBorder="1" applyAlignment="1">
      <alignment horizontal="right"/>
    </xf>
    <xf numFmtId="49" fontId="6" fillId="5" borderId="1" xfId="1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vertical="center"/>
    </xf>
    <xf numFmtId="49" fontId="6" fillId="9" borderId="1" xfId="0" applyNumberFormat="1" applyFont="1" applyFill="1" applyBorder="1" applyAlignment="1">
      <alignment horizontal="right" vertical="center"/>
    </xf>
    <xf numFmtId="49" fontId="6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0" fontId="4" fillId="0" borderId="0" xfId="1" applyAlignment="1">
      <alignment horizontal="center"/>
    </xf>
    <xf numFmtId="0" fontId="4" fillId="0" borderId="0" xfId="1" applyNumberFormat="1" applyAlignment="1"/>
    <xf numFmtId="0" fontId="4" fillId="0" borderId="0" xfId="1" applyNumberFormat="1" applyAlignment="1">
      <alignment vertical="top" wrapText="1"/>
    </xf>
    <xf numFmtId="0" fontId="4" fillId="0" borderId="0" xfId="1" applyNumberFormat="1" applyAlignment="1">
      <alignment vertical="top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E69606-629F-4E41-AA36-AB8286F4FF89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333374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17B586F-B6E4-48CC-B189-8A48B77F74EB}"/>
            </a:ext>
          </a:extLst>
        </xdr:cNvPr>
        <xdr:cNvSpPr/>
      </xdr:nvSpPr>
      <xdr:spPr>
        <a:xfrm>
          <a:off x="0" y="0"/>
          <a:ext cx="333374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6663925-E7C1-4764-8CCD-341C2B9CE5E4}"/>
            </a:ext>
          </a:extLst>
        </xdr:cNvPr>
        <xdr:cNvSpPr/>
      </xdr:nvSpPr>
      <xdr:spPr>
        <a:xfrm>
          <a:off x="0" y="0"/>
          <a:ext cx="30480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4" displayName="表4" ref="A4:K14" totalsRowShown="0">
  <autoFilter ref="A4:K14" xr:uid="{00000000-0009-0000-0100-000004000000}"/>
  <tableColumns count="11">
    <tableColumn id="1" xr3:uid="{00000000-0010-0000-0300-000001000000}" name="物品 key值"/>
    <tableColumn id="6" xr3:uid="{00000000-0010-0000-0300-000006000000}" name="玩吧id" dataDxfId="19" dataCellStyle="常规 2"/>
    <tableColumn id="7" xr3:uid="{00000000-0010-0000-0300-000007000000}" name="玩吧idiOS" dataDxfId="18" dataCellStyle="常规 2"/>
    <tableColumn id="8" xr3:uid="{C42C6D6F-BC74-4044-A32A-1A1CB8434A28}" name="iOS或google" dataDxfId="17"/>
    <tableColumn id="11" xr3:uid="{D85039FD-1AC4-443D-BACF-55D387AA05BB}" name="平台计费ID通用" dataDxfId="16"/>
    <tableColumn id="2" xr3:uid="{00000000-0010-0000-0300-000002000000}" name="显示图标"/>
    <tableColumn id="10" xr3:uid="{94396EC9-3659-4C0B-873F-DAB17BD501F7}" name="购买消耗" dataDxfId="15">
      <calculatedColumnFormula>"[[""r000"","&amp;表4[[#This Row],[价格]]&amp;"]]"</calculatedColumnFormula>
    </tableColumn>
    <tableColumn id="3" xr3:uid="{00000000-0010-0000-0300-000003000000}" name="价格"/>
    <tableColumn id="4" xr3:uid="{00000000-0010-0000-0300-000004000000}" name="礼包内容">
      <calculatedColumnFormula>表4[[#This Row],[价格]]*10</calculatedColumnFormula>
    </tableColumn>
    <tableColumn id="9" xr3:uid="{12284822-FDFE-42CE-A0BA-9D1F92BFF36F}" name="首次倍数" dataDxfId="14"/>
    <tableColumn id="5" xr3:uid="{00000000-0010-0000-0300-000005000000}" name="名称">
      <calculatedColumnFormula>表4[[#This Row],[礼包内容]]&amp;"钻石"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D988E4-FCAB-48FB-AC00-A66B1898C740}" name="表4_2" displayName="表4_2" ref="A4:K13" totalsRowShown="0">
  <autoFilter ref="A4:K13" xr:uid="{00000000-0009-0000-0100-000004000000}"/>
  <tableColumns count="11">
    <tableColumn id="1" xr3:uid="{EB5B29DA-7AC0-40EE-9CB8-B0B4BB6ADA10}" name="物品 key值"/>
    <tableColumn id="6" xr3:uid="{35C9C388-6DD2-4744-87EE-9B3675477DCB}" name="玩吧id" dataDxfId="13" dataCellStyle="常规 2"/>
    <tableColumn id="7" xr3:uid="{959A1C21-AAE5-4A00-B4E2-A3886C2CF64B}" name="玩吧idiOS" dataDxfId="12" dataCellStyle="常规 2"/>
    <tableColumn id="8" xr3:uid="{0FCEA201-B58E-45A1-B322-F130AACF3B94}" name="iOS" dataDxfId="11"/>
    <tableColumn id="11" xr3:uid="{74265F44-38A2-4FA7-A468-8B502B2E51BA}" name="平台计费ID通用" dataDxfId="10"/>
    <tableColumn id="2" xr3:uid="{F76F1AF9-07EB-43BC-97FF-10E0527D2AEB}" name="显示图标"/>
    <tableColumn id="10" xr3:uid="{25BE51E7-5B08-4541-8FAD-D3FA4C9C4EA1}" name="购买消耗" dataDxfId="9">
      <calculatedColumnFormula>"[[""r001"","&amp;表4_2[[#This Row],[价格]]&amp;"]]"</calculatedColumnFormula>
    </tableColumn>
    <tableColumn id="3" xr3:uid="{211D0E88-0C31-43E7-B8BF-855B9FA517E5}" name="价格"/>
    <tableColumn id="4" xr3:uid="{2502470F-FFA9-41D9-8A1A-725A66B98AEC}" name="礼包内容" dataDxfId="8">
      <calculatedColumnFormula>表4_2[[#This Row],[价格]]*3/1000</calculatedColumnFormula>
    </tableColumn>
    <tableColumn id="9" xr3:uid="{4D15EE6E-18BE-4C19-995D-E804EED70C8B}" name="首次倍数" dataDxfId="7"/>
    <tableColumn id="5" xr3:uid="{68AC4DCE-7FCC-47B2-9247-DF5B51D5EB72}" name="名称">
      <calculatedColumnFormula>表4_2[[#This Row],[礼包内容]]&amp;"钻石"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F0746D-1A39-4F06-9EEE-0ACCC3C0F13A}" name="表4_43" displayName="表4_43" ref="A4:K14" totalsRowShown="0">
  <autoFilter ref="A4:K14" xr:uid="{00000000-0009-0000-0100-000004000000}"/>
  <tableColumns count="11">
    <tableColumn id="1" xr3:uid="{78496596-F018-45AC-8C37-C2E7CDAC8E94}" name="物品 key值"/>
    <tableColumn id="6" xr3:uid="{08FFB773-5F77-433F-84E7-A09BE23D7FD6}" name="玩吧id" dataDxfId="6" dataCellStyle="常规 2"/>
    <tableColumn id="7" xr3:uid="{186A8EF9-F0FE-4A1B-8760-EF7D0BFD3611}" name="玩吧idiOS" dataDxfId="5" dataCellStyle="常规 2"/>
    <tableColumn id="8" xr3:uid="{28F7FFA2-4BD6-4667-8B80-3A0E65A30A47}" name="iOS" dataDxfId="4"/>
    <tableColumn id="11" xr3:uid="{32421231-F417-40D0-9A02-2DA9F93608A8}" name="平台计费ID通用" dataDxfId="3"/>
    <tableColumn id="2" xr3:uid="{F9FD7953-5AA1-4A79-A8DA-DBBE5734E69B}" name="显示图标"/>
    <tableColumn id="10" xr3:uid="{D8A87ED4-4F9F-4298-9D13-BB0C1FF7D848}" name="购买消耗" dataDxfId="2">
      <calculatedColumnFormula>"[[""r002"","&amp;表4_43[[#This Row],[价格]]&amp;"]]"</calculatedColumnFormula>
    </tableColumn>
    <tableColumn id="3" xr3:uid="{897F973C-C772-47A2-A893-9DA102E70D67}" name="价格"/>
    <tableColumn id="4" xr3:uid="{3F3ECA6B-979E-4831-A831-37E59CC76C99}" name="礼包内容" dataDxfId="1">
      <calculatedColumnFormula>表4_43[[#This Row],[价格]]*10*6</calculatedColumnFormula>
    </tableColumn>
    <tableColumn id="9" xr3:uid="{58B0A9BC-06A3-4466-8293-AC05C74BF179}" name="首次倍数" dataDxfId="0"/>
    <tableColumn id="5" xr3:uid="{73BF3603-EEEA-4DE2-AFAD-FDC0744CAB2D}" name="名称">
      <calculatedColumnFormula>表4_43[[#This Row],[礼包内容]]&amp;"钻石"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70"/>
  <sheetViews>
    <sheetView workbookViewId="0">
      <selection activeCell="A6" sqref="A6:B23"/>
    </sheetView>
  </sheetViews>
  <sheetFormatPr defaultColWidth="9" defaultRowHeight="13.5" x14ac:dyDescent="0.15"/>
  <cols>
    <col min="1" max="1" width="39.5" style="13" customWidth="1"/>
    <col min="2" max="2" width="85.125" style="13" customWidth="1"/>
    <col min="3" max="4" width="9" style="13"/>
    <col min="5" max="5" width="9" style="13" customWidth="1"/>
    <col min="6" max="7" width="9" style="13"/>
    <col min="8" max="8" width="12.625" style="13" customWidth="1"/>
    <col min="9" max="16384" width="9" style="13"/>
  </cols>
  <sheetData>
    <row r="1" spans="1:15" ht="16.5" x14ac:dyDescent="0.3">
      <c r="A1" s="14" t="s">
        <v>0</v>
      </c>
      <c r="B1" s="13" t="s">
        <v>1</v>
      </c>
      <c r="F1" s="13">
        <v>6</v>
      </c>
      <c r="G1" s="13" t="s">
        <v>52</v>
      </c>
      <c r="I1" s="29">
        <v>17525</v>
      </c>
      <c r="J1" s="29"/>
      <c r="K1" s="29"/>
      <c r="L1" s="29"/>
      <c r="M1" s="29"/>
      <c r="N1" s="29"/>
      <c r="O1" s="29"/>
    </row>
    <row r="2" spans="1:15" ht="16.5" x14ac:dyDescent="0.15">
      <c r="A2" s="15" t="s">
        <v>2</v>
      </c>
      <c r="B2" s="13" t="s">
        <v>3</v>
      </c>
      <c r="F2" s="13">
        <v>12</v>
      </c>
      <c r="G2" s="13" t="s">
        <v>53</v>
      </c>
      <c r="I2" s="13" t="s">
        <v>100</v>
      </c>
      <c r="J2" s="13" t="s">
        <v>101</v>
      </c>
      <c r="K2" s="13" t="s">
        <v>102</v>
      </c>
      <c r="L2" s="13" t="s">
        <v>103</v>
      </c>
      <c r="M2" s="13" t="s">
        <v>104</v>
      </c>
    </row>
    <row r="3" spans="1:15" ht="16.5" x14ac:dyDescent="0.3">
      <c r="A3" s="16" t="s">
        <v>4</v>
      </c>
      <c r="B3" s="13" t="s">
        <v>5</v>
      </c>
      <c r="F3" s="13">
        <v>18</v>
      </c>
      <c r="G3" s="13" t="s">
        <v>54</v>
      </c>
      <c r="I3" s="13" t="s">
        <v>106</v>
      </c>
      <c r="K3" s="13">
        <v>3904</v>
      </c>
      <c r="L3" s="13" t="s">
        <v>25</v>
      </c>
      <c r="M3" s="13">
        <v>30</v>
      </c>
      <c r="O3" s="13" t="s">
        <v>25</v>
      </c>
    </row>
    <row r="4" spans="1:15" ht="16.5" x14ac:dyDescent="0.15">
      <c r="A4" s="17" t="s">
        <v>6</v>
      </c>
      <c r="B4" s="13" t="s">
        <v>7</v>
      </c>
      <c r="F4" s="13">
        <v>30</v>
      </c>
      <c r="G4" s="13" t="s">
        <v>55</v>
      </c>
      <c r="I4" s="13" t="s">
        <v>106</v>
      </c>
      <c r="K4" s="13">
        <v>3903</v>
      </c>
      <c r="L4" s="13" t="s">
        <v>24</v>
      </c>
      <c r="M4" s="13">
        <v>18</v>
      </c>
      <c r="O4" s="13" t="s">
        <v>24</v>
      </c>
    </row>
    <row r="5" spans="1:15" x14ac:dyDescent="0.15">
      <c r="F5" s="13">
        <v>45</v>
      </c>
      <c r="G5" s="13" t="s">
        <v>56</v>
      </c>
      <c r="I5" s="13" t="s">
        <v>106</v>
      </c>
      <c r="K5" s="13">
        <v>3902</v>
      </c>
      <c r="L5" s="13" t="s">
        <v>23</v>
      </c>
      <c r="M5" s="13">
        <v>12</v>
      </c>
      <c r="O5" s="13" t="s">
        <v>23</v>
      </c>
    </row>
    <row r="6" spans="1:15" x14ac:dyDescent="0.15">
      <c r="A6" s="31" t="s">
        <v>8</v>
      </c>
      <c r="B6" s="32"/>
      <c r="I6" s="13" t="s">
        <v>106</v>
      </c>
      <c r="K6" s="13">
        <v>3901</v>
      </c>
      <c r="L6" s="13" t="s">
        <v>22</v>
      </c>
      <c r="M6" s="13">
        <v>6</v>
      </c>
      <c r="O6" s="13" t="s">
        <v>22</v>
      </c>
    </row>
    <row r="7" spans="1:15" x14ac:dyDescent="0.15">
      <c r="A7" s="32"/>
      <c r="B7" s="32"/>
      <c r="I7" s="13" t="s">
        <v>106</v>
      </c>
      <c r="K7" s="13">
        <v>3900</v>
      </c>
      <c r="L7" s="13" t="s">
        <v>41</v>
      </c>
      <c r="M7" s="13">
        <v>10</v>
      </c>
      <c r="O7" s="13" t="s">
        <v>41</v>
      </c>
    </row>
    <row r="8" spans="1:15" x14ac:dyDescent="0.15">
      <c r="A8" s="32"/>
      <c r="B8" s="32"/>
      <c r="I8" s="13" t="s">
        <v>106</v>
      </c>
      <c r="K8" s="13">
        <v>3899</v>
      </c>
      <c r="L8" s="13" t="s">
        <v>40</v>
      </c>
      <c r="M8" s="13">
        <v>1</v>
      </c>
      <c r="O8" s="13" t="s">
        <v>40</v>
      </c>
    </row>
    <row r="9" spans="1:15" x14ac:dyDescent="0.15">
      <c r="A9" s="32"/>
      <c r="B9" s="32"/>
      <c r="I9" s="13" t="s">
        <v>106</v>
      </c>
      <c r="K9" s="13">
        <v>3898</v>
      </c>
      <c r="L9" s="13" t="s">
        <v>39</v>
      </c>
      <c r="M9" s="13">
        <v>120</v>
      </c>
      <c r="O9" s="13" t="s">
        <v>39</v>
      </c>
    </row>
    <row r="10" spans="1:15" x14ac:dyDescent="0.15">
      <c r="A10" s="32"/>
      <c r="B10" s="32"/>
      <c r="I10" s="13" t="s">
        <v>106</v>
      </c>
      <c r="K10" s="13">
        <v>3897</v>
      </c>
      <c r="L10" s="13" t="s">
        <v>38</v>
      </c>
      <c r="M10" s="13">
        <v>30</v>
      </c>
      <c r="O10" s="13" t="s">
        <v>38</v>
      </c>
    </row>
    <row r="11" spans="1:15" x14ac:dyDescent="0.15">
      <c r="A11" s="32"/>
      <c r="B11" s="32"/>
      <c r="I11" s="13" t="s">
        <v>106</v>
      </c>
      <c r="K11" s="13">
        <v>3896</v>
      </c>
      <c r="L11" s="13" t="s">
        <v>107</v>
      </c>
      <c r="M11" s="13">
        <v>6</v>
      </c>
      <c r="O11" s="13" t="s">
        <v>107</v>
      </c>
    </row>
    <row r="12" spans="1:15" x14ac:dyDescent="0.15">
      <c r="A12" s="32"/>
      <c r="B12" s="32"/>
      <c r="I12" s="13" t="s">
        <v>106</v>
      </c>
      <c r="K12" s="13">
        <v>3895</v>
      </c>
      <c r="L12" s="13" t="s">
        <v>67</v>
      </c>
      <c r="M12" s="13">
        <v>698</v>
      </c>
      <c r="O12" s="13" t="s">
        <v>67</v>
      </c>
    </row>
    <row r="13" spans="1:15" x14ac:dyDescent="0.15">
      <c r="A13" s="32"/>
      <c r="B13" s="32"/>
      <c r="I13" s="13" t="s">
        <v>106</v>
      </c>
      <c r="K13" s="13">
        <v>3894</v>
      </c>
      <c r="L13" s="13" t="s">
        <v>65</v>
      </c>
      <c r="M13" s="13">
        <v>268</v>
      </c>
      <c r="O13" s="13" t="s">
        <v>65</v>
      </c>
    </row>
    <row r="14" spans="1:15" x14ac:dyDescent="0.15">
      <c r="A14" s="32"/>
      <c r="B14" s="32"/>
      <c r="I14" s="13" t="s">
        <v>106</v>
      </c>
      <c r="K14" s="13">
        <v>3893</v>
      </c>
      <c r="L14" s="13" t="s">
        <v>64</v>
      </c>
      <c r="M14" s="13">
        <v>168</v>
      </c>
      <c r="O14" s="13" t="s">
        <v>64</v>
      </c>
    </row>
    <row r="15" spans="1:15" x14ac:dyDescent="0.15">
      <c r="A15" s="32"/>
      <c r="B15" s="32"/>
      <c r="I15" s="13" t="s">
        <v>106</v>
      </c>
      <c r="K15" s="13">
        <v>3892</v>
      </c>
      <c r="L15" s="13" t="s">
        <v>63</v>
      </c>
      <c r="M15" s="13">
        <v>98</v>
      </c>
      <c r="O15" s="13" t="s">
        <v>63</v>
      </c>
    </row>
    <row r="16" spans="1:15" x14ac:dyDescent="0.15">
      <c r="A16" s="32"/>
      <c r="B16" s="32"/>
      <c r="I16" s="13" t="s">
        <v>106</v>
      </c>
      <c r="K16" s="13">
        <v>3891</v>
      </c>
      <c r="L16" s="13" t="s">
        <v>62</v>
      </c>
      <c r="M16" s="13">
        <v>68</v>
      </c>
      <c r="O16" s="13" t="s">
        <v>62</v>
      </c>
    </row>
    <row r="17" spans="1:17" x14ac:dyDescent="0.15">
      <c r="A17" s="32"/>
      <c r="B17" s="32"/>
      <c r="I17" s="13" t="s">
        <v>106</v>
      </c>
      <c r="K17" s="13">
        <v>3890</v>
      </c>
      <c r="L17" s="13" t="s">
        <v>108</v>
      </c>
      <c r="M17" s="13">
        <v>45</v>
      </c>
      <c r="O17" s="13" t="s">
        <v>108</v>
      </c>
    </row>
    <row r="18" spans="1:17" x14ac:dyDescent="0.15">
      <c r="A18" s="32"/>
      <c r="B18" s="32"/>
      <c r="I18" s="13" t="s">
        <v>106</v>
      </c>
      <c r="K18" s="13">
        <v>3889</v>
      </c>
      <c r="L18" s="13" t="s">
        <v>60</v>
      </c>
      <c r="M18" s="13">
        <v>28</v>
      </c>
      <c r="O18" s="13" t="s">
        <v>60</v>
      </c>
    </row>
    <row r="19" spans="1:17" x14ac:dyDescent="0.15">
      <c r="A19" s="32"/>
      <c r="B19" s="32"/>
      <c r="I19" s="13" t="s">
        <v>106</v>
      </c>
      <c r="K19" s="13">
        <v>3888</v>
      </c>
      <c r="L19" s="13" t="s">
        <v>109</v>
      </c>
      <c r="M19" s="13">
        <v>18</v>
      </c>
      <c r="O19" s="13" t="s">
        <v>109</v>
      </c>
      <c r="Q19" s="13" t="s">
        <v>105</v>
      </c>
    </row>
    <row r="20" spans="1:17" x14ac:dyDescent="0.15">
      <c r="A20" s="32"/>
      <c r="B20" s="32"/>
      <c r="I20" s="13" t="s">
        <v>106</v>
      </c>
      <c r="K20" s="13">
        <v>3887</v>
      </c>
      <c r="L20" s="13" t="s">
        <v>58</v>
      </c>
      <c r="M20" s="13">
        <v>12</v>
      </c>
      <c r="O20" s="13" t="s">
        <v>58</v>
      </c>
      <c r="P20" s="13" t="s">
        <v>105</v>
      </c>
    </row>
    <row r="21" spans="1:17" x14ac:dyDescent="0.15">
      <c r="A21" s="32"/>
      <c r="B21" s="32"/>
      <c r="I21" s="13" t="s">
        <v>106</v>
      </c>
      <c r="K21" s="13">
        <v>3886</v>
      </c>
      <c r="L21" s="13" t="s">
        <v>57</v>
      </c>
      <c r="M21" s="13">
        <v>6</v>
      </c>
      <c r="O21" s="13" t="s">
        <v>57</v>
      </c>
    </row>
    <row r="22" spans="1:17" x14ac:dyDescent="0.15">
      <c r="A22" s="32"/>
      <c r="B22" s="32"/>
      <c r="I22" s="13" t="s">
        <v>106</v>
      </c>
      <c r="K22" s="13">
        <v>3885</v>
      </c>
      <c r="L22" s="13" t="s">
        <v>110</v>
      </c>
      <c r="M22" s="13">
        <v>698</v>
      </c>
      <c r="O22" s="13" t="s">
        <v>111</v>
      </c>
    </row>
    <row r="23" spans="1:17" x14ac:dyDescent="0.15">
      <c r="A23" s="32"/>
      <c r="B23" s="32"/>
      <c r="I23" s="13" t="s">
        <v>106</v>
      </c>
      <c r="K23" s="13">
        <v>3884</v>
      </c>
      <c r="L23" s="13" t="s">
        <v>112</v>
      </c>
      <c r="M23" s="13">
        <v>268</v>
      </c>
      <c r="O23" s="13" t="s">
        <v>113</v>
      </c>
    </row>
    <row r="24" spans="1:17" x14ac:dyDescent="0.15">
      <c r="A24" s="30" t="s">
        <v>9</v>
      </c>
      <c r="B24" s="30"/>
      <c r="I24" s="13" t="s">
        <v>106</v>
      </c>
      <c r="K24" s="13">
        <v>3883</v>
      </c>
      <c r="L24" s="13" t="s">
        <v>114</v>
      </c>
      <c r="M24" s="13">
        <v>168</v>
      </c>
      <c r="O24" s="13" t="s">
        <v>115</v>
      </c>
    </row>
    <row r="25" spans="1:17" x14ac:dyDescent="0.15">
      <c r="A25" s="30" t="s">
        <v>10</v>
      </c>
      <c r="B25" s="30"/>
      <c r="I25" s="13" t="s">
        <v>106</v>
      </c>
      <c r="K25" s="13">
        <v>3882</v>
      </c>
      <c r="L25" s="13" t="s">
        <v>116</v>
      </c>
      <c r="M25" s="13">
        <v>98</v>
      </c>
      <c r="O25" s="13" t="s">
        <v>117</v>
      </c>
    </row>
    <row r="26" spans="1:17" x14ac:dyDescent="0.15">
      <c r="A26" s="30" t="s">
        <v>11</v>
      </c>
      <c r="B26" s="30"/>
      <c r="I26" s="13" t="s">
        <v>106</v>
      </c>
      <c r="K26" s="13">
        <v>3881</v>
      </c>
      <c r="L26" s="13" t="s">
        <v>118</v>
      </c>
      <c r="M26" s="13">
        <v>68</v>
      </c>
      <c r="O26" s="13" t="s">
        <v>119</v>
      </c>
    </row>
    <row r="27" spans="1:17" x14ac:dyDescent="0.15">
      <c r="A27" s="30"/>
      <c r="B27" s="30"/>
      <c r="I27" s="13" t="s">
        <v>106</v>
      </c>
      <c r="K27" s="13">
        <v>3880</v>
      </c>
      <c r="L27" s="13" t="s">
        <v>120</v>
      </c>
      <c r="M27" s="13">
        <v>45</v>
      </c>
      <c r="O27" s="13" t="s">
        <v>121</v>
      </c>
    </row>
    <row r="28" spans="1:17" x14ac:dyDescent="0.15">
      <c r="A28" s="30"/>
      <c r="B28" s="30"/>
      <c r="C28" s="29" t="s">
        <v>69</v>
      </c>
      <c r="D28" s="29"/>
      <c r="E28" s="29"/>
      <c r="F28" s="29"/>
      <c r="I28" s="13" t="s">
        <v>106</v>
      </c>
      <c r="K28" s="13">
        <v>3879</v>
      </c>
      <c r="L28" s="13" t="s">
        <v>122</v>
      </c>
      <c r="M28" s="13">
        <v>28</v>
      </c>
      <c r="O28" s="13" t="s">
        <v>123</v>
      </c>
    </row>
    <row r="29" spans="1:17" x14ac:dyDescent="0.15">
      <c r="A29" s="30" t="s">
        <v>82</v>
      </c>
      <c r="B29" s="30"/>
      <c r="C29" s="13">
        <v>1</v>
      </c>
      <c r="D29" s="13">
        <v>60</v>
      </c>
      <c r="E29" s="13" t="s">
        <v>57</v>
      </c>
      <c r="F29" s="13">
        <v>9055</v>
      </c>
      <c r="I29" s="13" t="s">
        <v>106</v>
      </c>
      <c r="K29" s="13">
        <v>3878</v>
      </c>
      <c r="L29" s="13" t="s">
        <v>124</v>
      </c>
      <c r="M29" s="13">
        <v>18</v>
      </c>
      <c r="O29" s="13" t="s">
        <v>125</v>
      </c>
    </row>
    <row r="30" spans="1:17" x14ac:dyDescent="0.15">
      <c r="A30" s="30" t="s">
        <v>83</v>
      </c>
      <c r="B30" s="30"/>
      <c r="C30" s="13">
        <v>1</v>
      </c>
      <c r="D30" s="13">
        <v>120</v>
      </c>
      <c r="E30" s="13" t="s">
        <v>58</v>
      </c>
      <c r="F30" s="13">
        <v>9056</v>
      </c>
      <c r="I30" s="13" t="s">
        <v>106</v>
      </c>
      <c r="K30" s="13">
        <v>3877</v>
      </c>
      <c r="L30" s="13" t="s">
        <v>126</v>
      </c>
      <c r="M30" s="13">
        <v>12</v>
      </c>
      <c r="O30" s="13" t="s">
        <v>127</v>
      </c>
    </row>
    <row r="31" spans="1:17" x14ac:dyDescent="0.15">
      <c r="A31" s="30" t="s">
        <v>84</v>
      </c>
      <c r="B31" s="30"/>
      <c r="C31" s="13">
        <v>1</v>
      </c>
      <c r="D31" s="18">
        <v>190</v>
      </c>
      <c r="E31" s="13" t="s">
        <v>59</v>
      </c>
      <c r="F31" s="13">
        <v>9057</v>
      </c>
      <c r="I31" s="13" t="s">
        <v>106</v>
      </c>
      <c r="K31" s="13">
        <v>3876</v>
      </c>
      <c r="L31" s="13" t="s">
        <v>128</v>
      </c>
      <c r="M31" s="13">
        <v>6</v>
      </c>
      <c r="O31" s="13" t="s">
        <v>129</v>
      </c>
    </row>
    <row r="32" spans="1:17" x14ac:dyDescent="0.15">
      <c r="A32" s="30"/>
      <c r="B32" s="30"/>
      <c r="C32" s="13">
        <v>1</v>
      </c>
      <c r="D32" s="19">
        <v>280</v>
      </c>
      <c r="E32" s="13" t="s">
        <v>60</v>
      </c>
      <c r="F32" s="13">
        <v>9058</v>
      </c>
    </row>
    <row r="33" spans="1:6" x14ac:dyDescent="0.15">
      <c r="A33" s="30"/>
      <c r="B33" s="30"/>
      <c r="C33" s="13">
        <v>1</v>
      </c>
      <c r="D33" s="18">
        <v>480</v>
      </c>
      <c r="E33" s="13" t="s">
        <v>61</v>
      </c>
      <c r="F33" s="13">
        <v>9059</v>
      </c>
    </row>
    <row r="34" spans="1:6" x14ac:dyDescent="0.15">
      <c r="A34" s="30"/>
      <c r="B34" s="30"/>
      <c r="C34" s="13">
        <v>1</v>
      </c>
      <c r="D34" s="13">
        <v>680</v>
      </c>
      <c r="E34" s="13" t="s">
        <v>62</v>
      </c>
      <c r="F34" s="13">
        <v>9060</v>
      </c>
    </row>
    <row r="35" spans="1:6" x14ac:dyDescent="0.15">
      <c r="A35" s="30"/>
      <c r="B35" s="30"/>
      <c r="C35" s="13">
        <v>1</v>
      </c>
      <c r="D35" s="13">
        <v>980</v>
      </c>
      <c r="E35" s="13" t="s">
        <v>63</v>
      </c>
      <c r="F35" s="13">
        <v>9061</v>
      </c>
    </row>
    <row r="36" spans="1:6" x14ac:dyDescent="0.15">
      <c r="A36" s="30"/>
      <c r="B36" s="30"/>
      <c r="C36" s="13">
        <v>1</v>
      </c>
      <c r="D36" s="13">
        <v>1680</v>
      </c>
      <c r="E36" s="13" t="s">
        <v>64</v>
      </c>
      <c r="F36" s="13">
        <v>9062</v>
      </c>
    </row>
    <row r="37" spans="1:6" x14ac:dyDescent="0.15">
      <c r="A37" s="30"/>
      <c r="B37" s="30"/>
      <c r="C37" s="13">
        <v>1</v>
      </c>
      <c r="D37" s="13">
        <v>2680</v>
      </c>
      <c r="E37" s="13" t="s">
        <v>65</v>
      </c>
      <c r="F37" s="13">
        <v>9063</v>
      </c>
    </row>
    <row r="38" spans="1:6" x14ac:dyDescent="0.15">
      <c r="A38" s="30"/>
      <c r="B38" s="30"/>
      <c r="C38" s="13">
        <v>1</v>
      </c>
      <c r="D38" s="18">
        <v>4680</v>
      </c>
      <c r="E38" s="13" t="s">
        <v>66</v>
      </c>
      <c r="F38" s="13">
        <v>9064</v>
      </c>
    </row>
    <row r="39" spans="1:6" x14ac:dyDescent="0.15">
      <c r="A39" s="30"/>
      <c r="B39" s="30"/>
      <c r="C39" s="13">
        <v>1</v>
      </c>
      <c r="D39" s="13">
        <v>6980</v>
      </c>
      <c r="E39" s="13" t="s">
        <v>67</v>
      </c>
      <c r="F39" s="13">
        <v>9065</v>
      </c>
    </row>
    <row r="40" spans="1:6" x14ac:dyDescent="0.15">
      <c r="A40" s="30"/>
      <c r="B40" s="30"/>
      <c r="C40" s="13">
        <v>1</v>
      </c>
      <c r="D40" s="13">
        <v>9980</v>
      </c>
      <c r="E40" s="13" t="s">
        <v>68</v>
      </c>
      <c r="F40" s="13">
        <v>9066</v>
      </c>
    </row>
    <row r="41" spans="1:6" x14ac:dyDescent="0.15">
      <c r="A41" s="30"/>
      <c r="B41" s="30"/>
      <c r="C41" s="13">
        <v>1</v>
      </c>
      <c r="D41" s="13">
        <v>300</v>
      </c>
      <c r="E41" s="13" t="s">
        <v>38</v>
      </c>
      <c r="F41" s="13">
        <v>9067</v>
      </c>
    </row>
    <row r="42" spans="1:6" x14ac:dyDescent="0.15">
      <c r="A42" s="30"/>
      <c r="B42" s="30"/>
      <c r="C42" s="13">
        <v>1</v>
      </c>
      <c r="D42" s="13">
        <v>1200</v>
      </c>
      <c r="E42" s="13" t="s">
        <v>39</v>
      </c>
      <c r="F42" s="13">
        <v>9068</v>
      </c>
    </row>
    <row r="43" spans="1:6" x14ac:dyDescent="0.15">
      <c r="A43" s="30"/>
      <c r="B43" s="30"/>
      <c r="C43" s="13">
        <v>1</v>
      </c>
      <c r="D43" s="13">
        <v>10</v>
      </c>
      <c r="E43" s="13" t="s">
        <v>40</v>
      </c>
      <c r="F43" s="13">
        <v>9069</v>
      </c>
    </row>
    <row r="44" spans="1:6" x14ac:dyDescent="0.15">
      <c r="A44" s="30"/>
      <c r="B44" s="30"/>
      <c r="C44" s="13">
        <v>1</v>
      </c>
      <c r="D44" s="13">
        <v>100</v>
      </c>
      <c r="E44" s="13" t="s">
        <v>41</v>
      </c>
      <c r="F44" s="13">
        <v>9070</v>
      </c>
    </row>
    <row r="45" spans="1:6" x14ac:dyDescent="0.15">
      <c r="A45" s="30"/>
      <c r="B45" s="30"/>
      <c r="C45" s="13">
        <v>1</v>
      </c>
      <c r="D45" s="18">
        <v>90</v>
      </c>
      <c r="E45" s="13" t="s">
        <v>22</v>
      </c>
      <c r="F45" s="13">
        <v>9071</v>
      </c>
    </row>
    <row r="46" spans="1:6" x14ac:dyDescent="0.15">
      <c r="C46" s="13">
        <v>1</v>
      </c>
      <c r="D46" s="19">
        <v>180</v>
      </c>
      <c r="E46" s="13" t="s">
        <v>23</v>
      </c>
      <c r="F46" s="13">
        <v>9072</v>
      </c>
    </row>
    <row r="47" spans="1:6" x14ac:dyDescent="0.15">
      <c r="C47" s="13">
        <v>1</v>
      </c>
      <c r="D47" s="18">
        <v>270</v>
      </c>
      <c r="E47" s="13" t="s">
        <v>24</v>
      </c>
      <c r="F47" s="13">
        <v>9073</v>
      </c>
    </row>
    <row r="48" spans="1:6" x14ac:dyDescent="0.15">
      <c r="C48" s="13">
        <v>1</v>
      </c>
      <c r="D48" s="18">
        <v>360</v>
      </c>
      <c r="E48" s="13" t="s">
        <v>25</v>
      </c>
      <c r="F48" s="13">
        <v>9074</v>
      </c>
    </row>
    <row r="49" spans="3:6" x14ac:dyDescent="0.15">
      <c r="C49" s="13">
        <v>1</v>
      </c>
      <c r="D49" s="13">
        <v>450</v>
      </c>
      <c r="E49" s="13" t="s">
        <v>26</v>
      </c>
      <c r="F49" s="13">
        <v>9075</v>
      </c>
    </row>
    <row r="50" spans="3:6" x14ac:dyDescent="0.15">
      <c r="C50" s="13">
        <v>2</v>
      </c>
      <c r="D50" s="13">
        <v>60</v>
      </c>
      <c r="E50" s="13" t="s">
        <v>57</v>
      </c>
      <c r="F50" s="13">
        <v>9476</v>
      </c>
    </row>
    <row r="51" spans="3:6" x14ac:dyDescent="0.15">
      <c r="C51" s="13">
        <v>2</v>
      </c>
      <c r="D51" s="13">
        <v>120</v>
      </c>
      <c r="E51" s="13" t="s">
        <v>58</v>
      </c>
      <c r="F51" s="13">
        <v>9477</v>
      </c>
    </row>
    <row r="52" spans="3:6" x14ac:dyDescent="0.15">
      <c r="C52" s="13">
        <v>2</v>
      </c>
      <c r="D52" s="13">
        <v>190</v>
      </c>
      <c r="E52" s="13" t="s">
        <v>59</v>
      </c>
      <c r="F52" s="13">
        <v>9478</v>
      </c>
    </row>
    <row r="53" spans="3:6" x14ac:dyDescent="0.15">
      <c r="C53" s="13">
        <v>2</v>
      </c>
      <c r="D53" s="13">
        <v>280</v>
      </c>
      <c r="E53" s="13" t="s">
        <v>60</v>
      </c>
      <c r="F53" s="13">
        <v>9479</v>
      </c>
    </row>
    <row r="54" spans="3:6" x14ac:dyDescent="0.15">
      <c r="C54" s="13">
        <v>2</v>
      </c>
      <c r="D54" s="13">
        <v>480</v>
      </c>
      <c r="E54" s="13" t="s">
        <v>61</v>
      </c>
      <c r="F54" s="13">
        <v>9480</v>
      </c>
    </row>
    <row r="55" spans="3:6" x14ac:dyDescent="0.15">
      <c r="C55" s="13">
        <v>2</v>
      </c>
      <c r="D55" s="13">
        <v>680</v>
      </c>
      <c r="E55" s="13" t="s">
        <v>62</v>
      </c>
      <c r="F55" s="13">
        <v>9481</v>
      </c>
    </row>
    <row r="56" spans="3:6" x14ac:dyDescent="0.15">
      <c r="C56" s="13">
        <v>2</v>
      </c>
      <c r="D56" s="13">
        <v>980</v>
      </c>
      <c r="E56" s="13" t="s">
        <v>63</v>
      </c>
      <c r="F56" s="13">
        <v>9482</v>
      </c>
    </row>
    <row r="57" spans="3:6" x14ac:dyDescent="0.15">
      <c r="C57" s="13">
        <v>2</v>
      </c>
      <c r="D57" s="13">
        <v>1680</v>
      </c>
      <c r="E57" s="13" t="s">
        <v>64</v>
      </c>
      <c r="F57" s="13">
        <v>9483</v>
      </c>
    </row>
    <row r="58" spans="3:6" x14ac:dyDescent="0.15">
      <c r="C58" s="13">
        <v>2</v>
      </c>
      <c r="D58" s="13">
        <v>2680</v>
      </c>
      <c r="E58" s="13" t="s">
        <v>65</v>
      </c>
      <c r="F58" s="13">
        <v>9484</v>
      </c>
    </row>
    <row r="59" spans="3:6" x14ac:dyDescent="0.15">
      <c r="C59" s="13">
        <v>2</v>
      </c>
      <c r="D59" s="13">
        <v>4680</v>
      </c>
      <c r="E59" s="13" t="s">
        <v>66</v>
      </c>
      <c r="F59" s="13">
        <v>9485</v>
      </c>
    </row>
    <row r="60" spans="3:6" x14ac:dyDescent="0.15">
      <c r="C60" s="13">
        <v>2</v>
      </c>
      <c r="D60" s="13">
        <v>6980</v>
      </c>
      <c r="E60" s="13" t="s">
        <v>67</v>
      </c>
      <c r="F60" s="13">
        <v>9486</v>
      </c>
    </row>
    <row r="61" spans="3:6" x14ac:dyDescent="0.15">
      <c r="C61" s="13">
        <v>2</v>
      </c>
      <c r="D61" s="13">
        <v>9980</v>
      </c>
      <c r="E61" s="13" t="s">
        <v>68</v>
      </c>
      <c r="F61" s="13">
        <v>9487</v>
      </c>
    </row>
    <row r="62" spans="3:6" x14ac:dyDescent="0.15">
      <c r="C62" s="13">
        <v>2</v>
      </c>
      <c r="D62" s="13">
        <v>300</v>
      </c>
      <c r="E62" s="13" t="s">
        <v>38</v>
      </c>
      <c r="F62" s="13">
        <v>9488</v>
      </c>
    </row>
    <row r="63" spans="3:6" x14ac:dyDescent="0.15">
      <c r="C63" s="13">
        <v>2</v>
      </c>
      <c r="D63" s="13">
        <v>1200</v>
      </c>
      <c r="E63" s="13" t="s">
        <v>39</v>
      </c>
      <c r="F63" s="13">
        <v>9489</v>
      </c>
    </row>
    <row r="64" spans="3:6" x14ac:dyDescent="0.15">
      <c r="C64" s="13">
        <v>2</v>
      </c>
      <c r="D64" s="13">
        <v>10</v>
      </c>
      <c r="E64" s="13" t="s">
        <v>40</v>
      </c>
      <c r="F64" s="13">
        <v>9490</v>
      </c>
    </row>
    <row r="65" spans="2:6" x14ac:dyDescent="0.15">
      <c r="C65" s="13">
        <v>2</v>
      </c>
      <c r="D65" s="13">
        <v>100</v>
      </c>
      <c r="E65" s="13" t="s">
        <v>41</v>
      </c>
      <c r="F65" s="13">
        <v>9491</v>
      </c>
    </row>
    <row r="66" spans="2:6" x14ac:dyDescent="0.15">
      <c r="B66" s="13">
        <f>83/117600*12</f>
        <v>8.4693877551020418E-3</v>
      </c>
      <c r="C66" s="13">
        <v>2</v>
      </c>
      <c r="D66" s="13">
        <v>90</v>
      </c>
      <c r="E66" s="13" t="s">
        <v>22</v>
      </c>
      <c r="F66" s="13">
        <v>9492</v>
      </c>
    </row>
    <row r="67" spans="2:6" x14ac:dyDescent="0.15">
      <c r="C67" s="13">
        <v>2</v>
      </c>
      <c r="D67" s="13">
        <v>180</v>
      </c>
      <c r="E67" s="13" t="s">
        <v>23</v>
      </c>
      <c r="F67" s="13">
        <v>9493</v>
      </c>
    </row>
    <row r="68" spans="2:6" x14ac:dyDescent="0.15">
      <c r="C68" s="13">
        <v>2</v>
      </c>
      <c r="D68" s="13">
        <v>270</v>
      </c>
      <c r="E68" s="13" t="s">
        <v>24</v>
      </c>
      <c r="F68" s="13">
        <v>9494</v>
      </c>
    </row>
    <row r="69" spans="2:6" x14ac:dyDescent="0.15">
      <c r="C69" s="13">
        <v>2</v>
      </c>
      <c r="D69" s="13">
        <v>360</v>
      </c>
      <c r="E69" s="13" t="s">
        <v>25</v>
      </c>
      <c r="F69" s="13">
        <v>9495</v>
      </c>
    </row>
    <row r="70" spans="2:6" x14ac:dyDescent="0.15">
      <c r="C70" s="13">
        <v>2</v>
      </c>
      <c r="D70" s="13">
        <v>450</v>
      </c>
      <c r="E70" s="13" t="s">
        <v>26</v>
      </c>
      <c r="F70" s="13">
        <v>9496</v>
      </c>
    </row>
  </sheetData>
  <mergeCells count="25">
    <mergeCell ref="I1:O1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14"/>
  <sheetViews>
    <sheetView tabSelected="1" workbookViewId="0">
      <selection activeCell="G10" sqref="G10"/>
    </sheetView>
  </sheetViews>
  <sheetFormatPr defaultColWidth="9" defaultRowHeight="13.5" x14ac:dyDescent="0.15"/>
  <cols>
    <col min="1" max="1" width="15.375" bestFit="1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8" s="21" customFormat="1" ht="12" customHeight="1" x14ac:dyDescent="0.15">
      <c r="A1" s="20"/>
      <c r="B1" s="21" t="s">
        <v>98</v>
      </c>
      <c r="C1" s="20"/>
      <c r="Y1" s="22"/>
    </row>
    <row r="2" spans="1:28" s="25" customFormat="1" ht="12" customHeight="1" x14ac:dyDescent="0.15">
      <c r="A2" s="23" t="s">
        <v>13</v>
      </c>
      <c r="B2" s="24" t="s">
        <v>85</v>
      </c>
      <c r="C2" s="24" t="s">
        <v>86</v>
      </c>
      <c r="D2" s="24" t="s">
        <v>87</v>
      </c>
      <c r="E2" s="24" t="s">
        <v>93</v>
      </c>
      <c r="F2" s="24" t="s">
        <v>88</v>
      </c>
      <c r="G2" s="24" t="s">
        <v>77</v>
      </c>
      <c r="H2" s="24" t="s">
        <v>89</v>
      </c>
      <c r="I2" s="24" t="s">
        <v>16</v>
      </c>
      <c r="J2" s="24" t="s">
        <v>79</v>
      </c>
      <c r="K2" s="24" t="s">
        <v>75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3" spans="1:28" s="28" customFormat="1" ht="12" customHeight="1" x14ac:dyDescent="0.15">
      <c r="A3" s="26" t="s">
        <v>42</v>
      </c>
      <c r="B3" s="27" t="s">
        <v>90</v>
      </c>
      <c r="C3" s="27" t="s">
        <v>42</v>
      </c>
      <c r="D3" s="27" t="s">
        <v>91</v>
      </c>
      <c r="E3" s="27" t="s">
        <v>91</v>
      </c>
      <c r="F3" s="27" t="s">
        <v>91</v>
      </c>
      <c r="G3" s="27" t="s">
        <v>18</v>
      </c>
      <c r="H3" s="27" t="s">
        <v>90</v>
      </c>
      <c r="I3" s="27" t="s">
        <v>17</v>
      </c>
      <c r="J3" s="27" t="s">
        <v>17</v>
      </c>
      <c r="K3" s="27" t="s">
        <v>46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</row>
    <row r="4" spans="1:28" ht="16.5" x14ac:dyDescent="0.3">
      <c r="A4" s="1" t="s">
        <v>27</v>
      </c>
      <c r="B4" s="1" t="s">
        <v>43</v>
      </c>
      <c r="C4" s="1" t="s">
        <v>44</v>
      </c>
      <c r="D4" s="1" t="s">
        <v>99</v>
      </c>
      <c r="E4" t="s">
        <v>81</v>
      </c>
      <c r="F4" s="2" t="s">
        <v>19</v>
      </c>
      <c r="G4" s="2" t="s">
        <v>78</v>
      </c>
      <c r="H4" s="2" t="s">
        <v>20</v>
      </c>
      <c r="I4" s="3" t="s">
        <v>21</v>
      </c>
      <c r="J4" t="s">
        <v>80</v>
      </c>
      <c r="K4" s="11" t="s">
        <v>76</v>
      </c>
    </row>
    <row r="5" spans="1:28" x14ac:dyDescent="0.15">
      <c r="A5" s="4">
        <v>1</v>
      </c>
      <c r="B5" s="13">
        <v>9055</v>
      </c>
      <c r="C5" s="13">
        <v>9476</v>
      </c>
      <c r="D5" s="12" t="s">
        <v>47</v>
      </c>
      <c r="E5" s="12">
        <v>3886</v>
      </c>
      <c r="F5" s="5" t="s">
        <v>28</v>
      </c>
      <c r="G5" s="5" t="str">
        <f>"[[""r000"","&amp;表4[[#This Row],[价格]]&amp;"]]"</f>
        <v>[["r000",6]]</v>
      </c>
      <c r="H5" s="5">
        <v>6</v>
      </c>
      <c r="I5" s="6">
        <f>表4[[#This Row],[价格]]*10</f>
        <v>60</v>
      </c>
      <c r="J5">
        <v>2</v>
      </c>
      <c r="K5" t="str">
        <f>表4[[#This Row],[礼包内容]]&amp;"钻石"</f>
        <v>60钻石</v>
      </c>
    </row>
    <row r="6" spans="1:28" x14ac:dyDescent="0.15">
      <c r="A6" s="4">
        <v>2</v>
      </c>
      <c r="B6" s="13">
        <v>9056</v>
      </c>
      <c r="C6" s="13">
        <v>9477</v>
      </c>
      <c r="D6" s="12" t="s">
        <v>48</v>
      </c>
      <c r="E6" s="12">
        <v>3887</v>
      </c>
      <c r="F6" s="5" t="s">
        <v>29</v>
      </c>
      <c r="G6" s="5" t="str">
        <f>"[[""r000"","&amp;表4[[#This Row],[价格]]&amp;"]]"</f>
        <v>[["r000",12]]</v>
      </c>
      <c r="H6" s="5">
        <v>12</v>
      </c>
      <c r="I6" s="6">
        <f>表4[[#This Row],[价格]]*10</f>
        <v>120</v>
      </c>
      <c r="J6">
        <v>2</v>
      </c>
      <c r="K6" t="str">
        <f>表4[[#This Row],[礼包内容]]&amp;"钻石"</f>
        <v>120钻石</v>
      </c>
    </row>
    <row r="7" spans="1:28" x14ac:dyDescent="0.15">
      <c r="A7" s="4">
        <v>3</v>
      </c>
      <c r="B7" s="13">
        <v>9072</v>
      </c>
      <c r="C7" s="13">
        <v>9493</v>
      </c>
      <c r="D7" s="12" t="s">
        <v>49</v>
      </c>
      <c r="E7" s="12">
        <v>3888</v>
      </c>
      <c r="F7" s="7" t="s">
        <v>30</v>
      </c>
      <c r="G7" s="5" t="str">
        <f>"[[""r000"","&amp;表4[[#This Row],[价格]]&amp;"]]"</f>
        <v>[["r000",18]]</v>
      </c>
      <c r="H7" s="5">
        <v>18</v>
      </c>
      <c r="I7" s="6">
        <f>表4[[#This Row],[价格]]*10</f>
        <v>180</v>
      </c>
      <c r="J7">
        <v>2</v>
      </c>
      <c r="K7" t="str">
        <f>表4[[#This Row],[礼包内容]]&amp;"钻石"</f>
        <v>180钻石</v>
      </c>
    </row>
    <row r="8" spans="1:28" x14ac:dyDescent="0.15">
      <c r="A8" s="4">
        <v>4</v>
      </c>
      <c r="B8" s="13">
        <v>9058</v>
      </c>
      <c r="C8" s="13">
        <v>9479</v>
      </c>
      <c r="D8" s="12" t="s">
        <v>50</v>
      </c>
      <c r="E8" s="12">
        <v>3889</v>
      </c>
      <c r="F8" s="5" t="s">
        <v>31</v>
      </c>
      <c r="G8" s="5" t="str">
        <f>"[[""r000"","&amp;表4[[#This Row],[价格]]&amp;"]]"</f>
        <v>[["r000",28]]</v>
      </c>
      <c r="H8" s="5">
        <v>28</v>
      </c>
      <c r="I8" s="6">
        <f>表4[[#This Row],[价格]]*10</f>
        <v>280</v>
      </c>
      <c r="J8">
        <v>2</v>
      </c>
      <c r="K8" t="str">
        <f>表4[[#This Row],[礼包内容]]&amp;"钻石"</f>
        <v>280钻石</v>
      </c>
    </row>
    <row r="9" spans="1:28" x14ac:dyDescent="0.15">
      <c r="A9" s="8">
        <v>5</v>
      </c>
      <c r="B9" s="13">
        <v>9075</v>
      </c>
      <c r="C9" s="13">
        <v>9496</v>
      </c>
      <c r="D9" s="12" t="s">
        <v>51</v>
      </c>
      <c r="E9" s="12">
        <v>3890</v>
      </c>
      <c r="F9" s="9" t="s">
        <v>32</v>
      </c>
      <c r="G9" s="5" t="str">
        <f>"[[""r000"","&amp;表4[[#This Row],[价格]]&amp;"]]"</f>
        <v>[["r000",45]]</v>
      </c>
      <c r="H9" s="9">
        <v>45</v>
      </c>
      <c r="I9" s="6">
        <f>表4[[#This Row],[价格]]*10</f>
        <v>450</v>
      </c>
      <c r="J9">
        <v>2</v>
      </c>
      <c r="K9" t="str">
        <f>表4[[#This Row],[礼包内容]]&amp;"钻石"</f>
        <v>450钻石</v>
      </c>
    </row>
    <row r="10" spans="1:28" x14ac:dyDescent="0.15">
      <c r="A10" s="8">
        <v>7</v>
      </c>
      <c r="B10" s="13">
        <v>9060</v>
      </c>
      <c r="C10" s="13">
        <v>9481</v>
      </c>
      <c r="D10" s="12" t="s">
        <v>70</v>
      </c>
      <c r="E10" s="12">
        <v>3891</v>
      </c>
      <c r="F10" s="10" t="s">
        <v>33</v>
      </c>
      <c r="G10" s="5" t="str">
        <f>"[[""r000"","&amp;表4[[#This Row],[价格]]&amp;"]]"</f>
        <v>[["r000",68]]</v>
      </c>
      <c r="H10" s="10">
        <v>68</v>
      </c>
      <c r="I10" s="6">
        <f>表4[[#This Row],[价格]]*10</f>
        <v>680</v>
      </c>
      <c r="J10">
        <v>2</v>
      </c>
      <c r="K10" t="str">
        <f>表4[[#This Row],[礼包内容]]&amp;"钻石"</f>
        <v>680钻石</v>
      </c>
    </row>
    <row r="11" spans="1:28" x14ac:dyDescent="0.15">
      <c r="A11" s="4">
        <v>8</v>
      </c>
      <c r="B11" s="13">
        <v>9061</v>
      </c>
      <c r="C11" s="13">
        <v>9482</v>
      </c>
      <c r="D11" s="12" t="s">
        <v>71</v>
      </c>
      <c r="E11" s="12">
        <v>3892</v>
      </c>
      <c r="F11" s="10" t="s">
        <v>34</v>
      </c>
      <c r="G11" s="5" t="str">
        <f>"[[""r000"","&amp;表4[[#This Row],[价格]]&amp;"]]"</f>
        <v>[["r000",98]]</v>
      </c>
      <c r="H11" s="10">
        <v>98</v>
      </c>
      <c r="I11" s="6">
        <f>表4[[#This Row],[价格]]*10</f>
        <v>980</v>
      </c>
      <c r="J11">
        <v>2</v>
      </c>
      <c r="K11" t="str">
        <f>表4[[#This Row],[礼包内容]]&amp;"钻石"</f>
        <v>980钻石</v>
      </c>
    </row>
    <row r="12" spans="1:28" x14ac:dyDescent="0.15">
      <c r="A12" s="8">
        <v>9</v>
      </c>
      <c r="B12" s="13">
        <v>9062</v>
      </c>
      <c r="C12" s="13">
        <v>9483</v>
      </c>
      <c r="D12" s="12" t="s">
        <v>72</v>
      </c>
      <c r="E12" s="12">
        <v>3893</v>
      </c>
      <c r="F12" s="10" t="s">
        <v>35</v>
      </c>
      <c r="G12" s="5" t="str">
        <f>"[[""r000"","&amp;表4[[#This Row],[价格]]&amp;"]]"</f>
        <v>[["r000",168]]</v>
      </c>
      <c r="H12" s="10">
        <v>168</v>
      </c>
      <c r="I12" s="6">
        <f>表4[[#This Row],[价格]]*10</f>
        <v>1680</v>
      </c>
      <c r="J12">
        <v>2</v>
      </c>
      <c r="K12" t="str">
        <f>表4[[#This Row],[礼包内容]]&amp;"钻石"</f>
        <v>1680钻石</v>
      </c>
    </row>
    <row r="13" spans="1:28" x14ac:dyDescent="0.15">
      <c r="A13" s="4">
        <v>10</v>
      </c>
      <c r="B13" s="13">
        <v>9063</v>
      </c>
      <c r="C13" s="13">
        <v>9484</v>
      </c>
      <c r="D13" s="12" t="s">
        <v>73</v>
      </c>
      <c r="E13" s="12">
        <v>3894</v>
      </c>
      <c r="F13" s="10" t="s">
        <v>36</v>
      </c>
      <c r="G13" s="5" t="str">
        <f>"[[""r000"","&amp;表4[[#This Row],[价格]]&amp;"]]"</f>
        <v>[["r000",268]]</v>
      </c>
      <c r="H13" s="10">
        <v>268</v>
      </c>
      <c r="I13" s="6">
        <f>表4[[#This Row],[价格]]*10</f>
        <v>2680</v>
      </c>
      <c r="J13">
        <v>2</v>
      </c>
      <c r="K13" t="str">
        <f>表4[[#This Row],[礼包内容]]&amp;"钻石"</f>
        <v>2680钻石</v>
      </c>
    </row>
    <row r="14" spans="1:28" x14ac:dyDescent="0.15">
      <c r="A14" s="8">
        <v>11</v>
      </c>
      <c r="B14" s="13">
        <v>9065</v>
      </c>
      <c r="C14" s="13">
        <v>9486</v>
      </c>
      <c r="D14" s="12" t="s">
        <v>74</v>
      </c>
      <c r="E14" s="12">
        <v>3895</v>
      </c>
      <c r="F14" s="10" t="s">
        <v>37</v>
      </c>
      <c r="G14" s="5" t="str">
        <f>"[[""r000"","&amp;表4[[#This Row],[价格]]&amp;"]]"</f>
        <v>[["r000",698]]</v>
      </c>
      <c r="H14" s="10">
        <v>698</v>
      </c>
      <c r="I14" s="6">
        <f>表4[[#This Row],[价格]]*10</f>
        <v>6980</v>
      </c>
      <c r="J14">
        <v>2</v>
      </c>
      <c r="K14" t="str">
        <f>表4[[#This Row],[礼包内容]]&amp;"钻石"</f>
        <v>6980钻石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AA8A9BC0-BC74-4ECC-83B7-BA455537269C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950D2-F37A-417C-BD7E-DD4CAEA9CAFA}">
  <sheetPr codeName="Sheet6"/>
  <dimension ref="A1:AB14"/>
  <sheetViews>
    <sheetView workbookViewId="0">
      <selection activeCell="E14" sqref="E14"/>
    </sheetView>
  </sheetViews>
  <sheetFormatPr defaultColWidth="9" defaultRowHeight="13.5" x14ac:dyDescent="0.15"/>
  <cols>
    <col min="1" max="1" width="15.375" bestFit="1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8" s="21" customFormat="1" ht="12" customHeight="1" x14ac:dyDescent="0.15">
      <c r="A1" s="20"/>
      <c r="B1" s="21" t="s">
        <v>92</v>
      </c>
      <c r="C1" s="20"/>
      <c r="Y1" s="22"/>
    </row>
    <row r="2" spans="1:28" s="25" customFormat="1" ht="12" customHeight="1" x14ac:dyDescent="0.15">
      <c r="A2" s="23" t="s">
        <v>13</v>
      </c>
      <c r="B2" s="24" t="s">
        <v>85</v>
      </c>
      <c r="C2" s="24" t="s">
        <v>86</v>
      </c>
      <c r="D2" s="24" t="s">
        <v>87</v>
      </c>
      <c r="E2" s="24" t="s">
        <v>93</v>
      </c>
      <c r="F2" s="24" t="s">
        <v>88</v>
      </c>
      <c r="G2" s="24" t="s">
        <v>77</v>
      </c>
      <c r="H2" s="24" t="s">
        <v>89</v>
      </c>
      <c r="I2" s="24" t="s">
        <v>16</v>
      </c>
      <c r="J2" s="24" t="s">
        <v>79</v>
      </c>
      <c r="K2" s="24" t="s">
        <v>75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3" spans="1:28" s="28" customFormat="1" ht="12" customHeight="1" x14ac:dyDescent="0.15">
      <c r="A3" s="26" t="s">
        <v>42</v>
      </c>
      <c r="B3" s="27" t="s">
        <v>90</v>
      </c>
      <c r="C3" s="27" t="s">
        <v>42</v>
      </c>
      <c r="D3" s="27" t="s">
        <v>91</v>
      </c>
      <c r="E3" s="27" t="s">
        <v>91</v>
      </c>
      <c r="F3" s="27" t="s">
        <v>91</v>
      </c>
      <c r="G3" s="27" t="s">
        <v>18</v>
      </c>
      <c r="H3" s="27" t="s">
        <v>90</v>
      </c>
      <c r="I3" s="27" t="s">
        <v>17</v>
      </c>
      <c r="J3" s="27" t="s">
        <v>17</v>
      </c>
      <c r="K3" s="27" t="s">
        <v>46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</row>
    <row r="4" spans="1:28" ht="16.5" x14ac:dyDescent="0.3">
      <c r="A4" s="1" t="s">
        <v>27</v>
      </c>
      <c r="B4" s="1" t="s">
        <v>43</v>
      </c>
      <c r="C4" s="1" t="s">
        <v>44</v>
      </c>
      <c r="D4" s="1" t="s">
        <v>45</v>
      </c>
      <c r="E4" t="s">
        <v>81</v>
      </c>
      <c r="F4" s="2" t="s">
        <v>19</v>
      </c>
      <c r="G4" s="2" t="s">
        <v>78</v>
      </c>
      <c r="H4" s="2" t="s">
        <v>20</v>
      </c>
      <c r="I4" s="3" t="s">
        <v>21</v>
      </c>
      <c r="J4" t="s">
        <v>80</v>
      </c>
      <c r="K4" s="11" t="s">
        <v>76</v>
      </c>
    </row>
    <row r="5" spans="1:28" x14ac:dyDescent="0.15">
      <c r="A5" s="4">
        <v>1</v>
      </c>
      <c r="B5" s="13">
        <v>9055</v>
      </c>
      <c r="C5" s="13">
        <v>9476</v>
      </c>
      <c r="D5" s="12" t="s">
        <v>47</v>
      </c>
      <c r="E5" s="12" t="s">
        <v>47</v>
      </c>
      <c r="F5" s="5" t="s">
        <v>28</v>
      </c>
      <c r="G5" s="5" t="str">
        <f>"[[""r001"","&amp;表4_2[[#This Row],[价格]]&amp;"]]"</f>
        <v>[["r001",10000]]</v>
      </c>
      <c r="H5" s="5">
        <v>10000</v>
      </c>
      <c r="I5" s="6">
        <f>表4_2[[#This Row],[价格]]*3/1000</f>
        <v>30</v>
      </c>
      <c r="J5">
        <v>1</v>
      </c>
      <c r="K5" t="str">
        <f>表4_2[[#This Row],[礼包内容]]&amp;"钻石"</f>
        <v>30钻石</v>
      </c>
    </row>
    <row r="6" spans="1:28" x14ac:dyDescent="0.15">
      <c r="A6" s="4">
        <v>2</v>
      </c>
      <c r="B6" s="13">
        <v>9056</v>
      </c>
      <c r="C6" s="13">
        <v>9477</v>
      </c>
      <c r="D6" s="12" t="s">
        <v>48</v>
      </c>
      <c r="E6" s="12" t="s">
        <v>48</v>
      </c>
      <c r="F6" s="5" t="s">
        <v>29</v>
      </c>
      <c r="G6" s="5" t="str">
        <f>"[[""r001"","&amp;表4_2[[#This Row],[价格]]&amp;"]]"</f>
        <v>[["r001",20000]]</v>
      </c>
      <c r="H6" s="5">
        <v>20000</v>
      </c>
      <c r="I6" s="6">
        <f>表4_2[[#This Row],[价格]]*3/1000</f>
        <v>60</v>
      </c>
      <c r="J6">
        <v>1</v>
      </c>
      <c r="K6" t="str">
        <f>表4_2[[#This Row],[礼包内容]]&amp;"钻石"</f>
        <v>60钻石</v>
      </c>
    </row>
    <row r="7" spans="1:28" x14ac:dyDescent="0.15">
      <c r="A7" s="4">
        <v>3</v>
      </c>
      <c r="B7" s="13">
        <v>9072</v>
      </c>
      <c r="C7" s="13">
        <v>9493</v>
      </c>
      <c r="D7" s="12" t="s">
        <v>49</v>
      </c>
      <c r="E7" s="12" t="s">
        <v>49</v>
      </c>
      <c r="F7" s="7" t="s">
        <v>30</v>
      </c>
      <c r="G7" s="5" t="str">
        <f>"[[""r001"","&amp;表4_2[[#This Row],[价格]]&amp;"]]"</f>
        <v>[["r001",30000]]</v>
      </c>
      <c r="H7" s="5">
        <v>30000</v>
      </c>
      <c r="I7" s="6">
        <f>表4_2[[#This Row],[价格]]*3/1000</f>
        <v>90</v>
      </c>
      <c r="J7">
        <v>1</v>
      </c>
      <c r="K7" t="str">
        <f>表4_2[[#This Row],[礼包内容]]&amp;"钻石"</f>
        <v>90钻石</v>
      </c>
    </row>
    <row r="8" spans="1:28" x14ac:dyDescent="0.15">
      <c r="A8" s="4">
        <v>4</v>
      </c>
      <c r="B8" s="13">
        <v>9058</v>
      </c>
      <c r="C8" s="13">
        <v>9479</v>
      </c>
      <c r="D8" s="12" t="s">
        <v>50</v>
      </c>
      <c r="E8" s="12" t="s">
        <v>50</v>
      </c>
      <c r="F8" s="5" t="s">
        <v>31</v>
      </c>
      <c r="G8" s="5" t="str">
        <f>"[[""r001"","&amp;表4_2[[#This Row],[价格]]&amp;"]]"</f>
        <v>[["r001",50000]]</v>
      </c>
      <c r="H8" s="5">
        <v>50000</v>
      </c>
      <c r="I8" s="6">
        <f>表4_2[[#This Row],[价格]]*3/1000</f>
        <v>150</v>
      </c>
      <c r="J8">
        <v>1</v>
      </c>
      <c r="K8" t="str">
        <f>表4_2[[#This Row],[礼包内容]]&amp;"钻石"</f>
        <v>150钻石</v>
      </c>
    </row>
    <row r="9" spans="1:28" x14ac:dyDescent="0.15">
      <c r="A9" s="8">
        <v>5</v>
      </c>
      <c r="B9" s="13">
        <v>9075</v>
      </c>
      <c r="C9" s="13">
        <v>9496</v>
      </c>
      <c r="D9" s="12" t="s">
        <v>51</v>
      </c>
      <c r="E9" s="12" t="s">
        <v>51</v>
      </c>
      <c r="F9" s="9" t="s">
        <v>32</v>
      </c>
      <c r="G9" s="5" t="str">
        <f>"[[""r001"","&amp;表4_2[[#This Row],[价格]]&amp;"]]"</f>
        <v>[["r001",100000]]</v>
      </c>
      <c r="H9" s="9">
        <v>100000</v>
      </c>
      <c r="I9" s="6">
        <f>表4_2[[#This Row],[价格]]*3/1000</f>
        <v>300</v>
      </c>
      <c r="J9">
        <v>1</v>
      </c>
      <c r="K9" t="str">
        <f>表4_2[[#This Row],[礼包内容]]&amp;"钻石"</f>
        <v>300钻石</v>
      </c>
    </row>
    <row r="10" spans="1:28" x14ac:dyDescent="0.15">
      <c r="A10" s="8">
        <v>7</v>
      </c>
      <c r="B10" s="13">
        <v>9060</v>
      </c>
      <c r="C10" s="13">
        <v>9481</v>
      </c>
      <c r="D10" s="12" t="s">
        <v>70</v>
      </c>
      <c r="E10" s="12" t="s">
        <v>70</v>
      </c>
      <c r="F10" s="10" t="s">
        <v>33</v>
      </c>
      <c r="G10" s="5" t="str">
        <f>"[[""r001"","&amp;表4_2[[#This Row],[价格]]&amp;"]]"</f>
        <v>[["r001",200000]]</v>
      </c>
      <c r="H10" s="10">
        <v>200000</v>
      </c>
      <c r="I10" s="6">
        <f>表4_2[[#This Row],[价格]]*3/1000</f>
        <v>600</v>
      </c>
      <c r="J10">
        <v>1</v>
      </c>
      <c r="K10" t="str">
        <f>表4_2[[#This Row],[礼包内容]]&amp;"钻石"</f>
        <v>600钻石</v>
      </c>
    </row>
    <row r="11" spans="1:28" x14ac:dyDescent="0.15">
      <c r="A11" s="4">
        <v>8</v>
      </c>
      <c r="B11" s="13">
        <v>9061</v>
      </c>
      <c r="C11" s="13">
        <v>9482</v>
      </c>
      <c r="D11" s="12" t="s">
        <v>71</v>
      </c>
      <c r="E11" s="12" t="s">
        <v>71</v>
      </c>
      <c r="F11" s="10" t="s">
        <v>34</v>
      </c>
      <c r="G11" s="5" t="str">
        <f>"[[""r001"","&amp;表4_2[[#This Row],[价格]]&amp;"]]"</f>
        <v>[["r001",300000]]</v>
      </c>
      <c r="H11" s="10">
        <v>300000</v>
      </c>
      <c r="I11" s="6">
        <f>表4_2[[#This Row],[价格]]*3/1000</f>
        <v>900</v>
      </c>
      <c r="J11">
        <v>1</v>
      </c>
      <c r="K11" t="str">
        <f>表4_2[[#This Row],[礼包内容]]&amp;"钻石"</f>
        <v>900钻石</v>
      </c>
    </row>
    <row r="12" spans="1:28" x14ac:dyDescent="0.15">
      <c r="A12" s="8">
        <v>9</v>
      </c>
      <c r="B12" s="13">
        <v>9062</v>
      </c>
      <c r="C12" s="13">
        <v>9483</v>
      </c>
      <c r="D12" s="12" t="s">
        <v>72</v>
      </c>
      <c r="E12" s="12" t="s">
        <v>72</v>
      </c>
      <c r="F12" s="10" t="s">
        <v>35</v>
      </c>
      <c r="G12" s="5" t="str">
        <f>"[[""r001"","&amp;表4_2[[#This Row],[价格]]&amp;"]]"</f>
        <v>[["r001",500000]]</v>
      </c>
      <c r="H12" s="10">
        <v>500000</v>
      </c>
      <c r="I12" s="6">
        <f>表4_2[[#This Row],[价格]]*3/1000</f>
        <v>1500</v>
      </c>
      <c r="J12">
        <v>1</v>
      </c>
      <c r="K12" t="str">
        <f>表4_2[[#This Row],[礼包内容]]&amp;"钻石"</f>
        <v>1500钻石</v>
      </c>
    </row>
    <row r="13" spans="1:28" x14ac:dyDescent="0.15">
      <c r="A13" s="4">
        <v>10</v>
      </c>
      <c r="B13" s="13">
        <v>9063</v>
      </c>
      <c r="C13" s="13">
        <v>9484</v>
      </c>
      <c r="D13" s="12" t="s">
        <v>73</v>
      </c>
      <c r="E13" s="12" t="s">
        <v>73</v>
      </c>
      <c r="F13" s="10" t="s">
        <v>36</v>
      </c>
      <c r="G13" s="5" t="str">
        <f>"[[""r001"","&amp;表4_2[[#This Row],[价格]]&amp;"]]"</f>
        <v>[["r001",1000000]]</v>
      </c>
      <c r="H13" s="10">
        <v>1000000</v>
      </c>
      <c r="I13" s="6">
        <f>表4_2[[#This Row],[价格]]*3/1000</f>
        <v>3000</v>
      </c>
      <c r="J13">
        <v>1</v>
      </c>
      <c r="K13" t="str">
        <f>表4_2[[#This Row],[礼包内容]]&amp;"钻石"</f>
        <v>3000钻石</v>
      </c>
    </row>
    <row r="14" spans="1:28" x14ac:dyDescent="0.15">
      <c r="E14" s="12"/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7EC865A6-3C09-46C6-8179-7ADB8AB1FC7F}"/>
  </dataValidations>
  <pageMargins left="0.75" right="0.75" top="1" bottom="1" header="0.51180555555555596" footer="0.51180555555555596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1D78-AA8A-482C-BEAC-D24CEDEC2AEE}">
  <sheetPr codeName="Sheet8"/>
  <dimension ref="A1:AA14"/>
  <sheetViews>
    <sheetView workbookViewId="0">
      <selection activeCell="D7" sqref="D7"/>
    </sheetView>
  </sheetViews>
  <sheetFormatPr defaultColWidth="9" defaultRowHeight="13.5" x14ac:dyDescent="0.15"/>
  <cols>
    <col min="1" max="1" width="15.375" bestFit="1" customWidth="1"/>
    <col min="2" max="2" width="11.25" bestFit="1" customWidth="1"/>
    <col min="3" max="3" width="14.375" bestFit="1" customWidth="1"/>
    <col min="4" max="5" width="23.875" bestFit="1" customWidth="1"/>
    <col min="6" max="7" width="18.25" customWidth="1"/>
    <col min="8" max="12" width="16.125" customWidth="1"/>
  </cols>
  <sheetData>
    <row r="1" spans="1:27" s="21" customFormat="1" ht="12" customHeight="1" x14ac:dyDescent="0.15">
      <c r="A1" s="20"/>
      <c r="B1" s="21" t="s">
        <v>97</v>
      </c>
      <c r="C1" s="20"/>
      <c r="X1" s="22"/>
    </row>
    <row r="2" spans="1:27" s="25" customFormat="1" ht="12" customHeight="1" x14ac:dyDescent="0.15">
      <c r="A2" s="23" t="s">
        <v>13</v>
      </c>
      <c r="B2" s="24" t="s">
        <v>85</v>
      </c>
      <c r="C2" s="24" t="s">
        <v>86</v>
      </c>
      <c r="D2" s="24" t="s">
        <v>87</v>
      </c>
      <c r="E2" s="24" t="s">
        <v>93</v>
      </c>
      <c r="F2" s="24" t="s">
        <v>14</v>
      </c>
      <c r="G2" s="24" t="s">
        <v>94</v>
      </c>
      <c r="H2" s="24" t="s">
        <v>15</v>
      </c>
      <c r="I2" s="24" t="s">
        <v>16</v>
      </c>
      <c r="J2" s="24" t="s">
        <v>95</v>
      </c>
      <c r="K2" s="24" t="s">
        <v>75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27" s="28" customFormat="1" ht="12" customHeight="1" x14ac:dyDescent="0.15">
      <c r="A3" s="26" t="s">
        <v>42</v>
      </c>
      <c r="B3" s="27" t="s">
        <v>90</v>
      </c>
      <c r="C3" s="27" t="s">
        <v>42</v>
      </c>
      <c r="D3" s="27" t="s">
        <v>91</v>
      </c>
      <c r="E3" s="27" t="s">
        <v>91</v>
      </c>
      <c r="F3" s="27" t="s">
        <v>12</v>
      </c>
      <c r="G3" s="27" t="s">
        <v>96</v>
      </c>
      <c r="H3" s="27" t="s">
        <v>17</v>
      </c>
      <c r="I3" s="27" t="s">
        <v>17</v>
      </c>
      <c r="J3" s="27" t="s">
        <v>42</v>
      </c>
      <c r="K3" s="27" t="s">
        <v>46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</row>
    <row r="4" spans="1:27" x14ac:dyDescent="0.15">
      <c r="A4" t="s">
        <v>27</v>
      </c>
      <c r="B4" t="s">
        <v>43</v>
      </c>
      <c r="C4" t="s">
        <v>44</v>
      </c>
      <c r="D4" t="s">
        <v>45</v>
      </c>
      <c r="E4" t="s">
        <v>81</v>
      </c>
      <c r="F4" t="s">
        <v>19</v>
      </c>
      <c r="G4" t="s">
        <v>78</v>
      </c>
      <c r="H4" t="s">
        <v>20</v>
      </c>
      <c r="I4" t="s">
        <v>21</v>
      </c>
      <c r="J4" t="s">
        <v>80</v>
      </c>
      <c r="K4" t="s">
        <v>76</v>
      </c>
    </row>
    <row r="5" spans="1:27" x14ac:dyDescent="0.15">
      <c r="A5" s="4">
        <v>1</v>
      </c>
      <c r="B5" s="13">
        <v>9055</v>
      </c>
      <c r="C5" s="13">
        <v>9476</v>
      </c>
      <c r="D5" s="12" t="s">
        <v>47</v>
      </c>
      <c r="E5" s="12" t="s">
        <v>47</v>
      </c>
      <c r="F5" s="5" t="s">
        <v>28</v>
      </c>
      <c r="G5" s="5" t="str">
        <f>"[[""r002"","&amp;表4_43[[#This Row],[价格]]&amp;"]]"</f>
        <v>[["r002",1]]</v>
      </c>
      <c r="H5" s="5">
        <v>1</v>
      </c>
      <c r="I5" s="6">
        <f>表4_43[[#This Row],[价格]]*10*6</f>
        <v>60</v>
      </c>
      <c r="J5">
        <v>2</v>
      </c>
      <c r="K5" t="str">
        <f>表4_43[[#This Row],[礼包内容]]&amp;"钻石"</f>
        <v>60钻石</v>
      </c>
    </row>
    <row r="6" spans="1:27" x14ac:dyDescent="0.15">
      <c r="A6" s="4">
        <v>2</v>
      </c>
      <c r="B6" s="13">
        <v>9056</v>
      </c>
      <c r="C6" s="13">
        <v>9477</v>
      </c>
      <c r="D6" s="12" t="s">
        <v>48</v>
      </c>
      <c r="E6" s="12" t="s">
        <v>48</v>
      </c>
      <c r="F6" s="5" t="s">
        <v>29</v>
      </c>
      <c r="G6" s="5" t="str">
        <f>"[[""r002"","&amp;表4_43[[#This Row],[价格]]&amp;"]]"</f>
        <v>[["r002",2]]</v>
      </c>
      <c r="H6" s="5">
        <v>2</v>
      </c>
      <c r="I6" s="6">
        <f>表4_43[[#This Row],[价格]]*10*6</f>
        <v>120</v>
      </c>
      <c r="J6">
        <v>2</v>
      </c>
      <c r="K6" t="str">
        <f>表4_43[[#This Row],[礼包内容]]&amp;"钻石"</f>
        <v>120钻石</v>
      </c>
    </row>
    <row r="7" spans="1:27" x14ac:dyDescent="0.15">
      <c r="A7" s="4">
        <v>3</v>
      </c>
      <c r="B7" s="13">
        <v>9072</v>
      </c>
      <c r="C7" s="13">
        <v>9493</v>
      </c>
      <c r="D7" s="12" t="s">
        <v>49</v>
      </c>
      <c r="E7" s="12" t="s">
        <v>49</v>
      </c>
      <c r="F7" s="7" t="s">
        <v>30</v>
      </c>
      <c r="G7" s="5" t="str">
        <f>"[[""r002"","&amp;表4_43[[#This Row],[价格]]&amp;"]]"</f>
        <v>[["r002",3]]</v>
      </c>
      <c r="H7" s="5">
        <v>3</v>
      </c>
      <c r="I7" s="6">
        <f>表4_43[[#This Row],[价格]]*10*6</f>
        <v>180</v>
      </c>
      <c r="J7">
        <v>2</v>
      </c>
      <c r="K7" t="str">
        <f>表4_43[[#This Row],[礼包内容]]&amp;"钻石"</f>
        <v>180钻石</v>
      </c>
    </row>
    <row r="8" spans="1:27" x14ac:dyDescent="0.15">
      <c r="A8" s="4">
        <v>4</v>
      </c>
      <c r="B8" s="13">
        <v>9058</v>
      </c>
      <c r="C8" s="13">
        <v>9479</v>
      </c>
      <c r="D8" s="12" t="s">
        <v>50</v>
      </c>
      <c r="E8" s="12" t="s">
        <v>50</v>
      </c>
      <c r="F8" s="5" t="s">
        <v>31</v>
      </c>
      <c r="G8" s="5" t="str">
        <f>"[[""r002"","&amp;表4_43[[#This Row],[价格]]&amp;"]]"</f>
        <v>[["r002",5]]</v>
      </c>
      <c r="H8" s="5">
        <v>5</v>
      </c>
      <c r="I8" s="6">
        <f>表4_43[[#This Row],[价格]]*10*6</f>
        <v>300</v>
      </c>
      <c r="J8">
        <v>2</v>
      </c>
      <c r="K8" t="str">
        <f>表4_43[[#This Row],[礼包内容]]&amp;"钻石"</f>
        <v>300钻石</v>
      </c>
    </row>
    <row r="9" spans="1:27" x14ac:dyDescent="0.15">
      <c r="A9" s="8">
        <v>5</v>
      </c>
      <c r="B9" s="13">
        <v>9075</v>
      </c>
      <c r="C9" s="13">
        <v>9496</v>
      </c>
      <c r="D9" s="12" t="s">
        <v>51</v>
      </c>
      <c r="E9" s="12" t="s">
        <v>51</v>
      </c>
      <c r="F9" s="9" t="s">
        <v>32</v>
      </c>
      <c r="G9" s="5" t="str">
        <f>"[[""r002"","&amp;表4_43[[#This Row],[价格]]&amp;"]]"</f>
        <v>[["r002",8]]</v>
      </c>
      <c r="H9" s="9">
        <v>8</v>
      </c>
      <c r="I9" s="6">
        <f>表4_43[[#This Row],[价格]]*10*6</f>
        <v>480</v>
      </c>
      <c r="J9">
        <v>2</v>
      </c>
      <c r="K9" t="str">
        <f>表4_43[[#This Row],[礼包内容]]&amp;"钻石"</f>
        <v>480钻石</v>
      </c>
    </row>
    <row r="10" spans="1:27" x14ac:dyDescent="0.15">
      <c r="A10" s="8">
        <v>7</v>
      </c>
      <c r="B10" s="13">
        <v>9060</v>
      </c>
      <c r="C10" s="13">
        <v>9481</v>
      </c>
      <c r="D10" s="12" t="s">
        <v>70</v>
      </c>
      <c r="E10" s="12" t="s">
        <v>70</v>
      </c>
      <c r="F10" s="10" t="s">
        <v>33</v>
      </c>
      <c r="G10" s="5" t="str">
        <f>"[[""r002"","&amp;表4_43[[#This Row],[价格]]&amp;"]]"</f>
        <v>[["r002",10]]</v>
      </c>
      <c r="H10" s="10">
        <v>10</v>
      </c>
      <c r="I10" s="6">
        <f>表4_43[[#This Row],[价格]]*10*6</f>
        <v>600</v>
      </c>
      <c r="J10">
        <v>2</v>
      </c>
      <c r="K10" t="str">
        <f>表4_43[[#This Row],[礼包内容]]&amp;"钻石"</f>
        <v>600钻石</v>
      </c>
    </row>
    <row r="11" spans="1:27" x14ac:dyDescent="0.15">
      <c r="A11" s="4">
        <v>8</v>
      </c>
      <c r="B11" s="13">
        <v>9061</v>
      </c>
      <c r="C11" s="13">
        <v>9482</v>
      </c>
      <c r="D11" s="12" t="s">
        <v>71</v>
      </c>
      <c r="E11" s="12" t="s">
        <v>71</v>
      </c>
      <c r="F11" s="10" t="s">
        <v>34</v>
      </c>
      <c r="G11" s="5" t="str">
        <f>"[[""r002"","&amp;表4_43[[#This Row],[价格]]&amp;"]]"</f>
        <v>[["r002",18]]</v>
      </c>
      <c r="H11" s="10">
        <v>18</v>
      </c>
      <c r="I11" s="6">
        <f>表4_43[[#This Row],[价格]]*10*6</f>
        <v>1080</v>
      </c>
      <c r="J11">
        <v>2</v>
      </c>
      <c r="K11" t="str">
        <f>表4_43[[#This Row],[礼包内容]]&amp;"钻石"</f>
        <v>1080钻石</v>
      </c>
    </row>
    <row r="12" spans="1:27" x14ac:dyDescent="0.15">
      <c r="A12" s="8">
        <v>9</v>
      </c>
      <c r="B12" s="13">
        <v>9062</v>
      </c>
      <c r="C12" s="13">
        <v>9483</v>
      </c>
      <c r="D12" s="12" t="s">
        <v>72</v>
      </c>
      <c r="E12" s="12" t="s">
        <v>72</v>
      </c>
      <c r="F12" s="10" t="s">
        <v>35</v>
      </c>
      <c r="G12" s="5" t="str">
        <f>"[[""r002"","&amp;表4_43[[#This Row],[价格]]&amp;"]]"</f>
        <v>[["r002",28]]</v>
      </c>
      <c r="H12" s="10">
        <v>28</v>
      </c>
      <c r="I12" s="6">
        <f>表4_43[[#This Row],[价格]]*10*6</f>
        <v>1680</v>
      </c>
      <c r="J12">
        <v>2</v>
      </c>
      <c r="K12" t="str">
        <f>表4_43[[#This Row],[礼包内容]]&amp;"钻石"</f>
        <v>1680钻石</v>
      </c>
    </row>
    <row r="13" spans="1:27" x14ac:dyDescent="0.15">
      <c r="A13" s="4">
        <v>10</v>
      </c>
      <c r="B13" s="13">
        <v>9063</v>
      </c>
      <c r="C13" s="13">
        <v>9484</v>
      </c>
      <c r="D13" s="12" t="s">
        <v>73</v>
      </c>
      <c r="E13" s="12" t="s">
        <v>73</v>
      </c>
      <c r="F13" s="10" t="s">
        <v>36</v>
      </c>
      <c r="G13" s="5" t="str">
        <f>"[[""r002"","&amp;表4_43[[#This Row],[价格]]&amp;"]]"</f>
        <v>[["r002",45]]</v>
      </c>
      <c r="H13" s="10">
        <v>45</v>
      </c>
      <c r="I13" s="6">
        <f>表4_43[[#This Row],[价格]]*10*6</f>
        <v>2700</v>
      </c>
      <c r="J13">
        <v>2</v>
      </c>
      <c r="K13" t="str">
        <f>表4_43[[#This Row],[礼包内容]]&amp;"钻石"</f>
        <v>2700钻石</v>
      </c>
    </row>
    <row r="14" spans="1:27" x14ac:dyDescent="0.15">
      <c r="A14" s="8">
        <v>11</v>
      </c>
      <c r="B14" s="13">
        <v>9065</v>
      </c>
      <c r="C14" s="13">
        <v>9486</v>
      </c>
      <c r="D14" s="12" t="s">
        <v>74</v>
      </c>
      <c r="E14" s="12" t="s">
        <v>74</v>
      </c>
      <c r="F14" s="10" t="s">
        <v>37</v>
      </c>
      <c r="G14" s="5" t="str">
        <f>"[[""r002"","&amp;表4_43[[#This Row],[价格]]&amp;"]]"</f>
        <v>[["r002",100]]</v>
      </c>
      <c r="H14" s="10">
        <v>100</v>
      </c>
      <c r="I14" s="6">
        <f>表4_43[[#This Row],[价格]]*10*6</f>
        <v>6000</v>
      </c>
      <c r="J14">
        <v>2</v>
      </c>
      <c r="K14" t="str">
        <f>表4_43[[#This Row],[礼包内容]]&amp;"钻石"</f>
        <v>6000钻石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4C6DB92B-7D2A-476D-860F-A500A08A3E3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description</vt:lpstr>
      <vt:lpstr>混合</vt:lpstr>
      <vt:lpstr>VNL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2018-04-26T06:09:07Z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