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A9CAE60-6257-4CD0-B872-42FCC1DA7409}" xr6:coauthVersionLast="31" xr6:coauthVersionMax="31" xr10:uidLastSave="{00000000-0000-0000-0000-000000000000}"/>
  <bookViews>
    <workbookView xWindow="0" yWindow="0" windowWidth="28695" windowHeight="14850" activeTab="2" xr2:uid="{00000000-000D-0000-FFFF-FFFF00000000}"/>
  </bookViews>
  <sheets>
    <sheet name="description" sheetId="1" r:id="rId1"/>
    <sheet name="混合" sheetId="9" r:id="rId2"/>
    <sheet name="VNL" sheetId="10" r:id="rId3"/>
  </sheets>
  <functionGroups builtInGroupCount="19"/>
  <externalReferences>
    <externalReference r:id="rId4"/>
  </externalReferences>
  <calcPr calcId="179017"/>
</workbook>
</file>

<file path=xl/calcChain.xml><?xml version="1.0" encoding="utf-8"?>
<calcChain xmlns="http://schemas.openxmlformats.org/spreadsheetml/2006/main">
  <c r="C51" i="10" l="1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28" i="9" l="1"/>
  <c r="C29" i="9"/>
  <c r="C30" i="9"/>
  <c r="C31" i="9"/>
  <c r="C32" i="9"/>
  <c r="C33" i="9"/>
  <c r="C34" i="9"/>
  <c r="C3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" i="9"/>
  <c r="J51" i="10" l="1"/>
  <c r="J130" i="9"/>
  <c r="J104" i="10"/>
  <c r="J130" i="10"/>
  <c r="J76" i="9"/>
  <c r="J76" i="10"/>
  <c r="J51" i="9"/>
  <c r="J104" i="9"/>
  <c r="J47" i="10"/>
  <c r="J47" i="9"/>
  <c r="J126" i="9"/>
  <c r="J72" i="10"/>
  <c r="J100" i="9"/>
  <c r="J126" i="10"/>
  <c r="J72" i="9"/>
  <c r="J100" i="10"/>
  <c r="J43" i="10"/>
  <c r="J122" i="9"/>
  <c r="J122" i="10"/>
  <c r="J68" i="10"/>
  <c r="J68" i="9"/>
  <c r="J96" i="10"/>
  <c r="J43" i="9"/>
  <c r="J96" i="9"/>
  <c r="J64" i="10"/>
  <c r="J64" i="9"/>
  <c r="J118" i="9"/>
  <c r="J39" i="10"/>
  <c r="J92" i="9"/>
  <c r="J92" i="10"/>
  <c r="J39" i="9"/>
  <c r="J118" i="10"/>
  <c r="J35" i="10"/>
  <c r="J114" i="9"/>
  <c r="J114" i="10"/>
  <c r="J88" i="10"/>
  <c r="J60" i="9"/>
  <c r="J60" i="10"/>
  <c r="J88" i="9"/>
  <c r="J35" i="9"/>
  <c r="J31" i="10"/>
  <c r="J84" i="9"/>
  <c r="J110" i="9"/>
  <c r="J84" i="10"/>
  <c r="J31" i="9"/>
  <c r="J110" i="10"/>
  <c r="J56" i="9"/>
  <c r="J56" i="10"/>
  <c r="J27" i="10"/>
  <c r="J106" i="9"/>
  <c r="J106" i="10"/>
  <c r="J80" i="10"/>
  <c r="J27" i="9"/>
  <c r="J52" i="10"/>
  <c r="J80" i="9"/>
  <c r="J52" i="9"/>
  <c r="J23" i="9"/>
  <c r="J23" i="10"/>
  <c r="J19" i="10"/>
  <c r="J19" i="9"/>
  <c r="J15" i="10"/>
  <c r="J15" i="9"/>
  <c r="J11" i="10"/>
  <c r="J11" i="9"/>
  <c r="J7" i="10"/>
  <c r="J7" i="9"/>
  <c r="J79" i="10"/>
  <c r="J79" i="9"/>
  <c r="J103" i="10"/>
  <c r="J129" i="9"/>
  <c r="J103" i="9"/>
  <c r="J75" i="10"/>
  <c r="J75" i="9"/>
  <c r="J50" i="10"/>
  <c r="J50" i="9"/>
  <c r="J129" i="10"/>
  <c r="J99" i="10"/>
  <c r="J125" i="9"/>
  <c r="J71" i="9"/>
  <c r="J71" i="10"/>
  <c r="J46" i="9"/>
  <c r="J46" i="10"/>
  <c r="J99" i="9"/>
  <c r="J125" i="10"/>
  <c r="J95" i="10"/>
  <c r="J121" i="9"/>
  <c r="J67" i="10"/>
  <c r="J67" i="9"/>
  <c r="J42" i="10"/>
  <c r="J95" i="9"/>
  <c r="J121" i="10"/>
  <c r="J42" i="9"/>
  <c r="J91" i="10"/>
  <c r="J117" i="9"/>
  <c r="J63" i="10"/>
  <c r="J63" i="9"/>
  <c r="J38" i="10"/>
  <c r="J38" i="9"/>
  <c r="J117" i="10"/>
  <c r="J91" i="9"/>
  <c r="J87" i="10"/>
  <c r="J113" i="9"/>
  <c r="J59" i="10"/>
  <c r="J34" i="9"/>
  <c r="J34" i="10"/>
  <c r="J87" i="9"/>
  <c r="J113" i="10"/>
  <c r="J59" i="9"/>
  <c r="J83" i="10"/>
  <c r="J109" i="9"/>
  <c r="J55" i="10"/>
  <c r="J55" i="9"/>
  <c r="J109" i="10"/>
  <c r="J30" i="10"/>
  <c r="J83" i="9"/>
  <c r="J30" i="9"/>
  <c r="J26" i="10"/>
  <c r="J26" i="9"/>
  <c r="J22" i="9"/>
  <c r="J22" i="10"/>
  <c r="J18" i="10"/>
  <c r="J18" i="9"/>
  <c r="J14" i="9"/>
  <c r="J14" i="10"/>
  <c r="J10" i="10"/>
  <c r="J10" i="9"/>
  <c r="J6" i="9"/>
  <c r="J6" i="10"/>
  <c r="J78" i="10"/>
  <c r="J78" i="9"/>
  <c r="J128" i="10"/>
  <c r="J74" i="9"/>
  <c r="J49" i="10"/>
  <c r="J102" i="9"/>
  <c r="J74" i="10"/>
  <c r="J49" i="9"/>
  <c r="J128" i="9"/>
  <c r="J102" i="10"/>
  <c r="J45" i="10"/>
  <c r="J98" i="9"/>
  <c r="J124" i="10"/>
  <c r="J45" i="9"/>
  <c r="J70" i="10"/>
  <c r="J70" i="9"/>
  <c r="J98" i="10"/>
  <c r="J124" i="9"/>
  <c r="J41" i="10"/>
  <c r="J41" i="9"/>
  <c r="J120" i="10"/>
  <c r="J94" i="9"/>
  <c r="J66" i="10"/>
  <c r="J66" i="9"/>
  <c r="J120" i="9"/>
  <c r="J94" i="10"/>
  <c r="J62" i="10"/>
  <c r="J90" i="9"/>
  <c r="J37" i="10"/>
  <c r="J37" i="9"/>
  <c r="J90" i="10"/>
  <c r="J62" i="9"/>
  <c r="J116" i="10"/>
  <c r="J116" i="9"/>
  <c r="J112" i="10"/>
  <c r="J33" i="9"/>
  <c r="J33" i="10"/>
  <c r="J86" i="9"/>
  <c r="J58" i="10"/>
  <c r="J58" i="9"/>
  <c r="J112" i="9"/>
  <c r="J86" i="10"/>
  <c r="J29" i="10"/>
  <c r="J82" i="9"/>
  <c r="J108" i="10"/>
  <c r="J29" i="9"/>
  <c r="J54" i="10"/>
  <c r="J54" i="9"/>
  <c r="J82" i="10"/>
  <c r="J108" i="9"/>
  <c r="J25" i="9"/>
  <c r="J25" i="10"/>
  <c r="J21" i="10"/>
  <c r="J21" i="9"/>
  <c r="J17" i="9"/>
  <c r="J17" i="10"/>
  <c r="J13" i="10"/>
  <c r="J13" i="9"/>
  <c r="J9" i="9"/>
  <c r="J9" i="10"/>
  <c r="J5" i="10"/>
  <c r="J5" i="9"/>
  <c r="J77" i="10"/>
  <c r="J131" i="9"/>
  <c r="J105" i="10"/>
  <c r="J105" i="9"/>
  <c r="J131" i="10"/>
  <c r="J77" i="9"/>
  <c r="J127" i="10"/>
  <c r="J73" i="9"/>
  <c r="J101" i="10"/>
  <c r="J127" i="9"/>
  <c r="J48" i="10"/>
  <c r="J48" i="9"/>
  <c r="J73" i="10"/>
  <c r="J101" i="9"/>
  <c r="J123" i="10"/>
  <c r="J69" i="9"/>
  <c r="J97" i="10"/>
  <c r="J97" i="9"/>
  <c r="J44" i="10"/>
  <c r="J123" i="9"/>
  <c r="J69" i="10"/>
  <c r="J44" i="9"/>
  <c r="J119" i="10"/>
  <c r="J65" i="9"/>
  <c r="J93" i="10"/>
  <c r="J40" i="10"/>
  <c r="J119" i="9"/>
  <c r="J93" i="9"/>
  <c r="J65" i="10"/>
  <c r="J40" i="9"/>
  <c r="J115" i="10"/>
  <c r="J61" i="9"/>
  <c r="J89" i="10"/>
  <c r="J36" i="10"/>
  <c r="J36" i="9"/>
  <c r="J89" i="9"/>
  <c r="J61" i="10"/>
  <c r="J115" i="9"/>
  <c r="J111" i="10"/>
  <c r="J57" i="9"/>
  <c r="J85" i="10"/>
  <c r="J32" i="10"/>
  <c r="J32" i="9"/>
  <c r="J111" i="9"/>
  <c r="J57" i="10"/>
  <c r="J85" i="9"/>
  <c r="J107" i="10"/>
  <c r="J53" i="9"/>
  <c r="J81" i="10"/>
  <c r="J28" i="10"/>
  <c r="J107" i="9"/>
  <c r="J81" i="9"/>
  <c r="J53" i="10"/>
  <c r="J28" i="9"/>
  <c r="J24" i="10"/>
  <c r="J24" i="9"/>
  <c r="J20" i="9"/>
  <c r="J20" i="10"/>
  <c r="J16" i="10"/>
  <c r="J16" i="9"/>
  <c r="J12" i="9"/>
  <c r="J12" i="10"/>
  <c r="J8" i="10"/>
  <c r="J8" i="9"/>
</calcChain>
</file>

<file path=xl/sharedStrings.xml><?xml version="1.0" encoding="utf-8"?>
<sst xmlns="http://schemas.openxmlformats.org/spreadsheetml/2006/main" count="517" uniqueCount="193">
  <si>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</si>
  <si>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</si>
  <si>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</si>
  <si>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</si>
  <si>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</si>
  <si>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</si>
  <si>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</si>
  <si>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</si>
  <si>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</si>
  <si>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</si>
  <si>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</si>
  <si>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</si>
  <si>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</si>
  <si>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repeat</t>
  </si>
  <si>
    <t>reward</t>
  </si>
  <si>
    <t>int</t>
  </si>
  <si>
    <t>string</t>
  </si>
  <si>
    <t>table</t>
  </si>
  <si>
    <t>unexport</t>
  </si>
  <si>
    <t>activeid</t>
  </si>
  <si>
    <t>name</t>
  </si>
  <si>
    <t>condition</t>
  </si>
  <si>
    <t>value1</t>
  </si>
  <si>
    <t>value2</t>
  </si>
  <si>
    <t>showtype</t>
  </si>
  <si>
    <t>任务ID</t>
  </si>
  <si>
    <t>所属活动，与active_cfg对应</t>
  </si>
  <si>
    <t>任务名称</t>
  </si>
  <si>
    <t>条件类型，同daily表</t>
  </si>
  <si>
    <t>条件参数</t>
  </si>
  <si>
    <t>条件值</t>
  </si>
  <si>
    <t>物品id和个数</t>
  </si>
  <si>
    <t>是否每日重复</t>
  </si>
  <si>
    <t>显示分类1活动任务，2充值回馈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</si>
  <si>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</si>
  <si>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</si>
  <si>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</si>
  <si>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</si>
  <si>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</si>
  <si>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</si>
  <si>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</si>
  <si>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</si>
  <si>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</si>
  <si>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</si>
  <si>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</si>
  <si>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</si>
  <si>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</si>
  <si>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</si>
  <si>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</si>
  <si>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</si>
  <si>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</si>
  <si>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名称</t>
    <phoneticPr fontId="8" type="noConversion"/>
  </si>
  <si>
    <t>[["i012",2],["i013",2]]</t>
    <phoneticPr fontId="6" type="noConversion"/>
  </si>
  <si>
    <t>[["i700",2],["i001",10000]]</t>
    <phoneticPr fontId="6" type="noConversion"/>
  </si>
  <si>
    <t>[["i015",5],["i002",100]]</t>
    <phoneticPr fontId="6" type="noConversion"/>
  </si>
  <si>
    <t>[["i012",5],["i002",1]]</t>
    <phoneticPr fontId="6" type="noConversion"/>
  </si>
  <si>
    <t>[["i001",20000],["i002",100]]</t>
    <phoneticPr fontId="6" type="noConversion"/>
  </si>
  <si>
    <t>[["i013",10],["i001",10000]]</t>
    <phoneticPr fontId="6" type="noConversion"/>
  </si>
  <si>
    <t>[["i002",10],["i001",100000]]</t>
    <phoneticPr fontId="6" type="noConversion"/>
  </si>
  <si>
    <t>[["i015",1],["i001",50000]]</t>
    <phoneticPr fontId="6" type="noConversion"/>
  </si>
  <si>
    <t>[["i015",1],["i001",100000]]</t>
    <phoneticPr fontId="6" type="noConversion"/>
  </si>
  <si>
    <t>[["i015",1],["i001",200000]]</t>
    <phoneticPr fontId="6" type="noConversion"/>
  </si>
  <si>
    <t>[["i015",2],["i001",250000]]</t>
    <phoneticPr fontId="6" type="noConversion"/>
  </si>
  <si>
    <t>[["i015",3],["i001",300000]]</t>
    <phoneticPr fontId="6" type="noConversion"/>
  </si>
  <si>
    <t>[["i015",4],["i001",400000]]</t>
    <phoneticPr fontId="6" type="noConversion"/>
  </si>
  <si>
    <t>[["i015",5],["i001",500000]]</t>
    <phoneticPr fontId="6" type="noConversion"/>
  </si>
  <si>
    <t>[["i015",10],["i001",1000000]]</t>
    <phoneticPr fontId="6" type="noConversion"/>
  </si>
  <si>
    <t>[["i015",20],["i001",2000000]]</t>
    <phoneticPr fontId="6" type="noConversion"/>
  </si>
  <si>
    <t>18. 购买x次金币</t>
    <phoneticPr fontId="8" type="noConversion"/>
  </si>
  <si>
    <t>19. 充值x钻石，如果是每日充值参数1填1</t>
    <phoneticPr fontId="8" type="noConversion"/>
  </si>
  <si>
    <t>20. 参与保卫女神x次</t>
    <phoneticPr fontId="8" type="noConversion"/>
  </si>
  <si>
    <t>21. 放养x次鱼</t>
    <phoneticPr fontId="8" type="noConversion"/>
  </si>
  <si>
    <t>22. 保卫女神最高闯过x关</t>
    <phoneticPr fontId="8" type="noConversion"/>
  </si>
  <si>
    <t>23. 宠物鱼总等级x级</t>
    <phoneticPr fontId="8" type="noConversion"/>
  </si>
  <si>
    <t>24. 解锁x个女神</t>
    <phoneticPr fontId="8" type="noConversion"/>
  </si>
  <si>
    <t>25. 在x小游戏中获得y分（0接金币，1河豚）</t>
    <phoneticPr fontId="8" type="noConversion"/>
  </si>
  <si>
    <t>26. 金币大于等于xx,金币排名小于等于x名</t>
    <phoneticPr fontId="8" type="noConversion"/>
  </si>
  <si>
    <t>[["i001",50000],["i002",20]]</t>
    <phoneticPr fontId="6" type="noConversion"/>
  </si>
  <si>
    <t>[["i001",50000],["i011",10]]</t>
    <phoneticPr fontId="6" type="noConversion"/>
  </si>
  <si>
    <t>27. 排位赛获得最强王者段位</t>
    <phoneticPr fontId="8" type="noConversion"/>
  </si>
  <si>
    <t>28. 排位赛获得x次胜利</t>
    <phoneticPr fontId="8" type="noConversion"/>
  </si>
  <si>
    <t>29. 排位赛段位大于等于x</t>
    <phoneticPr fontId="8" type="noConversion"/>
  </si>
  <si>
    <t>[["i302",100],["i001",50000],["i011",10]]</t>
    <phoneticPr fontId="6" type="noConversion"/>
  </si>
  <si>
    <t>[["i303",100],["i002",20],["i012",10]]</t>
    <phoneticPr fontId="6" type="noConversion"/>
  </si>
  <si>
    <t>[["i304",10],["i001",50000]]</t>
    <phoneticPr fontId="6" type="noConversion"/>
  </si>
  <si>
    <t>[["i301",100],["i015",1],["i002",50]]</t>
    <phoneticPr fontId="6" type="noConversion"/>
  </si>
  <si>
    <t>[["i301",10],["i001",2000]]</t>
    <phoneticPr fontId="6" type="noConversion"/>
  </si>
  <si>
    <t>[["i302",10],["i001",2000]]</t>
    <phoneticPr fontId="6" type="noConversion"/>
  </si>
  <si>
    <t>[["i303",10],["i001",2000]]</t>
    <phoneticPr fontId="6" type="noConversion"/>
  </si>
  <si>
    <t>[["i301",100],["i001",20000],["i002",10]]</t>
    <phoneticPr fontId="6" type="noConversion"/>
  </si>
  <si>
    <t>[["i304",20],["i015",1]]</t>
    <phoneticPr fontId="6" type="noConversion"/>
  </si>
  <si>
    <t>[["i304",40],["i015",1]]</t>
    <phoneticPr fontId="6" type="noConversion"/>
  </si>
  <si>
    <t>[["i304",40],["i015",2]]</t>
    <phoneticPr fontId="6" type="noConversion"/>
  </si>
  <si>
    <t>[["i304",80],["i015",3]]</t>
    <phoneticPr fontId="6" type="noConversion"/>
  </si>
  <si>
    <t>[["i304",200],["i015",4]]</t>
    <phoneticPr fontId="6" type="noConversion"/>
  </si>
  <si>
    <t>[["i304",200],["i015",5]]</t>
    <phoneticPr fontId="6" type="noConversion"/>
  </si>
  <si>
    <t>[["i304",400],["i015",10]]</t>
    <phoneticPr fontId="6" type="noConversion"/>
  </si>
  <si>
    <t>[["i304",1000],["i015",20]]</t>
    <phoneticPr fontId="6" type="noConversion"/>
  </si>
  <si>
    <t>[["i304",1],["i001",10000]]</t>
    <phoneticPr fontId="6" type="noConversion"/>
  </si>
  <si>
    <t>[["i304",10],["i001",50000],["i002",20]]</t>
    <phoneticPr fontId="6" type="noConversion"/>
  </si>
  <si>
    <t>[["i302",100],["i001",50000],["i013",10]]</t>
    <phoneticPr fontId="6" type="noConversion"/>
  </si>
  <si>
    <t>activequest_name_2001</t>
  </si>
  <si>
    <t>activequest_name_2002</t>
  </si>
  <si>
    <t>activequest_name_2003</t>
  </si>
  <si>
    <t>activequest_name_2004</t>
  </si>
  <si>
    <t>activequest_name_2005</t>
  </si>
  <si>
    <t>activequest_name_2006</t>
  </si>
  <si>
    <t>activequest_name_2007</t>
  </si>
  <si>
    <t>activequest_name_2008</t>
  </si>
  <si>
    <t>activequest_name_2009</t>
  </si>
  <si>
    <t>activequest_name_2010</t>
  </si>
  <si>
    <t>activequest_name_2011</t>
  </si>
  <si>
    <t>activequest_name_2012</t>
  </si>
  <si>
    <t>activequest_name_2013</t>
  </si>
  <si>
    <t>activequest_name_2014</t>
  </si>
  <si>
    <t>activequest_name_2015</t>
  </si>
  <si>
    <t>activequest_name_2100</t>
  </si>
  <si>
    <t>activequest_name_2101</t>
  </si>
  <si>
    <t>activequest_name_2102</t>
  </si>
  <si>
    <t>activequest_name_2103</t>
  </si>
  <si>
    <t>activequest_name_2104</t>
  </si>
  <si>
    <t>activequest_name_2105</t>
  </si>
  <si>
    <t>activequest_name_2106</t>
  </si>
  <si>
    <t>activequest_name_2107</t>
  </si>
  <si>
    <t>activequest_name_2108</t>
  </si>
  <si>
    <t>activequest_name_2109</t>
  </si>
  <si>
    <t>[["i311",4],["i315",3],["i001",2000]]</t>
    <phoneticPr fontId="6" type="noConversion"/>
  </si>
  <si>
    <t>[["i311",4],["i312",4],["i001",2000]]</t>
    <phoneticPr fontId="6" type="noConversion"/>
  </si>
  <si>
    <t>[["i313",3],["i315",3],["i001",2000]]</t>
    <phoneticPr fontId="6" type="noConversion"/>
  </si>
  <si>
    <t>[["i312",4],["i315",3],["i001",2000]]</t>
    <phoneticPr fontId="6" type="noConversion"/>
  </si>
  <si>
    <t>[["i310",20],["i314",2],["i001",2000]]</t>
    <phoneticPr fontId="6" type="noConversion"/>
  </si>
  <si>
    <t>[["i310",20],["i313",3],["i001",2000]]</t>
    <phoneticPr fontId="6" type="noConversion"/>
  </si>
  <si>
    <t>[["i310",20],["i311",4],["i001",2000]]</t>
    <phoneticPr fontId="6" type="noConversion"/>
  </si>
  <si>
    <t>[["i312",4],["i315",3],["i001",5000]]</t>
    <phoneticPr fontId="6" type="noConversion"/>
  </si>
  <si>
    <t>[["i310",50],["i314",5],["i001",20000]]</t>
    <phoneticPr fontId="6" type="noConversion"/>
  </si>
  <si>
    <t>[["i311",40],["i313",10],["i001",15000]]</t>
    <phoneticPr fontId="6" type="noConversion"/>
  </si>
  <si>
    <t>[["i310",50],["i311",40],["i001",20000]]</t>
    <phoneticPr fontId="6" type="noConversion"/>
  </si>
  <si>
    <t>[["i312",20],["i314",5],["i001",50000]]</t>
    <phoneticPr fontId="6" type="noConversion"/>
  </si>
  <si>
    <t>[["i311",40],["i312",20],["i001",50000]]</t>
    <phoneticPr fontId="6" type="noConversion"/>
  </si>
  <si>
    <t>[["i313",10],["i314",5],["i001",30000]]</t>
    <phoneticPr fontId="6" type="noConversion"/>
  </si>
  <si>
    <t>activequest_name_2110</t>
  </si>
  <si>
    <t>activequest_name_2111</t>
  </si>
  <si>
    <t>activequest_name_2112</t>
  </si>
  <si>
    <t>[["i310",1000],["i314",250],["w015",1]]</t>
    <phoneticPr fontId="6" type="noConversion"/>
  </si>
  <si>
    <t>[["i310",1000],["i314",250],["i015",20]]</t>
    <phoneticPr fontId="6" type="noConversion"/>
  </si>
  <si>
    <t>[["i310",2000],["i314",500],["i015",40]]</t>
    <phoneticPr fontId="6" type="noConversion"/>
  </si>
  <si>
    <t>[["i310",1000],["i314",250],["w014",1]]</t>
    <phoneticPr fontId="6" type="noConversion"/>
  </si>
  <si>
    <t>[["i310",20],["i314",5],["i001",20000]]</t>
    <phoneticPr fontId="6" type="noConversion"/>
  </si>
  <si>
    <t>[["i310",20],["i314",5],["i001",40000]]</t>
    <phoneticPr fontId="6" type="noConversion"/>
  </si>
  <si>
    <t>[["i310",40],["i314",10],["i015",1]]</t>
    <phoneticPr fontId="6" type="noConversion"/>
  </si>
  <si>
    <t>[["i310",40],["i314",10],["i015",2]]</t>
    <phoneticPr fontId="6" type="noConversion"/>
  </si>
  <si>
    <t>[["i310",80],["i314",20],["i015",4]]</t>
    <phoneticPr fontId="6" type="noConversion"/>
  </si>
  <si>
    <t>[["i310",200],["i314",50],["i015",6]]</t>
    <phoneticPr fontId="6" type="noConversion"/>
  </si>
  <si>
    <t>[["i310",200],["i314",50],["i015",8]]</t>
    <phoneticPr fontId="6" type="noConversion"/>
  </si>
  <si>
    <t>[["i310",400],["i314",100],["i015",10]]</t>
    <phoneticPr fontId="6" type="noConversion"/>
  </si>
  <si>
    <t>[["i321",2],["i001",2000]]</t>
    <phoneticPr fontId="6" type="noConversion"/>
  </si>
  <si>
    <t>[["i321",1],["i001",2000]]</t>
    <phoneticPr fontId="6" type="noConversion"/>
  </si>
  <si>
    <t>[["i320",1],["i321",10],["i001",20000]]</t>
    <phoneticPr fontId="6" type="noConversion"/>
  </si>
  <si>
    <t>[["i320",5],["i321",10],["i001",20000]]</t>
    <phoneticPr fontId="6" type="noConversion"/>
  </si>
  <si>
    <t>[["i320",5],["i321",10],["i001",40000]]</t>
    <phoneticPr fontId="6" type="noConversion"/>
  </si>
  <si>
    <t>[["i320",5],["i321",20],["i015",1]]</t>
    <phoneticPr fontId="6" type="noConversion"/>
  </si>
  <si>
    <t>[["i320",5],["i321",20],["i015",2]]</t>
    <phoneticPr fontId="6" type="noConversion"/>
  </si>
  <si>
    <t>[["i320",10],["i321",30],["i015",4]]</t>
    <phoneticPr fontId="6" type="noConversion"/>
  </si>
  <si>
    <t>[["i320",25],["i321",50],["i015",6]]</t>
    <phoneticPr fontId="6" type="noConversion"/>
  </si>
  <si>
    <t>[["i320",25],["i321",50],["i015",8]]</t>
    <phoneticPr fontId="6" type="noConversion"/>
  </si>
  <si>
    <t>[["i320",50],["i321",100],["i015",10]]</t>
    <phoneticPr fontId="6" type="noConversion"/>
  </si>
  <si>
    <t>[["i320",100],["i321",250],["i015",20]]</t>
    <phoneticPr fontId="6" type="noConversion"/>
  </si>
  <si>
    <t>[["i320",200],["i321",500],["i015",30]]</t>
    <phoneticPr fontId="6" type="noConversion"/>
  </si>
  <si>
    <t>[["i320",3],["i321",2],["i001",20000]]</t>
    <phoneticPr fontId="6" type="noConversion"/>
  </si>
  <si>
    <t>[["i320",3],["i321",2],["i001",15000]]</t>
    <phoneticPr fontId="6" type="noConversion"/>
  </si>
  <si>
    <t>[["i320",3],["i321",2],["i001",50000]]</t>
    <phoneticPr fontId="6" type="noConversion"/>
  </si>
  <si>
    <t>[["i320",3],["i321",2],["i001",30000]]</t>
    <phoneticPr fontId="6" type="noConversion"/>
  </si>
  <si>
    <t>[["i323",2],["i001",2000]]</t>
  </si>
  <si>
    <t>[["i323",1],["i001",2000]]</t>
  </si>
  <si>
    <t>[["i322",3],["i323",2],["i001",20000]]</t>
  </si>
  <si>
    <t>[["i322",3],["i323",2],["i001",15000]]</t>
  </si>
  <si>
    <t>[["i322",3],["i323",2],["i001",50000]]</t>
  </si>
  <si>
    <t>[["i322",3],["i323",2],["i001",30000]]</t>
  </si>
  <si>
    <t>[["i322",1],["i323",10],["i001",20000]]</t>
  </si>
  <si>
    <t>[["i322",5],["i323",10],["i001",20000]]</t>
  </si>
  <si>
    <t>[["i322",5],["i323",10],["i001",40000]]</t>
  </si>
  <si>
    <t>[["i322",5],["i323",20],["i015",1]]</t>
  </si>
  <si>
    <t>[["i322",5],["i323",20],["i015",2]]</t>
  </si>
  <si>
    <t>[["i322",10],["i323",30],["i015",4]]</t>
  </si>
  <si>
    <t>[["i322",25],["i323",50],["i015",6]]</t>
  </si>
  <si>
    <t>[["i322",25],["i323",50],["i015",8]]</t>
  </si>
  <si>
    <t>[["i322",50],["i323",100],["i015",10]]</t>
  </si>
  <si>
    <t>[["i322",100],["i323",250],["i015",20]]</t>
  </si>
  <si>
    <t>[["i322",200],["i323",500],["i015",30]]</t>
  </si>
  <si>
    <t>int</t>
    <phoneticPr fontId="8" type="noConversion"/>
  </si>
  <si>
    <t>int</t>
    <phoneticPr fontId="6" type="noConversion"/>
  </si>
  <si>
    <t>vietnam_vn</t>
    <phoneticPr fontId="8" type="noConversion"/>
  </si>
  <si>
    <t>coco,ios,wanba,google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</si>
</sst>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38">
    <xf numFmtId="0" fontId="0" fillId="0" borderId="0" xfId="0" applyAlignment="1"/>
    <xf numFmtId="0" fontId="0" fillId="0" borderId="0" xfId="0" applyFont="1" applyAlignment="1"/>
    <xf numFmtId="0" fontId="2" fillId="0" borderId="0" xfId="0" applyFont="1" applyAlignment="1"/>
    <xf numFmtId="0" fontId="2" fillId="0" borderId="0" xfId="0" applyNumberFormat="1" applyFont="1" applyAlignment="1"/>
    <xf numFmtId="0" fontId="4" fillId="0" borderId="0" xfId="0" applyFont="1" applyAlignment="1">
      <alignment vertical="center"/>
    </xf>
    <xf numFmtId="0" fontId="3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5" fillId="0" borderId="0" xfId="1" applyNumberFormat="1" applyAlignment="1"/>
    <xf numFmtId="0" fontId="7" fillId="0" borderId="0" xfId="0" applyFont="1" applyAlignment="1"/>
    <xf numFmtId="0" fontId="5" fillId="0" borderId="0" xfId="1" applyAlignment="1"/>
    <xf numFmtId="0" fontId="2" fillId="6" borderId="0" xfId="0" applyNumberFormat="1" applyFont="1" applyFill="1" applyAlignment="1"/>
    <xf numFmtId="0" fontId="2" fillId="6" borderId="0" xfId="0" applyFont="1" applyFill="1" applyAlignment="1"/>
    <xf numFmtId="0" fontId="4" fillId="6" borderId="0" xfId="0" applyFont="1" applyFill="1" applyAlignment="1">
      <alignment vertical="center"/>
    </xf>
    <xf numFmtId="0" fontId="7" fillId="6" borderId="0" xfId="0" applyFont="1" applyFill="1" applyAlignment="1"/>
    <xf numFmtId="0" fontId="3" fillId="6" borderId="0" xfId="0" applyFont="1" applyFill="1" applyAlignment="1"/>
    <xf numFmtId="0" fontId="0" fillId="6" borderId="0" xfId="0" applyFill="1" applyAlignment="1"/>
    <xf numFmtId="0" fontId="0" fillId="6" borderId="0" xfId="0" applyNumberFormat="1" applyFill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  <xf numFmtId="0" fontId="2" fillId="7" borderId="0" xfId="0" applyFont="1" applyFill="1" applyAlignment="1">
      <alignment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2" fillId="9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156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28751EC5-2791-487E-9C6B-91AA3ED69778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DF8B8E4-B2C4-4885-9B67-50E6E97FFB59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4:J131" totalsRowShown="0">
  <autoFilter ref="A4:J131" xr:uid="{00000000-0009-0000-0100-000005000000}"/>
  <tableColumns count="10">
    <tableColumn id="1" xr3:uid="{00000000-0010-0000-0400-000001000000}" name="任务ID"/>
    <tableColumn id="2" xr3:uid="{00000000-0010-0000-0400-000002000000}" name="所属活动，与active_cfg对应"/>
    <tableColumn id="3" xr3:uid="{00000000-0010-0000-0400-000003000000}" name="任务名称">
      <calculatedColumnFormula>"activequest_name_"&amp;表5[[#This Row],[任务ID]]</calculatedColumnFormula>
    </tableColumn>
    <tableColumn id="4" xr3:uid="{00000000-0010-0000-0400-000004000000}" name="条件类型，同daily表"/>
    <tableColumn id="5" xr3:uid="{00000000-0010-0000-0400-000005000000}" name="条件参数"/>
    <tableColumn id="6" xr3:uid="{00000000-0010-0000-0400-000006000000}" name="条件值"/>
    <tableColumn id="7" xr3:uid="{00000000-0010-0000-0400-000007000000}" name="物品id和个数"/>
    <tableColumn id="8" xr3:uid="{00000000-0010-0000-0400-000008000000}" name="是否每日重复"/>
    <tableColumn id="9" xr3:uid="{00000000-0010-0000-0400-000009000000}" name="显示分类1活动任务，2充值回馈"/>
    <tableColumn id="10" xr3:uid="{00000000-0010-0000-0400-00000A000000}" name="名称" dataDxfId="155">
      <calculatedColumnFormula>VLOOKUP(表5[[#This Row],[任务名称]],[1]!表1_8[#Data],2,FALSE)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661CEF-87AB-4ADF-878C-EC40F9F9A67F}" name="表5_2" displayName="表5_2" ref="A4:J131" totalsRowShown="0">
  <autoFilter ref="A4:J131" xr:uid="{00000000-0009-0000-0100-000005000000}"/>
  <tableColumns count="10">
    <tableColumn id="1" xr3:uid="{8B30E7DD-5B4B-40E7-ABD3-D9ADAFA914E0}" name="任务ID"/>
    <tableColumn id="2" xr3:uid="{01D1F775-9C00-4E51-8266-BCAD937C8B37}" name="所属活动，与active_cfg对应"/>
    <tableColumn id="3" xr3:uid="{31EAEF93-1EAF-4E3E-B7F4-5262E7BB5B6E}" name="任务名称">
      <calculatedColumnFormula>"activequest_name_"&amp;表5_2[[#This Row],[任务ID]]</calculatedColumnFormula>
    </tableColumn>
    <tableColumn id="4" xr3:uid="{4733CF0D-EA9C-4A41-9EDE-E141D8300F1B}" name="条件类型，同daily表"/>
    <tableColumn id="5" xr3:uid="{32F89296-CF6D-41B2-A2AA-72AF444F90CC}" name="条件参数"/>
    <tableColumn id="6" xr3:uid="{D482C12D-43EA-49F1-A0D0-F1664A69DA0B}" name="条件值"/>
    <tableColumn id="7" xr3:uid="{F4C64F0B-69AF-43B1-A916-6A84464DEE33}" name="物品id和个数"/>
    <tableColumn id="8" xr3:uid="{76E0F97F-5375-4CA0-8CE3-4B6927704B28}" name="是否每日重复"/>
    <tableColumn id="9" xr3:uid="{98B201C6-7161-4D7B-9FB4-A6BB18A14647}" name="显示分类1活动任务，2充值回馈"/>
    <tableColumn id="10" xr3:uid="{A32AB26E-EBE5-4A75-B589-D7739B21A90F}" name="名称" dataDxfId="154">
      <calculatedColumnFormula>VLOOKUP(表5_2[[#This Row],[任务名称]],[1]!表1_8[#Data],2,FALSE)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7" t="s">
        <v>0</v>
      </c>
      <c r="B1" t="s">
        <v>1</v>
      </c>
    </row>
    <row r="2" spans="1:2" ht="16.5" x14ac:dyDescent="0.15">
      <c r="A2" s="6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26" t="s">
        <v>8</v>
      </c>
      <c r="B6" s="27"/>
    </row>
    <row r="7" spans="1:2" x14ac:dyDescent="0.15">
      <c r="A7" s="27"/>
      <c r="B7" s="27"/>
    </row>
    <row r="8" spans="1:2" x14ac:dyDescent="0.15">
      <c r="A8" s="27"/>
      <c r="B8" s="27"/>
    </row>
    <row r="9" spans="1:2" x14ac:dyDescent="0.15">
      <c r="A9" s="27"/>
      <c r="B9" s="27"/>
    </row>
    <row r="10" spans="1:2" x14ac:dyDescent="0.15">
      <c r="A10" s="27"/>
      <c r="B10" s="27"/>
    </row>
    <row r="11" spans="1:2" x14ac:dyDescent="0.15">
      <c r="A11" s="27"/>
      <c r="B11" s="27"/>
    </row>
    <row r="12" spans="1:2" x14ac:dyDescent="0.15">
      <c r="A12" s="27"/>
      <c r="B12" s="27"/>
    </row>
    <row r="13" spans="1:2" x14ac:dyDescent="0.15">
      <c r="A13" s="27"/>
      <c r="B13" s="27"/>
    </row>
    <row r="14" spans="1:2" x14ac:dyDescent="0.15">
      <c r="A14" s="27"/>
      <c r="B14" s="27"/>
    </row>
    <row r="15" spans="1:2" x14ac:dyDescent="0.15">
      <c r="A15" s="27"/>
      <c r="B15" s="27"/>
    </row>
    <row r="16" spans="1:2" ht="13.15" customHeight="1" x14ac:dyDescent="0.15">
      <c r="A16" s="27"/>
      <c r="B16" s="27"/>
    </row>
    <row r="17" spans="1:2" ht="4.1500000000000004" customHeight="1" x14ac:dyDescent="0.15">
      <c r="A17" s="27"/>
      <c r="B17" s="27"/>
    </row>
    <row r="18" spans="1:2" hidden="1" x14ac:dyDescent="0.15">
      <c r="A18" s="27"/>
      <c r="B18" s="27"/>
    </row>
    <row r="19" spans="1:2" hidden="1" x14ac:dyDescent="0.15">
      <c r="A19" s="27"/>
      <c r="B19" s="27"/>
    </row>
    <row r="20" spans="1:2" hidden="1" x14ac:dyDescent="0.15">
      <c r="A20" s="27"/>
      <c r="B20" s="27"/>
    </row>
    <row r="21" spans="1:2" ht="22.9" customHeight="1" x14ac:dyDescent="0.15">
      <c r="A21" s="27"/>
      <c r="B21" s="27"/>
    </row>
    <row r="22" spans="1:2" ht="45" customHeight="1" x14ac:dyDescent="0.15">
      <c r="A22" s="27"/>
      <c r="B22" s="27"/>
    </row>
    <row r="23" spans="1:2" ht="51" hidden="1" customHeight="1" x14ac:dyDescent="0.15">
      <c r="A23" s="27"/>
      <c r="B23" s="27"/>
    </row>
    <row r="24" spans="1:2" x14ac:dyDescent="0.15">
      <c r="A24" s="28" t="s">
        <v>9</v>
      </c>
      <c r="B24" s="28"/>
    </row>
    <row r="25" spans="1:2" x14ac:dyDescent="0.15">
      <c r="A25" s="28" t="s">
        <v>10</v>
      </c>
      <c r="B25" s="28"/>
    </row>
    <row r="26" spans="1:2" x14ac:dyDescent="0.15">
      <c r="A26" s="28" t="s">
        <v>11</v>
      </c>
      <c r="B26" s="28"/>
    </row>
    <row r="27" spans="1:2" x14ac:dyDescent="0.15">
      <c r="A27" s="10"/>
      <c r="B27" s="11" t="s">
        <v>34</v>
      </c>
    </row>
    <row r="28" spans="1:2" x14ac:dyDescent="0.15">
      <c r="A28" s="10"/>
      <c r="B28" s="11" t="s">
        <v>35</v>
      </c>
    </row>
    <row r="29" spans="1:2" x14ac:dyDescent="0.15">
      <c r="A29" s="10"/>
      <c r="B29" s="11" t="s">
        <v>36</v>
      </c>
    </row>
    <row r="30" spans="1:2" x14ac:dyDescent="0.15">
      <c r="A30" s="10"/>
      <c r="B30" s="11" t="s">
        <v>37</v>
      </c>
    </row>
    <row r="31" spans="1:2" x14ac:dyDescent="0.15">
      <c r="A31" s="10"/>
      <c r="B31" s="11" t="s">
        <v>38</v>
      </c>
    </row>
    <row r="32" spans="1:2" x14ac:dyDescent="0.15">
      <c r="A32" s="10"/>
      <c r="B32" s="11" t="s">
        <v>39</v>
      </c>
    </row>
    <row r="33" spans="1:2" x14ac:dyDescent="0.15">
      <c r="A33" s="10"/>
      <c r="B33" s="11" t="s">
        <v>40</v>
      </c>
    </row>
    <row r="34" spans="1:2" x14ac:dyDescent="0.15">
      <c r="A34" s="10"/>
      <c r="B34" s="11" t="s">
        <v>41</v>
      </c>
    </row>
    <row r="35" spans="1:2" x14ac:dyDescent="0.15">
      <c r="A35" s="10"/>
      <c r="B35" s="11" t="s">
        <v>42</v>
      </c>
    </row>
    <row r="36" spans="1:2" x14ac:dyDescent="0.15">
      <c r="A36" s="10"/>
      <c r="B36" s="11" t="s">
        <v>43</v>
      </c>
    </row>
    <row r="37" spans="1:2" x14ac:dyDescent="0.15">
      <c r="A37" s="10"/>
      <c r="B37" s="11" t="s">
        <v>44</v>
      </c>
    </row>
    <row r="38" spans="1:2" x14ac:dyDescent="0.15">
      <c r="A38" s="10"/>
      <c r="B38" s="11" t="s">
        <v>45</v>
      </c>
    </row>
    <row r="39" spans="1:2" x14ac:dyDescent="0.15">
      <c r="A39" s="10"/>
      <c r="B39" s="11" t="s">
        <v>46</v>
      </c>
    </row>
    <row r="40" spans="1:2" x14ac:dyDescent="0.15">
      <c r="A40" s="10"/>
      <c r="B40" s="11" t="s">
        <v>47</v>
      </c>
    </row>
    <row r="41" spans="1:2" x14ac:dyDescent="0.15">
      <c r="A41" s="10"/>
      <c r="B41" s="11" t="s">
        <v>48</v>
      </c>
    </row>
    <row r="42" spans="1:2" x14ac:dyDescent="0.15">
      <c r="A42" s="10"/>
      <c r="B42" s="11" t="s">
        <v>49</v>
      </c>
    </row>
    <row r="43" spans="1:2" x14ac:dyDescent="0.15">
      <c r="A43" s="10"/>
      <c r="B43" s="11" t="s">
        <v>50</v>
      </c>
    </row>
    <row r="44" spans="1:2" x14ac:dyDescent="0.15">
      <c r="A44" s="10"/>
      <c r="B44" s="11" t="s">
        <v>68</v>
      </c>
    </row>
    <row r="45" spans="1:2" x14ac:dyDescent="0.15">
      <c r="A45" s="10"/>
      <c r="B45" s="11" t="s">
        <v>69</v>
      </c>
    </row>
    <row r="46" spans="1:2" x14ac:dyDescent="0.15">
      <c r="B46" s="11" t="s">
        <v>70</v>
      </c>
    </row>
    <row r="47" spans="1:2" x14ac:dyDescent="0.15">
      <c r="B47" s="11" t="s">
        <v>71</v>
      </c>
    </row>
    <row r="48" spans="1:2" x14ac:dyDescent="0.15">
      <c r="B48" s="11" t="s">
        <v>72</v>
      </c>
    </row>
    <row r="49" spans="2:2" x14ac:dyDescent="0.15">
      <c r="B49" s="11" t="s">
        <v>73</v>
      </c>
    </row>
    <row r="50" spans="2:2" x14ac:dyDescent="0.15">
      <c r="B50" s="11" t="s">
        <v>74</v>
      </c>
    </row>
    <row r="51" spans="2:2" x14ac:dyDescent="0.15">
      <c r="B51" s="11" t="s">
        <v>75</v>
      </c>
    </row>
    <row r="52" spans="2:2" x14ac:dyDescent="0.15">
      <c r="B52" s="13" t="s">
        <v>76</v>
      </c>
    </row>
    <row r="53" spans="2:2" x14ac:dyDescent="0.15">
      <c r="B53" s="13" t="s">
        <v>79</v>
      </c>
    </row>
    <row r="54" spans="2:2" x14ac:dyDescent="0.15">
      <c r="B54" s="13" t="s">
        <v>80</v>
      </c>
    </row>
    <row r="55" spans="2:2" x14ac:dyDescent="0.15">
      <c r="B55" s="13" t="s">
        <v>81</v>
      </c>
    </row>
  </sheetData>
  <mergeCells count="4">
    <mergeCell ref="A6:B23"/>
    <mergeCell ref="A24:B24"/>
    <mergeCell ref="A25:B25"/>
    <mergeCell ref="A26:B26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131"/>
  <sheetViews>
    <sheetView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7" sqref="B7"/>
    </sheetView>
  </sheetViews>
  <sheetFormatPr defaultColWidth="9" defaultRowHeight="13.5" x14ac:dyDescent="0.15"/>
  <cols>
    <col min="1" max="1" width="12.25" customWidth="1"/>
    <col min="2" max="2" width="28.625" customWidth="1"/>
    <col min="3" max="3" width="22.875" bestFit="1" customWidth="1"/>
    <col min="4" max="4" width="24.625" customWidth="1"/>
    <col min="5" max="5" width="11.75" customWidth="1"/>
    <col min="6" max="6" width="9.75" customWidth="1"/>
    <col min="7" max="7" width="43.375" customWidth="1"/>
    <col min="8" max="8" width="16.125" customWidth="1"/>
    <col min="9" max="9" width="34.125" customWidth="1"/>
    <col min="10" max="10" width="19.5" customWidth="1"/>
  </cols>
  <sheetData>
    <row r="1" spans="1:27" s="30" customFormat="1" ht="12" customHeight="1" x14ac:dyDescent="0.15">
      <c r="A1" s="29"/>
      <c r="B1" s="30" t="s">
        <v>192</v>
      </c>
      <c r="C1" s="29"/>
      <c r="X1" s="31"/>
    </row>
    <row r="2" spans="1:27" s="34" customFormat="1" ht="12" customHeight="1" x14ac:dyDescent="0.15">
      <c r="A2" s="32" t="s">
        <v>12</v>
      </c>
      <c r="B2" s="33" t="s">
        <v>19</v>
      </c>
      <c r="C2" s="33" t="s">
        <v>20</v>
      </c>
      <c r="D2" s="33" t="s">
        <v>21</v>
      </c>
      <c r="E2" s="33" t="s">
        <v>22</v>
      </c>
      <c r="F2" s="33" t="s">
        <v>23</v>
      </c>
      <c r="G2" s="33" t="s">
        <v>14</v>
      </c>
      <c r="H2" s="33" t="s">
        <v>13</v>
      </c>
      <c r="I2" s="33" t="s">
        <v>24</v>
      </c>
      <c r="J2" s="33" t="s">
        <v>18</v>
      </c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</row>
    <row r="3" spans="1:27" s="37" customFormat="1" ht="12" customHeight="1" x14ac:dyDescent="0.15">
      <c r="A3" s="35" t="s">
        <v>189</v>
      </c>
      <c r="B3" s="36" t="s">
        <v>190</v>
      </c>
      <c r="C3" s="36" t="s">
        <v>16</v>
      </c>
      <c r="D3" s="36" t="s">
        <v>15</v>
      </c>
      <c r="E3" s="36" t="s">
        <v>15</v>
      </c>
      <c r="F3" s="36" t="s">
        <v>15</v>
      </c>
      <c r="G3" s="36" t="s">
        <v>17</v>
      </c>
      <c r="H3" s="36" t="s">
        <v>15</v>
      </c>
      <c r="I3" s="36" t="s">
        <v>15</v>
      </c>
      <c r="J3" s="36" t="s">
        <v>18</v>
      </c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</row>
    <row r="4" spans="1:27" x14ac:dyDescent="0.15">
      <c r="A4" t="s">
        <v>25</v>
      </c>
      <c r="B4" s="1" t="s">
        <v>26</v>
      </c>
      <c r="C4" t="s">
        <v>27</v>
      </c>
      <c r="D4" s="1" t="s">
        <v>28</v>
      </c>
      <c r="E4" t="s">
        <v>29</v>
      </c>
      <c r="F4" t="s">
        <v>30</v>
      </c>
      <c r="G4" t="s">
        <v>31</v>
      </c>
      <c r="H4" s="1" t="s">
        <v>32</v>
      </c>
      <c r="I4" s="1" t="s">
        <v>33</v>
      </c>
      <c r="J4" t="s">
        <v>51</v>
      </c>
    </row>
    <row r="5" spans="1:27" x14ac:dyDescent="0.15">
      <c r="A5" s="14">
        <v>1001</v>
      </c>
      <c r="B5" s="15">
        <v>1</v>
      </c>
      <c r="C5" s="16" t="str">
        <f>"activequest_name_"&amp;表5[[#This Row],[任务ID]]</f>
        <v>activequest_name_1001</v>
      </c>
      <c r="D5" s="17">
        <v>20</v>
      </c>
      <c r="E5" s="17">
        <v>0</v>
      </c>
      <c r="F5" s="17">
        <v>10</v>
      </c>
      <c r="G5" s="18" t="s">
        <v>77</v>
      </c>
      <c r="H5" s="15">
        <v>0</v>
      </c>
      <c r="I5" s="15">
        <v>1</v>
      </c>
      <c r="J5" s="19" t="str">
        <f>VLOOKUP(表5[[#This Row],[任务名称]],[1]!表1_8[#Data],2,FALSE)</f>
        <v>参与保卫女神10次</v>
      </c>
    </row>
    <row r="6" spans="1:27" x14ac:dyDescent="0.15">
      <c r="A6" s="14">
        <v>1002</v>
      </c>
      <c r="B6" s="15">
        <v>1</v>
      </c>
      <c r="C6" s="16" t="str">
        <f>"activequest_name_"&amp;表5[[#This Row],[任务ID]]</f>
        <v>activequest_name_1002</v>
      </c>
      <c r="D6" s="15">
        <v>21</v>
      </c>
      <c r="E6" s="15">
        <v>0</v>
      </c>
      <c r="F6" s="15">
        <v>30</v>
      </c>
      <c r="G6" s="18" t="s">
        <v>78</v>
      </c>
      <c r="H6" s="15">
        <v>0</v>
      </c>
      <c r="I6" s="15">
        <v>1</v>
      </c>
      <c r="J6" s="19" t="str">
        <f>VLOOKUP(表5[[#This Row],[任务名称]],[1]!表1_8[#Data],2,FALSE)</f>
        <v>在水族馆放养30次鱼</v>
      </c>
    </row>
    <row r="7" spans="1:27" x14ac:dyDescent="0.15">
      <c r="A7" s="14">
        <v>1003</v>
      </c>
      <c r="B7" s="15">
        <v>1</v>
      </c>
      <c r="C7" s="16" t="str">
        <f>"activequest_name_"&amp;表5[[#This Row],[任务ID]]</f>
        <v>activequest_name_1003</v>
      </c>
      <c r="D7" s="17">
        <v>18</v>
      </c>
      <c r="E7" s="17">
        <v>0</v>
      </c>
      <c r="F7" s="17">
        <v>5</v>
      </c>
      <c r="G7" s="18" t="s">
        <v>52</v>
      </c>
      <c r="H7" s="15">
        <v>1</v>
      </c>
      <c r="I7" s="15">
        <v>1</v>
      </c>
      <c r="J7" s="19" t="str">
        <f>VLOOKUP(表5[[#This Row],[任务名称]],[1]!表1_8[#Data],2,FALSE)</f>
        <v>购买5次金币</v>
      </c>
    </row>
    <row r="8" spans="1:27" x14ac:dyDescent="0.15">
      <c r="A8" s="14">
        <v>1004</v>
      </c>
      <c r="B8" s="15">
        <v>1</v>
      </c>
      <c r="C8" s="16" t="str">
        <f>"activequest_name_"&amp;表5[[#This Row],[任务ID]]</f>
        <v>activequest_name_1004</v>
      </c>
      <c r="D8" s="17">
        <v>1</v>
      </c>
      <c r="E8" s="17">
        <v>21</v>
      </c>
      <c r="F8" s="17">
        <v>5</v>
      </c>
      <c r="G8" s="18" t="s">
        <v>53</v>
      </c>
      <c r="H8" s="15">
        <v>1</v>
      </c>
      <c r="I8" s="15">
        <v>1</v>
      </c>
      <c r="J8" s="19" t="str">
        <f>VLOOKUP(表5[[#This Row],[任务名称]],[1]!表1_8[#Data],2,FALSE)</f>
        <v>捕获BOSS灯笼鱼5条</v>
      </c>
    </row>
    <row r="9" spans="1:27" x14ac:dyDescent="0.15">
      <c r="A9" s="14">
        <v>1005</v>
      </c>
      <c r="B9" s="15">
        <v>1</v>
      </c>
      <c r="C9" s="16" t="str">
        <f>"activequest_name_"&amp;表5[[#This Row],[任务ID]]</f>
        <v>activequest_name_1005</v>
      </c>
      <c r="D9" s="17">
        <v>1</v>
      </c>
      <c r="E9" s="17">
        <v>22</v>
      </c>
      <c r="F9" s="17">
        <v>5</v>
      </c>
      <c r="G9" s="18" t="s">
        <v>53</v>
      </c>
      <c r="H9" s="15">
        <v>1</v>
      </c>
      <c r="I9" s="15">
        <v>1</v>
      </c>
      <c r="J9" s="19" t="str">
        <f>VLOOKUP(表5[[#This Row],[任务名称]],[1]!表1_8[#Data],2,FALSE)</f>
        <v>捕获BOSS美人鱼5条</v>
      </c>
    </row>
    <row r="10" spans="1:27" x14ac:dyDescent="0.15">
      <c r="A10" s="14">
        <v>1006</v>
      </c>
      <c r="B10" s="15">
        <v>1</v>
      </c>
      <c r="C10" s="16" t="str">
        <f>"activequest_name_"&amp;表5[[#This Row],[任务ID]]</f>
        <v>activequest_name_1006</v>
      </c>
      <c r="D10" s="17">
        <v>1</v>
      </c>
      <c r="E10" s="17">
        <v>49</v>
      </c>
      <c r="F10" s="17">
        <v>5</v>
      </c>
      <c r="G10" s="18" t="s">
        <v>53</v>
      </c>
      <c r="H10" s="15">
        <v>1</v>
      </c>
      <c r="I10" s="15">
        <v>1</v>
      </c>
      <c r="J10" s="19" t="str">
        <f>VLOOKUP(表5[[#This Row],[任务名称]],[1]!表1_8[#Data],2,FALSE)</f>
        <v>捕获BOSS章鱼5条</v>
      </c>
    </row>
    <row r="11" spans="1:27" x14ac:dyDescent="0.15">
      <c r="A11" s="14">
        <v>1007</v>
      </c>
      <c r="B11" s="15">
        <v>1</v>
      </c>
      <c r="C11" s="16" t="str">
        <f>"activequest_name_"&amp;表5[[#This Row],[任务ID]]</f>
        <v>activequest_name_1007</v>
      </c>
      <c r="D11" s="17">
        <v>1</v>
      </c>
      <c r="E11" s="17">
        <v>57</v>
      </c>
      <c r="F11" s="17">
        <v>5</v>
      </c>
      <c r="G11" s="18" t="s">
        <v>53</v>
      </c>
      <c r="H11" s="15">
        <v>1</v>
      </c>
      <c r="I11" s="15">
        <v>1</v>
      </c>
      <c r="J11" s="19" t="str">
        <f>VLOOKUP(表5[[#This Row],[任务名称]],[1]!表1_8[#Data],2,FALSE)</f>
        <v>捕获BOSS海马5条</v>
      </c>
    </row>
    <row r="12" spans="1:27" x14ac:dyDescent="0.15">
      <c r="A12" s="14">
        <v>1008</v>
      </c>
      <c r="B12" s="15">
        <v>1</v>
      </c>
      <c r="C12" s="16" t="str">
        <f>"activequest_name_"&amp;表5[[#This Row],[任务ID]]</f>
        <v>activequest_name_1008</v>
      </c>
      <c r="D12" s="15">
        <v>1</v>
      </c>
      <c r="E12" s="15">
        <v>52</v>
      </c>
      <c r="F12" s="15">
        <v>1</v>
      </c>
      <c r="G12" s="18" t="s">
        <v>55</v>
      </c>
      <c r="H12" s="15">
        <v>1</v>
      </c>
      <c r="I12" s="15">
        <v>1</v>
      </c>
      <c r="J12" s="19" t="str">
        <f>VLOOKUP(表5[[#This Row],[任务名称]],[1]!表1_8[#Data],2,FALSE)</f>
        <v>在保卫女神中捕获1条宝箱鱼</v>
      </c>
    </row>
    <row r="13" spans="1:27" x14ac:dyDescent="0.15">
      <c r="A13" s="14">
        <v>1009</v>
      </c>
      <c r="B13" s="15">
        <v>1</v>
      </c>
      <c r="C13" s="16" t="str">
        <f>"activequest_name_"&amp;表5[[#This Row],[任务ID]]</f>
        <v>activequest_name_1009</v>
      </c>
      <c r="D13" s="15">
        <v>1</v>
      </c>
      <c r="E13" s="15">
        <v>0</v>
      </c>
      <c r="F13" s="15">
        <v>100000</v>
      </c>
      <c r="G13" s="18" t="s">
        <v>54</v>
      </c>
      <c r="H13" s="15">
        <v>0</v>
      </c>
      <c r="I13" s="15">
        <v>1</v>
      </c>
      <c r="J13" s="19" t="str">
        <f>VLOOKUP(表5[[#This Row],[任务名称]],[1]!表1_8[#Data],2,FALSE)</f>
        <v>捕获任意鱼100000条</v>
      </c>
    </row>
    <row r="14" spans="1:27" x14ac:dyDescent="0.15">
      <c r="A14" s="14">
        <v>1010</v>
      </c>
      <c r="B14" s="15">
        <v>1</v>
      </c>
      <c r="C14" s="16" t="str">
        <f>"activequest_name_"&amp;表5[[#This Row],[任务ID]]</f>
        <v>activequest_name_1010</v>
      </c>
      <c r="D14" s="15">
        <v>13</v>
      </c>
      <c r="E14" s="15">
        <v>0</v>
      </c>
      <c r="F14" s="15">
        <v>10</v>
      </c>
      <c r="G14" s="18" t="s">
        <v>56</v>
      </c>
      <c r="H14" s="15">
        <v>0</v>
      </c>
      <c r="I14" s="15">
        <v>1</v>
      </c>
      <c r="J14" s="19" t="str">
        <f>VLOOKUP(表5[[#This Row],[任务名称]],[1]!表1_8[#Data],2,FALSE)</f>
        <v>累计登录10天</v>
      </c>
    </row>
    <row r="15" spans="1:27" x14ac:dyDescent="0.15">
      <c r="A15" s="14">
        <v>1011</v>
      </c>
      <c r="B15" s="15">
        <v>1</v>
      </c>
      <c r="C15" s="16" t="str">
        <f>"activequest_name_"&amp;表5[[#This Row],[任务ID]]</f>
        <v>activequest_name_1011</v>
      </c>
      <c r="D15" s="17">
        <v>2</v>
      </c>
      <c r="E15" s="17">
        <v>3</v>
      </c>
      <c r="F15" s="17">
        <v>50</v>
      </c>
      <c r="G15" s="18" t="s">
        <v>57</v>
      </c>
      <c r="H15" s="15">
        <v>1</v>
      </c>
      <c r="I15" s="15">
        <v>1</v>
      </c>
      <c r="J15" s="19" t="str">
        <f>VLOOKUP(表5[[#This Row],[任务名称]],[1]!表1_8[#Data],2,FALSE)</f>
        <v>使用技能召唤50条鱼</v>
      </c>
    </row>
    <row r="16" spans="1:27" x14ac:dyDescent="0.15">
      <c r="A16" s="14">
        <v>1012</v>
      </c>
      <c r="B16" s="15">
        <v>1</v>
      </c>
      <c r="C16" s="16" t="str">
        <f>"activequest_name_"&amp;表5[[#This Row],[任务ID]]</f>
        <v>activequest_name_1012</v>
      </c>
      <c r="D16" s="17">
        <v>2</v>
      </c>
      <c r="E16" s="17">
        <v>4</v>
      </c>
      <c r="F16" s="17">
        <v>20</v>
      </c>
      <c r="G16" s="18" t="s">
        <v>57</v>
      </c>
      <c r="H16" s="15">
        <v>1</v>
      </c>
      <c r="I16" s="15">
        <v>1</v>
      </c>
      <c r="J16" s="19" t="str">
        <f>VLOOKUP(表5[[#This Row],[任务名称]],[1]!表1_8[#Data],2,FALSE)</f>
        <v>使用激光20次</v>
      </c>
    </row>
    <row r="17" spans="1:10" x14ac:dyDescent="0.15">
      <c r="A17" s="14">
        <v>1013</v>
      </c>
      <c r="B17" s="15">
        <v>1</v>
      </c>
      <c r="C17" s="16" t="str">
        <f>"activequest_name_"&amp;表5[[#This Row],[任务ID]]</f>
        <v>activequest_name_1013</v>
      </c>
      <c r="D17" s="15">
        <v>19</v>
      </c>
      <c r="E17" s="15">
        <v>1</v>
      </c>
      <c r="F17" s="15">
        <v>1</v>
      </c>
      <c r="G17" s="18" t="s">
        <v>58</v>
      </c>
      <c r="H17" s="15">
        <v>1</v>
      </c>
      <c r="I17" s="15">
        <v>2</v>
      </c>
      <c r="J17" s="19" t="str">
        <f>VLOOKUP(表5[[#This Row],[任务名称]],[1]!表1_8[#Data],2,FALSE)</f>
        <v>今日充值任意金额</v>
      </c>
    </row>
    <row r="18" spans="1:10" x14ac:dyDescent="0.15">
      <c r="A18" s="14">
        <v>1091</v>
      </c>
      <c r="B18" s="15">
        <v>1</v>
      </c>
      <c r="C18" s="16" t="str">
        <f>"activequest_name_"&amp;表5[[#This Row],[任务ID]]</f>
        <v>activequest_name_1091</v>
      </c>
      <c r="D18" s="15">
        <v>19</v>
      </c>
      <c r="E18" s="15">
        <v>0</v>
      </c>
      <c r="F18" s="15">
        <v>100</v>
      </c>
      <c r="G18" s="18" t="s">
        <v>59</v>
      </c>
      <c r="H18" s="15">
        <v>0</v>
      </c>
      <c r="I18" s="15">
        <v>2</v>
      </c>
      <c r="J18" s="19" t="str">
        <f>VLOOKUP(表5[[#This Row],[任务名称]],[1]!表1_8[#Data],2,FALSE)</f>
        <v>活动期间充值100钻</v>
      </c>
    </row>
    <row r="19" spans="1:10" x14ac:dyDescent="0.15">
      <c r="A19" s="14">
        <v>1092</v>
      </c>
      <c r="B19" s="15">
        <v>1</v>
      </c>
      <c r="C19" s="16" t="str">
        <f>"activequest_name_"&amp;表5[[#This Row],[任务ID]]</f>
        <v>activequest_name_1092</v>
      </c>
      <c r="D19" s="15">
        <v>19</v>
      </c>
      <c r="E19" s="15">
        <v>0</v>
      </c>
      <c r="F19" s="15">
        <v>200</v>
      </c>
      <c r="G19" s="18" t="s">
        <v>60</v>
      </c>
      <c r="H19" s="15">
        <v>0</v>
      </c>
      <c r="I19" s="15">
        <v>2</v>
      </c>
      <c r="J19" s="19" t="str">
        <f>VLOOKUP(表5[[#This Row],[任务名称]],[1]!表1_8[#Data],2,FALSE)</f>
        <v>活动期间充值200钻</v>
      </c>
    </row>
    <row r="20" spans="1:10" x14ac:dyDescent="0.15">
      <c r="A20" s="14">
        <v>1093</v>
      </c>
      <c r="B20" s="15">
        <v>1</v>
      </c>
      <c r="C20" s="16" t="str">
        <f>"activequest_name_"&amp;表5[[#This Row],[任务ID]]</f>
        <v>activequest_name_1093</v>
      </c>
      <c r="D20" s="15">
        <v>19</v>
      </c>
      <c r="E20" s="15">
        <v>0</v>
      </c>
      <c r="F20" s="15">
        <v>400</v>
      </c>
      <c r="G20" s="18" t="s">
        <v>61</v>
      </c>
      <c r="H20" s="15">
        <v>0</v>
      </c>
      <c r="I20" s="15">
        <v>2</v>
      </c>
      <c r="J20" s="19" t="str">
        <f>VLOOKUP(表5[[#This Row],[任务名称]],[1]!表1_8[#Data],2,FALSE)</f>
        <v>活动期间充值400钻</v>
      </c>
    </row>
    <row r="21" spans="1:10" x14ac:dyDescent="0.15">
      <c r="A21" s="14">
        <v>1094</v>
      </c>
      <c r="B21" s="15">
        <v>1</v>
      </c>
      <c r="C21" s="16" t="str">
        <f>"activequest_name_"&amp;表5[[#This Row],[任务ID]]</f>
        <v>activequest_name_1094</v>
      </c>
      <c r="D21" s="15">
        <v>19</v>
      </c>
      <c r="E21" s="15">
        <v>0</v>
      </c>
      <c r="F21" s="15">
        <v>600</v>
      </c>
      <c r="G21" s="18" t="s">
        <v>62</v>
      </c>
      <c r="H21" s="15">
        <v>0</v>
      </c>
      <c r="I21" s="15">
        <v>2</v>
      </c>
      <c r="J21" s="20" t="str">
        <f>VLOOKUP(表5[[#This Row],[任务名称]],[1]!表1_8[#Data],2,FALSE)</f>
        <v>活动期间充值600钻</v>
      </c>
    </row>
    <row r="22" spans="1:10" x14ac:dyDescent="0.15">
      <c r="A22" s="14">
        <v>1095</v>
      </c>
      <c r="B22" s="15">
        <v>1</v>
      </c>
      <c r="C22" s="16" t="str">
        <f>"activequest_name_"&amp;表5[[#This Row],[任务ID]]</f>
        <v>activequest_name_1095</v>
      </c>
      <c r="D22" s="15">
        <v>19</v>
      </c>
      <c r="E22" s="15">
        <v>0</v>
      </c>
      <c r="F22" s="15">
        <v>1000</v>
      </c>
      <c r="G22" s="18" t="s">
        <v>63</v>
      </c>
      <c r="H22" s="15">
        <v>0</v>
      </c>
      <c r="I22" s="15">
        <v>2</v>
      </c>
      <c r="J22" s="20" t="str">
        <f>VLOOKUP(表5[[#This Row],[任务名称]],[1]!表1_8[#Data],2,FALSE)</f>
        <v>活动期间充值1000钻</v>
      </c>
    </row>
    <row r="23" spans="1:10" x14ac:dyDescent="0.15">
      <c r="A23" s="14">
        <v>1096</v>
      </c>
      <c r="B23" s="15">
        <v>1</v>
      </c>
      <c r="C23" s="16" t="str">
        <f>"activequest_name_"&amp;表5[[#This Row],[任务ID]]</f>
        <v>activequest_name_1096</v>
      </c>
      <c r="D23" s="15">
        <v>19</v>
      </c>
      <c r="E23" s="15">
        <v>0</v>
      </c>
      <c r="F23" s="15">
        <v>2000</v>
      </c>
      <c r="G23" s="18" t="s">
        <v>64</v>
      </c>
      <c r="H23" s="15">
        <v>0</v>
      </c>
      <c r="I23" s="15">
        <v>2</v>
      </c>
      <c r="J23" s="20" t="str">
        <f>VLOOKUP(表5[[#This Row],[任务名称]],[1]!表1_8[#Data],2,FALSE)</f>
        <v>活动期间充值2000钻</v>
      </c>
    </row>
    <row r="24" spans="1:10" x14ac:dyDescent="0.15">
      <c r="A24" s="14">
        <v>1097</v>
      </c>
      <c r="B24" s="15">
        <v>1</v>
      </c>
      <c r="C24" s="16" t="str">
        <f>"activequest_name_"&amp;表5[[#This Row],[任务ID]]</f>
        <v>activequest_name_1097</v>
      </c>
      <c r="D24" s="15">
        <v>19</v>
      </c>
      <c r="E24" s="15">
        <v>0</v>
      </c>
      <c r="F24" s="15">
        <v>3000</v>
      </c>
      <c r="G24" s="18" t="s">
        <v>65</v>
      </c>
      <c r="H24" s="15">
        <v>0</v>
      </c>
      <c r="I24" s="15">
        <v>2</v>
      </c>
      <c r="J24" s="20" t="str">
        <f>VLOOKUP(表5[[#This Row],[任务名称]],[1]!表1_8[#Data],2,FALSE)</f>
        <v>活动期间充值3000钻</v>
      </c>
    </row>
    <row r="25" spans="1:10" x14ac:dyDescent="0.15">
      <c r="A25" s="14">
        <v>1098</v>
      </c>
      <c r="B25" s="15">
        <v>1</v>
      </c>
      <c r="C25" s="16" t="str">
        <f>"activequest_name_"&amp;表5[[#This Row],[任务ID]]</f>
        <v>activequest_name_1098</v>
      </c>
      <c r="D25" s="15">
        <v>19</v>
      </c>
      <c r="E25" s="15">
        <v>0</v>
      </c>
      <c r="F25" s="15">
        <v>5000</v>
      </c>
      <c r="G25" s="18" t="s">
        <v>66</v>
      </c>
      <c r="H25" s="15">
        <v>0</v>
      </c>
      <c r="I25" s="15">
        <v>2</v>
      </c>
      <c r="J25" s="20" t="str">
        <f>VLOOKUP(表5[[#This Row],[任务名称]],[1]!表1_8[#Data],2,FALSE)</f>
        <v>活动期间充值5000钻</v>
      </c>
    </row>
    <row r="26" spans="1:10" x14ac:dyDescent="0.15">
      <c r="A26" s="14">
        <v>1099</v>
      </c>
      <c r="B26" s="15">
        <v>1</v>
      </c>
      <c r="C26" s="16" t="str">
        <f>"activequest_name_"&amp;表5[[#This Row],[任务ID]]</f>
        <v>activequest_name_1099</v>
      </c>
      <c r="D26" s="15">
        <v>19</v>
      </c>
      <c r="E26" s="15">
        <v>0</v>
      </c>
      <c r="F26" s="15">
        <v>10000</v>
      </c>
      <c r="G26" s="18" t="s">
        <v>67</v>
      </c>
      <c r="H26" s="15">
        <v>0</v>
      </c>
      <c r="I26" s="15">
        <v>2</v>
      </c>
      <c r="J26" s="20" t="str">
        <f>VLOOKUP(表5[[#This Row],[任务名称]],[1]!表1_8[#Data],2,FALSE)</f>
        <v>活动期间充值10000钻</v>
      </c>
    </row>
    <row r="27" spans="1:10" x14ac:dyDescent="0.15">
      <c r="A27" s="14">
        <v>2001</v>
      </c>
      <c r="B27" s="15">
        <v>2</v>
      </c>
      <c r="C27" s="16" t="str">
        <f>"activequest_name_"&amp;表5[[#This Row],[任务ID]]</f>
        <v>activequest_name_2001</v>
      </c>
      <c r="D27" s="17">
        <v>28</v>
      </c>
      <c r="E27" s="17">
        <v>0</v>
      </c>
      <c r="F27" s="17">
        <v>3</v>
      </c>
      <c r="G27" s="18" t="s">
        <v>86</v>
      </c>
      <c r="H27" s="15">
        <v>1</v>
      </c>
      <c r="I27" s="15">
        <v>1</v>
      </c>
      <c r="J27" s="19" t="str">
        <f>VLOOKUP(表5[[#This Row],[任务名称]],[1]!表1_8[#Data],2,FALSE)</f>
        <v>今日排位赛胜利5次</v>
      </c>
    </row>
    <row r="28" spans="1:10" x14ac:dyDescent="0.15">
      <c r="A28" s="14">
        <v>2002</v>
      </c>
      <c r="B28" s="15">
        <v>2</v>
      </c>
      <c r="C28" s="16" t="str">
        <f>"activequest_name_"&amp;表5[[#This Row],[任务ID]]</f>
        <v>activequest_name_2002</v>
      </c>
      <c r="D28" s="17">
        <v>1</v>
      </c>
      <c r="E28" s="17">
        <v>21</v>
      </c>
      <c r="F28" s="17">
        <v>2</v>
      </c>
      <c r="G28" s="18" t="s">
        <v>87</v>
      </c>
      <c r="H28" s="15">
        <v>1</v>
      </c>
      <c r="I28" s="15">
        <v>1</v>
      </c>
      <c r="J28" s="19" t="str">
        <f>VLOOKUP(表5[[#This Row],[任务名称]],[1]!表1_8[#Data],2,FALSE)</f>
        <v>今日捕获BOSS灯笼鱼2条</v>
      </c>
    </row>
    <row r="29" spans="1:10" x14ac:dyDescent="0.15">
      <c r="A29" s="14">
        <v>2003</v>
      </c>
      <c r="B29" s="15">
        <v>2</v>
      </c>
      <c r="C29" s="16" t="str">
        <f>"activequest_name_"&amp;表5[[#This Row],[任务ID]]</f>
        <v>activequest_name_2003</v>
      </c>
      <c r="D29" s="17">
        <v>1</v>
      </c>
      <c r="E29" s="17">
        <v>22</v>
      </c>
      <c r="F29" s="17">
        <v>2</v>
      </c>
      <c r="G29" s="18" t="s">
        <v>88</v>
      </c>
      <c r="H29" s="15">
        <v>1</v>
      </c>
      <c r="I29" s="15">
        <v>1</v>
      </c>
      <c r="J29" s="19" t="str">
        <f>VLOOKUP(表5[[#This Row],[任务名称]],[1]!表1_8[#Data],2,FALSE)</f>
        <v>今日捕获BOSS美人鱼2条</v>
      </c>
    </row>
    <row r="30" spans="1:10" x14ac:dyDescent="0.15">
      <c r="A30" s="14">
        <v>2004</v>
      </c>
      <c r="B30" s="15">
        <v>2</v>
      </c>
      <c r="C30" s="16" t="str">
        <f>"activequest_name_"&amp;表5[[#This Row],[任务ID]]</f>
        <v>activequest_name_2004</v>
      </c>
      <c r="D30" s="17">
        <v>1</v>
      </c>
      <c r="E30" s="17">
        <v>49</v>
      </c>
      <c r="F30" s="17">
        <v>2</v>
      </c>
      <c r="G30" s="18" t="s">
        <v>86</v>
      </c>
      <c r="H30" s="15">
        <v>1</v>
      </c>
      <c r="I30" s="15">
        <v>1</v>
      </c>
      <c r="J30" s="19" t="str">
        <f>VLOOKUP(表5[[#This Row],[任务名称]],[1]!表1_8[#Data],2,FALSE)</f>
        <v>今日捕获BOSS章鱼2条</v>
      </c>
    </row>
    <row r="31" spans="1:10" x14ac:dyDescent="0.15">
      <c r="A31" s="14">
        <v>2005</v>
      </c>
      <c r="B31" s="15">
        <v>2</v>
      </c>
      <c r="C31" s="16" t="str">
        <f>"activequest_name_"&amp;表5[[#This Row],[任务ID]]</f>
        <v>activequest_name_2005</v>
      </c>
      <c r="D31" s="17">
        <v>1</v>
      </c>
      <c r="E31" s="17">
        <v>57</v>
      </c>
      <c r="F31" s="17">
        <v>2</v>
      </c>
      <c r="G31" s="18" t="s">
        <v>87</v>
      </c>
      <c r="H31" s="15">
        <v>1</v>
      </c>
      <c r="I31" s="15">
        <v>1</v>
      </c>
      <c r="J31" s="19" t="str">
        <f>VLOOKUP(表5[[#This Row],[任务名称]],[1]!表1_8[#Data],2,FALSE)</f>
        <v>今日捕获BOSS海马2条</v>
      </c>
    </row>
    <row r="32" spans="1:10" x14ac:dyDescent="0.15">
      <c r="A32" s="14">
        <v>2006</v>
      </c>
      <c r="B32" s="15">
        <v>2</v>
      </c>
      <c r="C32" s="16" t="str">
        <f>"activequest_name_"&amp;表5[[#This Row],[任务ID]]</f>
        <v>activequest_name_2006</v>
      </c>
      <c r="D32" s="15">
        <v>1</v>
      </c>
      <c r="E32" s="15">
        <v>52</v>
      </c>
      <c r="F32" s="15">
        <v>5</v>
      </c>
      <c r="G32" s="18" t="s">
        <v>88</v>
      </c>
      <c r="H32" s="15">
        <v>1</v>
      </c>
      <c r="I32" s="15">
        <v>1</v>
      </c>
      <c r="J32" s="19" t="str">
        <f>VLOOKUP(表5[[#This Row],[任务名称]],[1]!表1_8[#Data],2,FALSE)</f>
        <v>今日捕获宝箱鱼5条</v>
      </c>
    </row>
    <row r="33" spans="1:10" x14ac:dyDescent="0.15">
      <c r="A33" s="14">
        <v>2007</v>
      </c>
      <c r="B33" s="15">
        <v>2</v>
      </c>
      <c r="C33" s="16" t="str">
        <f>"activequest_name_"&amp;表5[[#This Row],[任务ID]]</f>
        <v>activequest_name_2007</v>
      </c>
      <c r="D33" s="17">
        <v>2</v>
      </c>
      <c r="E33" s="17">
        <v>4</v>
      </c>
      <c r="F33" s="17">
        <v>5</v>
      </c>
      <c r="G33" s="18" t="s">
        <v>86</v>
      </c>
      <c r="H33" s="15">
        <v>1</v>
      </c>
      <c r="I33" s="15">
        <v>1</v>
      </c>
      <c r="J33" s="19" t="str">
        <f>VLOOKUP(表5[[#This Row],[任务名称]],[1]!表1_8[#Data],2,FALSE)</f>
        <v>今日使用激光10次</v>
      </c>
    </row>
    <row r="34" spans="1:10" x14ac:dyDescent="0.15">
      <c r="A34" s="14">
        <v>2008</v>
      </c>
      <c r="B34" s="15">
        <v>2</v>
      </c>
      <c r="C34" s="16" t="str">
        <f>"activequest_name_"&amp;表5[[#This Row],[任务ID]]</f>
        <v>activequest_name_2008</v>
      </c>
      <c r="D34" s="17">
        <v>10</v>
      </c>
      <c r="E34" s="17">
        <v>0</v>
      </c>
      <c r="F34" s="17">
        <v>100</v>
      </c>
      <c r="G34" s="18" t="s">
        <v>98</v>
      </c>
      <c r="H34" s="15">
        <v>1</v>
      </c>
      <c r="I34" s="15">
        <v>1</v>
      </c>
      <c r="J34" s="19" t="str">
        <f>VLOOKUP(表5[[#This Row],[任务名称]],[1]!表1_8[#Data],2,FALSE)</f>
        <v>今日消耗钻石50</v>
      </c>
    </row>
    <row r="35" spans="1:10" x14ac:dyDescent="0.15">
      <c r="A35" s="14">
        <v>2009</v>
      </c>
      <c r="B35" s="15">
        <v>2</v>
      </c>
      <c r="C35" s="16" t="str">
        <f>"activequest_name_"&amp;表5[[#This Row],[任务ID]]</f>
        <v>activequest_name_2009</v>
      </c>
      <c r="D35" s="15">
        <v>13</v>
      </c>
      <c r="E35" s="15">
        <v>0</v>
      </c>
      <c r="F35" s="15">
        <v>1</v>
      </c>
      <c r="G35" s="18" t="s">
        <v>88</v>
      </c>
      <c r="H35" s="15">
        <v>1</v>
      </c>
      <c r="I35" s="15">
        <v>1</v>
      </c>
      <c r="J35" s="19" t="str">
        <f>VLOOKUP(表5[[#This Row],[任务名称]],[1]!表1_8[#Data],2,FALSE)</f>
        <v>今日消耗金币50000</v>
      </c>
    </row>
    <row r="36" spans="1:10" x14ac:dyDescent="0.15">
      <c r="A36" s="14">
        <v>2010</v>
      </c>
      <c r="B36" s="15">
        <v>2</v>
      </c>
      <c r="C36" s="16" t="str">
        <f>"activequest_name_"&amp;表5[[#This Row],[任务ID]]</f>
        <v>activequest_name_2010</v>
      </c>
      <c r="D36" s="17">
        <v>20</v>
      </c>
      <c r="E36" s="17">
        <v>0</v>
      </c>
      <c r="F36" s="17">
        <v>8</v>
      </c>
      <c r="G36" s="18" t="s">
        <v>89</v>
      </c>
      <c r="H36" s="15">
        <v>0</v>
      </c>
      <c r="I36" s="15">
        <v>1</v>
      </c>
      <c r="J36" s="19" t="str">
        <f>VLOOKUP(表5[[#This Row],[任务名称]],[1]!表1_8[#Data],2,FALSE)</f>
        <v>累计参与保卫女神10次</v>
      </c>
    </row>
    <row r="37" spans="1:10" x14ac:dyDescent="0.15">
      <c r="A37" s="14">
        <v>2011</v>
      </c>
      <c r="B37" s="15">
        <v>2</v>
      </c>
      <c r="C37" s="16" t="str">
        <f>"activequest_name_"&amp;表5[[#This Row],[任务ID]]</f>
        <v>activequest_name_2011</v>
      </c>
      <c r="D37" s="15">
        <v>21</v>
      </c>
      <c r="E37" s="15">
        <v>0</v>
      </c>
      <c r="F37" s="15">
        <v>50</v>
      </c>
      <c r="G37" s="18" t="s">
        <v>82</v>
      </c>
      <c r="H37" s="15">
        <v>0</v>
      </c>
      <c r="I37" s="15">
        <v>1</v>
      </c>
      <c r="J37" s="19" t="str">
        <f>VLOOKUP(表5[[#This Row],[任务名称]],[1]!表1_8[#Data],2,FALSE)</f>
        <v>累计在水族馆放养50次鱼</v>
      </c>
    </row>
    <row r="38" spans="1:10" x14ac:dyDescent="0.15">
      <c r="A38" s="14">
        <v>2012</v>
      </c>
      <c r="B38" s="15">
        <v>2</v>
      </c>
      <c r="C38" s="16" t="str">
        <f>"activequest_name_"&amp;表5[[#This Row],[任务ID]]</f>
        <v>activequest_name_2012</v>
      </c>
      <c r="D38" s="17">
        <v>18</v>
      </c>
      <c r="E38" s="17">
        <v>0</v>
      </c>
      <c r="F38" s="17">
        <v>20</v>
      </c>
      <c r="G38" s="18" t="s">
        <v>83</v>
      </c>
      <c r="H38" s="15">
        <v>0</v>
      </c>
      <c r="I38" s="15">
        <v>1</v>
      </c>
      <c r="J38" s="19" t="str">
        <f>VLOOKUP(表5[[#This Row],[任务名称]],[1]!表1_8[#Data],2,FALSE)</f>
        <v>累计购买20次金币</v>
      </c>
    </row>
    <row r="39" spans="1:10" x14ac:dyDescent="0.15">
      <c r="A39" s="14">
        <v>2013</v>
      </c>
      <c r="B39" s="15">
        <v>2</v>
      </c>
      <c r="C39" s="16" t="str">
        <f>"activequest_name_"&amp;表5[[#This Row],[任务ID]]</f>
        <v>activequest_name_2013</v>
      </c>
      <c r="D39" s="15">
        <v>1</v>
      </c>
      <c r="E39" s="15">
        <v>0</v>
      </c>
      <c r="F39" s="15">
        <v>100000</v>
      </c>
      <c r="G39" s="18" t="s">
        <v>85</v>
      </c>
      <c r="H39" s="15">
        <v>0</v>
      </c>
      <c r="I39" s="15">
        <v>1</v>
      </c>
      <c r="J39" s="19" t="str">
        <f>VLOOKUP(表5[[#This Row],[任务名称]],[1]!表1_8[#Data],2,FALSE)</f>
        <v>累计捕获任意鱼100000条</v>
      </c>
    </row>
    <row r="40" spans="1:10" x14ac:dyDescent="0.15">
      <c r="A40" s="14">
        <v>2014</v>
      </c>
      <c r="B40" s="15">
        <v>2</v>
      </c>
      <c r="C40" s="16" t="str">
        <f>"activequest_name_"&amp;表5[[#This Row],[任务ID]]</f>
        <v>activequest_name_2014</v>
      </c>
      <c r="D40" s="15">
        <v>13</v>
      </c>
      <c r="E40" s="15">
        <v>0</v>
      </c>
      <c r="F40" s="15">
        <v>10</v>
      </c>
      <c r="G40" s="18" t="s">
        <v>99</v>
      </c>
      <c r="H40" s="15">
        <v>0</v>
      </c>
      <c r="I40" s="15">
        <v>1</v>
      </c>
      <c r="J40" s="19" t="str">
        <f>VLOOKUP(表5[[#This Row],[任务名称]],[1]!表1_8[#Data],2,FALSE)</f>
        <v>累计登录9天</v>
      </c>
    </row>
    <row r="41" spans="1:10" x14ac:dyDescent="0.15">
      <c r="A41" s="14">
        <v>2015</v>
      </c>
      <c r="B41" s="15">
        <v>2</v>
      </c>
      <c r="C41" s="16" t="str">
        <f>"activequest_name_"&amp;表5[[#This Row],[任务ID]]</f>
        <v>activequest_name_2015</v>
      </c>
      <c r="D41" s="17">
        <v>2</v>
      </c>
      <c r="E41" s="17">
        <v>3</v>
      </c>
      <c r="F41" s="17">
        <v>100</v>
      </c>
      <c r="G41" s="18" t="s">
        <v>100</v>
      </c>
      <c r="H41" s="15">
        <v>0</v>
      </c>
      <c r="I41" s="15">
        <v>1</v>
      </c>
      <c r="J41" s="19" t="str">
        <f>VLOOKUP(表5[[#This Row],[任务名称]],[1]!表1_8[#Data],2,FALSE)</f>
        <v>累计召唤100条鱼</v>
      </c>
    </row>
    <row r="42" spans="1:10" x14ac:dyDescent="0.15">
      <c r="A42" s="14">
        <v>2100</v>
      </c>
      <c r="B42" s="15">
        <v>2</v>
      </c>
      <c r="C42" s="16" t="str">
        <f>"activequest_name_"&amp;表5[[#This Row],[任务ID]]</f>
        <v>activequest_name_2100</v>
      </c>
      <c r="D42" s="15">
        <v>19</v>
      </c>
      <c r="E42" s="15">
        <v>1</v>
      </c>
      <c r="F42" s="15">
        <v>1</v>
      </c>
      <c r="G42" s="18" t="s">
        <v>84</v>
      </c>
      <c r="H42" s="15">
        <v>1</v>
      </c>
      <c r="I42" s="15">
        <v>2</v>
      </c>
      <c r="J42" s="19" t="str">
        <f>VLOOKUP(表5[[#This Row],[任务名称]],[1]!表1_8[#Data],2,FALSE)</f>
        <v>今日充值任意金额</v>
      </c>
    </row>
    <row r="43" spans="1:10" x14ac:dyDescent="0.15">
      <c r="A43" s="14">
        <v>2101</v>
      </c>
      <c r="B43" s="15">
        <v>2</v>
      </c>
      <c r="C43" s="16" t="str">
        <f>"activequest_name_"&amp;表5[[#This Row],[任务ID]]</f>
        <v>activequest_name_2101</v>
      </c>
      <c r="D43" s="15">
        <v>19</v>
      </c>
      <c r="E43" s="15">
        <v>0</v>
      </c>
      <c r="F43" s="15">
        <v>100</v>
      </c>
      <c r="G43" s="18" t="s">
        <v>90</v>
      </c>
      <c r="H43" s="15">
        <v>0</v>
      </c>
      <c r="I43" s="15">
        <v>2</v>
      </c>
      <c r="J43" s="19" t="str">
        <f>VLOOKUP(表5[[#This Row],[任务名称]],[1]!表1_8[#Data],2,FALSE)</f>
        <v>活动期间充值10元</v>
      </c>
    </row>
    <row r="44" spans="1:10" x14ac:dyDescent="0.15">
      <c r="A44" s="14">
        <v>2102</v>
      </c>
      <c r="B44" s="15">
        <v>2</v>
      </c>
      <c r="C44" s="16" t="str">
        <f>"activequest_name_"&amp;表5[[#This Row],[任务ID]]</f>
        <v>activequest_name_2102</v>
      </c>
      <c r="D44" s="15">
        <v>19</v>
      </c>
      <c r="E44" s="15">
        <v>0</v>
      </c>
      <c r="F44" s="15">
        <v>200</v>
      </c>
      <c r="G44" s="18" t="s">
        <v>90</v>
      </c>
      <c r="H44" s="15">
        <v>0</v>
      </c>
      <c r="I44" s="15">
        <v>2</v>
      </c>
      <c r="J44" s="19" t="str">
        <f>VLOOKUP(表5[[#This Row],[任务名称]],[1]!表1_8[#Data],2,FALSE)</f>
        <v>活动期间充值20元</v>
      </c>
    </row>
    <row r="45" spans="1:10" x14ac:dyDescent="0.15">
      <c r="A45" s="14">
        <v>2103</v>
      </c>
      <c r="B45" s="15">
        <v>2</v>
      </c>
      <c r="C45" s="16" t="str">
        <f>"activequest_name_"&amp;表5[[#This Row],[任务ID]]</f>
        <v>activequest_name_2103</v>
      </c>
      <c r="D45" s="15">
        <v>19</v>
      </c>
      <c r="E45" s="15">
        <v>0</v>
      </c>
      <c r="F45" s="15">
        <v>400</v>
      </c>
      <c r="G45" s="18" t="s">
        <v>91</v>
      </c>
      <c r="H45" s="15">
        <v>0</v>
      </c>
      <c r="I45" s="15">
        <v>2</v>
      </c>
      <c r="J45" s="19" t="str">
        <f>VLOOKUP(表5[[#This Row],[任务名称]],[1]!表1_8[#Data],2,FALSE)</f>
        <v>活动期间充值40元</v>
      </c>
    </row>
    <row r="46" spans="1:10" x14ac:dyDescent="0.15">
      <c r="A46" s="14">
        <v>2104</v>
      </c>
      <c r="B46" s="15">
        <v>2</v>
      </c>
      <c r="C46" s="16" t="str">
        <f>"activequest_name_"&amp;表5[[#This Row],[任务ID]]</f>
        <v>activequest_name_2104</v>
      </c>
      <c r="D46" s="15">
        <v>19</v>
      </c>
      <c r="E46" s="15">
        <v>0</v>
      </c>
      <c r="F46" s="15">
        <v>600</v>
      </c>
      <c r="G46" s="18" t="s">
        <v>92</v>
      </c>
      <c r="H46" s="15">
        <v>0</v>
      </c>
      <c r="I46" s="15">
        <v>2</v>
      </c>
      <c r="J46" s="20" t="str">
        <f>VLOOKUP(表5[[#This Row],[任务名称]],[1]!表1_8[#Data],2,FALSE)</f>
        <v>活动期间充值60元</v>
      </c>
    </row>
    <row r="47" spans="1:10" x14ac:dyDescent="0.15">
      <c r="A47" s="14">
        <v>2105</v>
      </c>
      <c r="B47" s="15">
        <v>2</v>
      </c>
      <c r="C47" s="16" t="str">
        <f>"activequest_name_"&amp;表5[[#This Row],[任务ID]]</f>
        <v>activequest_name_2105</v>
      </c>
      <c r="D47" s="15">
        <v>19</v>
      </c>
      <c r="E47" s="15">
        <v>0</v>
      </c>
      <c r="F47" s="15">
        <v>1000</v>
      </c>
      <c r="G47" s="18" t="s">
        <v>93</v>
      </c>
      <c r="H47" s="15">
        <v>0</v>
      </c>
      <c r="I47" s="15">
        <v>2</v>
      </c>
      <c r="J47" s="20" t="str">
        <f>VLOOKUP(表5[[#This Row],[任务名称]],[1]!表1_8[#Data],2,FALSE)</f>
        <v>活动期间充值100元</v>
      </c>
    </row>
    <row r="48" spans="1:10" x14ac:dyDescent="0.15">
      <c r="A48" s="14">
        <v>2106</v>
      </c>
      <c r="B48" s="15">
        <v>2</v>
      </c>
      <c r="C48" s="16" t="str">
        <f>"activequest_name_"&amp;表5[[#This Row],[任务ID]]</f>
        <v>activequest_name_2106</v>
      </c>
      <c r="D48" s="15">
        <v>19</v>
      </c>
      <c r="E48" s="15">
        <v>0</v>
      </c>
      <c r="F48" s="15">
        <v>2000</v>
      </c>
      <c r="G48" s="18" t="s">
        <v>94</v>
      </c>
      <c r="H48" s="15">
        <v>0</v>
      </c>
      <c r="I48" s="15">
        <v>2</v>
      </c>
      <c r="J48" s="20" t="str">
        <f>VLOOKUP(表5[[#This Row],[任务名称]],[1]!表1_8[#Data],2,FALSE)</f>
        <v>活动期间充值200元</v>
      </c>
    </row>
    <row r="49" spans="1:10" x14ac:dyDescent="0.15">
      <c r="A49" s="14">
        <v>2107</v>
      </c>
      <c r="B49" s="15">
        <v>2</v>
      </c>
      <c r="C49" s="16" t="str">
        <f>"activequest_name_"&amp;表5[[#This Row],[任务ID]]</f>
        <v>activequest_name_2107</v>
      </c>
      <c r="D49" s="15">
        <v>19</v>
      </c>
      <c r="E49" s="15">
        <v>0</v>
      </c>
      <c r="F49" s="15">
        <v>3000</v>
      </c>
      <c r="G49" s="18" t="s">
        <v>95</v>
      </c>
      <c r="H49" s="15">
        <v>0</v>
      </c>
      <c r="I49" s="15">
        <v>2</v>
      </c>
      <c r="J49" s="20" t="str">
        <f>VLOOKUP(表5[[#This Row],[任务名称]],[1]!表1_8[#Data],2,FALSE)</f>
        <v>活动期间充值300元</v>
      </c>
    </row>
    <row r="50" spans="1:10" x14ac:dyDescent="0.15">
      <c r="A50" s="14">
        <v>2108</v>
      </c>
      <c r="B50" s="15">
        <v>2</v>
      </c>
      <c r="C50" s="16" t="str">
        <f>"activequest_name_"&amp;表5[[#This Row],[任务ID]]</f>
        <v>activequest_name_2108</v>
      </c>
      <c r="D50" s="15">
        <v>19</v>
      </c>
      <c r="E50" s="15">
        <v>0</v>
      </c>
      <c r="F50" s="15">
        <v>5000</v>
      </c>
      <c r="G50" s="18" t="s">
        <v>96</v>
      </c>
      <c r="H50" s="15">
        <v>0</v>
      </c>
      <c r="I50" s="15">
        <v>2</v>
      </c>
      <c r="J50" s="20" t="str">
        <f>VLOOKUP(表5[[#This Row],[任务名称]],[1]!表1_8[#Data],2,FALSE)</f>
        <v>活动期间充值500元</v>
      </c>
    </row>
    <row r="51" spans="1:10" x14ac:dyDescent="0.15">
      <c r="A51" s="14">
        <v>2109</v>
      </c>
      <c r="B51" s="15">
        <v>2</v>
      </c>
      <c r="C51" s="16" t="str">
        <f>"activequest_name_"&amp;表5[[#This Row],[任务ID]]</f>
        <v>activequest_name_2109</v>
      </c>
      <c r="D51" s="15">
        <v>19</v>
      </c>
      <c r="E51" s="15">
        <v>0</v>
      </c>
      <c r="F51" s="15">
        <v>10000</v>
      </c>
      <c r="G51" s="18" t="s">
        <v>97</v>
      </c>
      <c r="H51" s="15">
        <v>0</v>
      </c>
      <c r="I51" s="15">
        <v>2</v>
      </c>
      <c r="J51" s="20" t="str">
        <f>VLOOKUP(表5[[#This Row],[任务名称]],[1]!表1_8[#Data],2,FALSE)</f>
        <v>活动期间充值1000元</v>
      </c>
    </row>
    <row r="52" spans="1:10" x14ac:dyDescent="0.15">
      <c r="A52" s="3">
        <v>3001</v>
      </c>
      <c r="B52" s="2">
        <v>3</v>
      </c>
      <c r="C52" s="4" t="s">
        <v>101</v>
      </c>
      <c r="D52" s="12">
        <v>28</v>
      </c>
      <c r="E52" s="12">
        <v>0</v>
      </c>
      <c r="F52" s="12">
        <v>5</v>
      </c>
      <c r="G52" s="5" t="s">
        <v>130</v>
      </c>
      <c r="H52" s="2">
        <v>1</v>
      </c>
      <c r="I52" s="2">
        <v>1</v>
      </c>
      <c r="J52" t="str">
        <f>VLOOKUP(表5[[#This Row],[任务名称]],[1]!表1_8[#Data],2,FALSE)</f>
        <v>今日排位赛胜利5次</v>
      </c>
    </row>
    <row r="53" spans="1:10" x14ac:dyDescent="0.15">
      <c r="A53" s="3">
        <v>3002</v>
      </c>
      <c r="B53" s="2">
        <v>3</v>
      </c>
      <c r="C53" s="4" t="s">
        <v>102</v>
      </c>
      <c r="D53" s="12">
        <v>1</v>
      </c>
      <c r="E53" s="12">
        <v>21</v>
      </c>
      <c r="F53" s="12">
        <v>2</v>
      </c>
      <c r="G53" s="5" t="s">
        <v>126</v>
      </c>
      <c r="H53" s="2">
        <v>1</v>
      </c>
      <c r="I53" s="2">
        <v>1</v>
      </c>
      <c r="J53" t="str">
        <f>VLOOKUP(表5[[#This Row],[任务名称]],[1]!表1_8[#Data],2,FALSE)</f>
        <v>今日捕获BOSS灯笼鱼2条</v>
      </c>
    </row>
    <row r="54" spans="1:10" x14ac:dyDescent="0.15">
      <c r="A54" s="3">
        <v>3003</v>
      </c>
      <c r="B54" s="2">
        <v>3</v>
      </c>
      <c r="C54" s="4" t="s">
        <v>103</v>
      </c>
      <c r="D54" s="12">
        <v>1</v>
      </c>
      <c r="E54" s="12">
        <v>22</v>
      </c>
      <c r="F54" s="12">
        <v>2</v>
      </c>
      <c r="G54" s="5" t="s">
        <v>131</v>
      </c>
      <c r="H54" s="2">
        <v>1</v>
      </c>
      <c r="I54" s="2">
        <v>1</v>
      </c>
      <c r="J54" t="str">
        <f>VLOOKUP(表5[[#This Row],[任务名称]],[1]!表1_8[#Data],2,FALSE)</f>
        <v>今日捕获BOSS美人鱼2条</v>
      </c>
    </row>
    <row r="55" spans="1:10" x14ac:dyDescent="0.15">
      <c r="A55" s="3">
        <v>3004</v>
      </c>
      <c r="B55" s="2">
        <v>3</v>
      </c>
      <c r="C55" s="4" t="s">
        <v>104</v>
      </c>
      <c r="D55" s="12">
        <v>1</v>
      </c>
      <c r="E55" s="12">
        <v>49</v>
      </c>
      <c r="F55" s="12">
        <v>2</v>
      </c>
      <c r="G55" s="5" t="s">
        <v>127</v>
      </c>
      <c r="H55" s="2">
        <v>1</v>
      </c>
      <c r="I55" s="2">
        <v>1</v>
      </c>
      <c r="J55" t="str">
        <f>VLOOKUP(表5[[#This Row],[任务名称]],[1]!表1_8[#Data],2,FALSE)</f>
        <v>今日捕获BOSS章鱼2条</v>
      </c>
    </row>
    <row r="56" spans="1:10" x14ac:dyDescent="0.15">
      <c r="A56" s="3">
        <v>3005</v>
      </c>
      <c r="B56" s="2">
        <v>3</v>
      </c>
      <c r="C56" s="4" t="s">
        <v>105</v>
      </c>
      <c r="D56" s="12">
        <v>1</v>
      </c>
      <c r="E56" s="12">
        <v>57</v>
      </c>
      <c r="F56" s="12">
        <v>2</v>
      </c>
      <c r="G56" s="5" t="s">
        <v>128</v>
      </c>
      <c r="H56" s="2">
        <v>1</v>
      </c>
      <c r="I56" s="2">
        <v>1</v>
      </c>
      <c r="J56" t="str">
        <f>VLOOKUP(表5[[#This Row],[任务名称]],[1]!表1_8[#Data],2,FALSE)</f>
        <v>今日捕获BOSS海马2条</v>
      </c>
    </row>
    <row r="57" spans="1:10" x14ac:dyDescent="0.15">
      <c r="A57" s="3">
        <v>3006</v>
      </c>
      <c r="B57" s="2">
        <v>3</v>
      </c>
      <c r="C57" s="4" t="s">
        <v>106</v>
      </c>
      <c r="D57" s="2">
        <v>1</v>
      </c>
      <c r="E57" s="2">
        <v>52</v>
      </c>
      <c r="F57" s="2">
        <v>5</v>
      </c>
      <c r="G57" s="5" t="s">
        <v>132</v>
      </c>
      <c r="H57" s="2">
        <v>1</v>
      </c>
      <c r="I57" s="2">
        <v>1</v>
      </c>
      <c r="J57" t="str">
        <f>VLOOKUP(表5[[#This Row],[任务名称]],[1]!表1_8[#Data],2,FALSE)</f>
        <v>今日捕获宝箱鱼5条</v>
      </c>
    </row>
    <row r="58" spans="1:10" x14ac:dyDescent="0.15">
      <c r="A58" s="3">
        <v>3007</v>
      </c>
      <c r="B58" s="2">
        <v>3</v>
      </c>
      <c r="C58" s="4" t="s">
        <v>107</v>
      </c>
      <c r="D58" s="12">
        <v>2</v>
      </c>
      <c r="E58" s="12">
        <v>4</v>
      </c>
      <c r="F58" s="12">
        <v>10</v>
      </c>
      <c r="G58" s="5" t="s">
        <v>129</v>
      </c>
      <c r="H58" s="2">
        <v>1</v>
      </c>
      <c r="I58" s="2">
        <v>1</v>
      </c>
      <c r="J58" t="str">
        <f>VLOOKUP(表5[[#This Row],[任务名称]],[1]!表1_8[#Data],2,FALSE)</f>
        <v>今日使用激光10次</v>
      </c>
    </row>
    <row r="59" spans="1:10" x14ac:dyDescent="0.15">
      <c r="A59" s="3">
        <v>3008</v>
      </c>
      <c r="B59" s="2">
        <v>3</v>
      </c>
      <c r="C59" s="4" t="s">
        <v>108</v>
      </c>
      <c r="D59" s="12">
        <v>10</v>
      </c>
      <c r="E59" s="12">
        <v>0</v>
      </c>
      <c r="F59" s="12">
        <v>50</v>
      </c>
      <c r="G59" s="5" t="s">
        <v>133</v>
      </c>
      <c r="H59" s="2">
        <v>1</v>
      </c>
      <c r="I59" s="2">
        <v>1</v>
      </c>
      <c r="J59" t="str">
        <f>VLOOKUP(表5[[#This Row],[任务名称]],[1]!表1_8[#Data],2,FALSE)</f>
        <v>今日消耗钻石50</v>
      </c>
    </row>
    <row r="60" spans="1:10" x14ac:dyDescent="0.15">
      <c r="A60" s="3">
        <v>3009</v>
      </c>
      <c r="B60" s="2">
        <v>3</v>
      </c>
      <c r="C60" s="4" t="s">
        <v>109</v>
      </c>
      <c r="D60" s="2">
        <v>13</v>
      </c>
      <c r="E60" s="2">
        <v>0</v>
      </c>
      <c r="F60" s="2">
        <v>1</v>
      </c>
      <c r="G60" s="5" t="s">
        <v>130</v>
      </c>
      <c r="H60" s="2">
        <v>1</v>
      </c>
      <c r="I60" s="2">
        <v>1</v>
      </c>
      <c r="J60" t="str">
        <f>VLOOKUP(表5[[#This Row],[任务名称]],[1]!表1_8[#Data],2,FALSE)</f>
        <v>今日消耗金币50000</v>
      </c>
    </row>
    <row r="61" spans="1:10" x14ac:dyDescent="0.15">
      <c r="A61" s="3">
        <v>3010</v>
      </c>
      <c r="B61" s="2">
        <v>3</v>
      </c>
      <c r="C61" s="4" t="s">
        <v>110</v>
      </c>
      <c r="D61" s="12">
        <v>20</v>
      </c>
      <c r="E61" s="12">
        <v>0</v>
      </c>
      <c r="F61" s="12">
        <v>10</v>
      </c>
      <c r="G61" s="5" t="s">
        <v>134</v>
      </c>
      <c r="H61" s="2">
        <v>0</v>
      </c>
      <c r="I61" s="2">
        <v>1</v>
      </c>
      <c r="J61" t="str">
        <f>VLOOKUP(表5[[#This Row],[任务名称]],[1]!表1_8[#Data],2,FALSE)</f>
        <v>累计参与保卫女神10次</v>
      </c>
    </row>
    <row r="62" spans="1:10" x14ac:dyDescent="0.15">
      <c r="A62" s="3">
        <v>3011</v>
      </c>
      <c r="B62" s="2">
        <v>3</v>
      </c>
      <c r="C62" s="4" t="s">
        <v>111</v>
      </c>
      <c r="D62" s="2">
        <v>21</v>
      </c>
      <c r="E62" s="2">
        <v>0</v>
      </c>
      <c r="F62" s="2">
        <v>50</v>
      </c>
      <c r="G62" s="5" t="s">
        <v>135</v>
      </c>
      <c r="H62" s="2">
        <v>0</v>
      </c>
      <c r="I62" s="2">
        <v>1</v>
      </c>
      <c r="J62" t="str">
        <f>VLOOKUP(表5[[#This Row],[任务名称]],[1]!表1_8[#Data],2,FALSE)</f>
        <v>累计在水族馆放养50次鱼</v>
      </c>
    </row>
    <row r="63" spans="1:10" x14ac:dyDescent="0.15">
      <c r="A63" s="3">
        <v>3012</v>
      </c>
      <c r="B63" s="2">
        <v>3</v>
      </c>
      <c r="C63" s="4" t="s">
        <v>112</v>
      </c>
      <c r="D63" s="12">
        <v>18</v>
      </c>
      <c r="E63" s="12">
        <v>0</v>
      </c>
      <c r="F63" s="12">
        <v>20</v>
      </c>
      <c r="G63" s="5" t="s">
        <v>136</v>
      </c>
      <c r="H63" s="2">
        <v>0</v>
      </c>
      <c r="I63" s="2">
        <v>1</v>
      </c>
      <c r="J63" t="str">
        <f>VLOOKUP(表5[[#This Row],[任务名称]],[1]!表1_8[#Data],2,FALSE)</f>
        <v>累计购买20次金币</v>
      </c>
    </row>
    <row r="64" spans="1:10" x14ac:dyDescent="0.15">
      <c r="A64" s="3">
        <v>3013</v>
      </c>
      <c r="B64" s="2">
        <v>3</v>
      </c>
      <c r="C64" s="4" t="s">
        <v>113</v>
      </c>
      <c r="D64" s="2">
        <v>1</v>
      </c>
      <c r="E64" s="2">
        <v>0</v>
      </c>
      <c r="F64" s="2">
        <v>100000</v>
      </c>
      <c r="G64" s="5" t="s">
        <v>137</v>
      </c>
      <c r="H64" s="2">
        <v>0</v>
      </c>
      <c r="I64" s="2">
        <v>1</v>
      </c>
      <c r="J64" t="str">
        <f>VLOOKUP(表5[[#This Row],[任务名称]],[1]!表1_8[#Data],2,FALSE)</f>
        <v>累计捕获任意鱼100000条</v>
      </c>
    </row>
    <row r="65" spans="1:10" x14ac:dyDescent="0.15">
      <c r="A65" s="3">
        <v>3014</v>
      </c>
      <c r="B65" s="2">
        <v>3</v>
      </c>
      <c r="C65" s="4" t="s">
        <v>114</v>
      </c>
      <c r="D65" s="2">
        <v>13</v>
      </c>
      <c r="E65" s="2">
        <v>0</v>
      </c>
      <c r="F65" s="2">
        <v>12</v>
      </c>
      <c r="G65" s="5" t="s">
        <v>138</v>
      </c>
      <c r="H65" s="2">
        <v>0</v>
      </c>
      <c r="I65" s="2">
        <v>1</v>
      </c>
      <c r="J65" t="str">
        <f>VLOOKUP(表5[[#This Row],[任务名称]],[1]!表1_8[#Data],2,FALSE)</f>
        <v>累计登录9天</v>
      </c>
    </row>
    <row r="66" spans="1:10" x14ac:dyDescent="0.15">
      <c r="A66" s="3">
        <v>3015</v>
      </c>
      <c r="B66" s="2">
        <v>3</v>
      </c>
      <c r="C66" s="4" t="s">
        <v>115</v>
      </c>
      <c r="D66" s="12">
        <v>2</v>
      </c>
      <c r="E66" s="12">
        <v>3</v>
      </c>
      <c r="F66" s="12">
        <v>100</v>
      </c>
      <c r="G66" s="5" t="s">
        <v>139</v>
      </c>
      <c r="H66" s="2">
        <v>0</v>
      </c>
      <c r="I66" s="2">
        <v>1</v>
      </c>
      <c r="J66" t="str">
        <f>VLOOKUP(表5[[#This Row],[任务名称]],[1]!表1_8[#Data],2,FALSE)</f>
        <v>累计召唤100条鱼</v>
      </c>
    </row>
    <row r="67" spans="1:10" x14ac:dyDescent="0.15">
      <c r="A67" s="3">
        <v>3100</v>
      </c>
      <c r="B67" s="2">
        <v>3</v>
      </c>
      <c r="C67" s="4" t="s">
        <v>116</v>
      </c>
      <c r="D67" s="2">
        <v>19</v>
      </c>
      <c r="E67" s="2">
        <v>1</v>
      </c>
      <c r="F67" s="2">
        <v>1</v>
      </c>
      <c r="G67" s="5" t="s">
        <v>134</v>
      </c>
      <c r="H67" s="2">
        <v>1</v>
      </c>
      <c r="I67" s="2">
        <v>2</v>
      </c>
      <c r="J67" t="str">
        <f>VLOOKUP(表5[[#This Row],[任务名称]],[1]!表1_8[#Data],2,FALSE)</f>
        <v>今日充值任意金额</v>
      </c>
    </row>
    <row r="68" spans="1:10" x14ac:dyDescent="0.15">
      <c r="A68" s="3">
        <v>3101</v>
      </c>
      <c r="B68" s="2">
        <v>3</v>
      </c>
      <c r="C68" s="4" t="s">
        <v>117</v>
      </c>
      <c r="D68" s="2">
        <v>19</v>
      </c>
      <c r="E68" s="2">
        <v>0</v>
      </c>
      <c r="F68" s="2">
        <v>100</v>
      </c>
      <c r="G68" s="5" t="s">
        <v>147</v>
      </c>
      <c r="H68" s="2">
        <v>0</v>
      </c>
      <c r="I68" s="2">
        <v>2</v>
      </c>
      <c r="J68" t="str">
        <f>VLOOKUP(表5[[#This Row],[任务名称]],[1]!表1_8[#Data],2,FALSE)</f>
        <v>活动期间充值10元</v>
      </c>
    </row>
    <row r="69" spans="1:10" x14ac:dyDescent="0.15">
      <c r="A69" s="3">
        <v>3102</v>
      </c>
      <c r="B69" s="2">
        <v>3</v>
      </c>
      <c r="C69" s="4" t="s">
        <v>118</v>
      </c>
      <c r="D69" s="2">
        <v>19</v>
      </c>
      <c r="E69" s="2">
        <v>0</v>
      </c>
      <c r="F69" s="2">
        <v>200</v>
      </c>
      <c r="G69" s="5" t="s">
        <v>148</v>
      </c>
      <c r="H69" s="2">
        <v>0</v>
      </c>
      <c r="I69" s="2">
        <v>2</v>
      </c>
      <c r="J69" t="str">
        <f>VLOOKUP(表5[[#This Row],[任务名称]],[1]!表1_8[#Data],2,FALSE)</f>
        <v>活动期间充值20元</v>
      </c>
    </row>
    <row r="70" spans="1:10" x14ac:dyDescent="0.15">
      <c r="A70" s="3">
        <v>3103</v>
      </c>
      <c r="B70" s="2">
        <v>3</v>
      </c>
      <c r="C70" s="4" t="s">
        <v>119</v>
      </c>
      <c r="D70" s="2">
        <v>19</v>
      </c>
      <c r="E70" s="2">
        <v>0</v>
      </c>
      <c r="F70" s="2">
        <v>400</v>
      </c>
      <c r="G70" s="5" t="s">
        <v>149</v>
      </c>
      <c r="H70" s="2">
        <v>0</v>
      </c>
      <c r="I70" s="2">
        <v>2</v>
      </c>
      <c r="J70" t="str">
        <f>VLOOKUP(表5[[#This Row],[任务名称]],[1]!表1_8[#Data],2,FALSE)</f>
        <v>活动期间充值40元</v>
      </c>
    </row>
    <row r="71" spans="1:10" x14ac:dyDescent="0.15">
      <c r="A71" s="3">
        <v>3104</v>
      </c>
      <c r="B71" s="2">
        <v>3</v>
      </c>
      <c r="C71" s="4" t="s">
        <v>120</v>
      </c>
      <c r="D71" s="2">
        <v>19</v>
      </c>
      <c r="E71" s="2">
        <v>0</v>
      </c>
      <c r="F71" s="2">
        <v>600</v>
      </c>
      <c r="G71" s="5" t="s">
        <v>150</v>
      </c>
      <c r="H71" s="2">
        <v>0</v>
      </c>
      <c r="I71" s="2">
        <v>2</v>
      </c>
      <c r="J71" s="21" t="str">
        <f>VLOOKUP(表5[[#This Row],[任务名称]],[1]!表1_8[#Data],2,FALSE)</f>
        <v>活动期间充值60元</v>
      </c>
    </row>
    <row r="72" spans="1:10" x14ac:dyDescent="0.15">
      <c r="A72" s="3">
        <v>3105</v>
      </c>
      <c r="B72" s="2">
        <v>3</v>
      </c>
      <c r="C72" s="4" t="s">
        <v>121</v>
      </c>
      <c r="D72" s="2">
        <v>19</v>
      </c>
      <c r="E72" s="2">
        <v>0</v>
      </c>
      <c r="F72" s="2">
        <v>1000</v>
      </c>
      <c r="G72" s="5" t="s">
        <v>151</v>
      </c>
      <c r="H72" s="2">
        <v>0</v>
      </c>
      <c r="I72" s="2">
        <v>2</v>
      </c>
      <c r="J72" s="21" t="str">
        <f>VLOOKUP(表5[[#This Row],[任务名称]],[1]!表1_8[#Data],2,FALSE)</f>
        <v>活动期间充值100元</v>
      </c>
    </row>
    <row r="73" spans="1:10" x14ac:dyDescent="0.15">
      <c r="A73" s="3">
        <v>3106</v>
      </c>
      <c r="B73" s="2">
        <v>3</v>
      </c>
      <c r="C73" s="4" t="s">
        <v>122</v>
      </c>
      <c r="D73" s="2">
        <v>19</v>
      </c>
      <c r="E73" s="2">
        <v>0</v>
      </c>
      <c r="F73" s="2">
        <v>2000</v>
      </c>
      <c r="G73" s="5" t="s">
        <v>152</v>
      </c>
      <c r="H73" s="2">
        <v>0</v>
      </c>
      <c r="I73" s="2">
        <v>2</v>
      </c>
      <c r="J73" s="21" t="str">
        <f>VLOOKUP(表5[[#This Row],[任务名称]],[1]!表1_8[#Data],2,FALSE)</f>
        <v>活动期间充值200元</v>
      </c>
    </row>
    <row r="74" spans="1:10" x14ac:dyDescent="0.15">
      <c r="A74" s="3">
        <v>3107</v>
      </c>
      <c r="B74" s="2">
        <v>3</v>
      </c>
      <c r="C74" s="4" t="s">
        <v>123</v>
      </c>
      <c r="D74" s="2">
        <v>19</v>
      </c>
      <c r="E74" s="2">
        <v>0</v>
      </c>
      <c r="F74" s="2">
        <v>3000</v>
      </c>
      <c r="G74" s="5" t="s">
        <v>153</v>
      </c>
      <c r="H74" s="2">
        <v>0</v>
      </c>
      <c r="I74" s="2">
        <v>2</v>
      </c>
      <c r="J74" s="21" t="str">
        <f>VLOOKUP(表5[[#This Row],[任务名称]],[1]!表1_8[#Data],2,FALSE)</f>
        <v>活动期间充值300元</v>
      </c>
    </row>
    <row r="75" spans="1:10" x14ac:dyDescent="0.15">
      <c r="A75" s="3">
        <v>3108</v>
      </c>
      <c r="B75" s="2">
        <v>3</v>
      </c>
      <c r="C75" s="4" t="s">
        <v>124</v>
      </c>
      <c r="D75" s="2">
        <v>19</v>
      </c>
      <c r="E75" s="2">
        <v>0</v>
      </c>
      <c r="F75" s="2">
        <v>5000</v>
      </c>
      <c r="G75" s="5" t="s">
        <v>154</v>
      </c>
      <c r="H75" s="2">
        <v>0</v>
      </c>
      <c r="I75" s="2">
        <v>2</v>
      </c>
      <c r="J75" s="21" t="str">
        <f>VLOOKUP(表5[[#This Row],[任务名称]],[1]!表1_8[#Data],2,FALSE)</f>
        <v>活动期间充值500元</v>
      </c>
    </row>
    <row r="76" spans="1:10" x14ac:dyDescent="0.15">
      <c r="A76" s="3">
        <v>3109</v>
      </c>
      <c r="B76" s="2">
        <v>3</v>
      </c>
      <c r="C76" s="4" t="s">
        <v>125</v>
      </c>
      <c r="D76" s="2">
        <v>19</v>
      </c>
      <c r="E76" s="2">
        <v>0</v>
      </c>
      <c r="F76" s="2">
        <v>10000</v>
      </c>
      <c r="G76" s="5" t="s">
        <v>146</v>
      </c>
      <c r="H76" s="2">
        <v>0</v>
      </c>
      <c r="I76" s="2">
        <v>2</v>
      </c>
      <c r="J76" s="21" t="str">
        <f>VLOOKUP(表5[[#This Row],[任务名称]],[1]!表1_8[#Data],2,FALSE)</f>
        <v>活动期间充值1000元</v>
      </c>
    </row>
    <row r="77" spans="1:10" x14ac:dyDescent="0.15">
      <c r="A77" s="3">
        <v>3110</v>
      </c>
      <c r="B77" s="2">
        <v>3</v>
      </c>
      <c r="C77" s="4" t="s">
        <v>140</v>
      </c>
      <c r="D77" s="2">
        <v>19</v>
      </c>
      <c r="E77" s="2">
        <v>0</v>
      </c>
      <c r="F77" s="2">
        <v>15000</v>
      </c>
      <c r="G77" s="5" t="s">
        <v>144</v>
      </c>
      <c r="H77" s="2">
        <v>0</v>
      </c>
      <c r="I77" s="2">
        <v>2</v>
      </c>
      <c r="J77" s="21" t="str">
        <f>VLOOKUP(表5[[#This Row],[任务名称]],[1]!表1_8[#Data],2,FALSE)</f>
        <v>活动期间充值2000元</v>
      </c>
    </row>
    <row r="78" spans="1:10" x14ac:dyDescent="0.15">
      <c r="A78" s="3">
        <v>3111</v>
      </c>
      <c r="B78" s="2">
        <v>3</v>
      </c>
      <c r="C78" s="4" t="s">
        <v>141</v>
      </c>
      <c r="D78" s="2">
        <v>19</v>
      </c>
      <c r="E78" s="2">
        <v>0</v>
      </c>
      <c r="F78" s="2">
        <v>20000</v>
      </c>
      <c r="G78" s="5" t="s">
        <v>143</v>
      </c>
      <c r="H78" s="2">
        <v>0</v>
      </c>
      <c r="I78" s="2">
        <v>2</v>
      </c>
      <c r="J78" s="21" t="str">
        <f>VLOOKUP(表5[[#This Row],[任务名称]],[1]!表1_8[#Data],2,FALSE)</f>
        <v>活动期间充值2000元</v>
      </c>
    </row>
    <row r="79" spans="1:10" x14ac:dyDescent="0.15">
      <c r="A79" s="3">
        <v>3112</v>
      </c>
      <c r="B79" s="2">
        <v>3</v>
      </c>
      <c r="C79" s="4" t="s">
        <v>142</v>
      </c>
      <c r="D79" s="2">
        <v>19</v>
      </c>
      <c r="E79" s="2">
        <v>0</v>
      </c>
      <c r="F79" s="2">
        <v>30000</v>
      </c>
      <c r="G79" s="5" t="s">
        <v>145</v>
      </c>
      <c r="H79" s="2">
        <v>0</v>
      </c>
      <c r="I79" s="2">
        <v>2</v>
      </c>
      <c r="J79" s="21" t="str">
        <f>VLOOKUP(表5[[#This Row],[任务名称]],[1]!表1_8[#Data],2,FALSE)</f>
        <v>活动期间充值3000元</v>
      </c>
    </row>
    <row r="80" spans="1:10" x14ac:dyDescent="0.15">
      <c r="A80" s="3">
        <v>4001</v>
      </c>
      <c r="B80" s="2">
        <v>4</v>
      </c>
      <c r="C80" s="4" t="s">
        <v>101</v>
      </c>
      <c r="D80" s="12">
        <v>28</v>
      </c>
      <c r="E80" s="12">
        <v>0</v>
      </c>
      <c r="F80" s="12">
        <v>5</v>
      </c>
      <c r="G80" s="5" t="s">
        <v>155</v>
      </c>
      <c r="H80" s="2">
        <v>1</v>
      </c>
      <c r="I80" s="2">
        <v>1</v>
      </c>
      <c r="J80" s="22" t="str">
        <f>VLOOKUP(表5[[#This Row],[任务名称]],[1]!表1_8[#Data],2,FALSE)</f>
        <v>今日排位赛胜利5次</v>
      </c>
    </row>
    <row r="81" spans="1:10" x14ac:dyDescent="0.15">
      <c r="A81" s="3">
        <v>4002</v>
      </c>
      <c r="B81" s="2">
        <v>4</v>
      </c>
      <c r="C81" s="4" t="s">
        <v>102</v>
      </c>
      <c r="D81" s="12">
        <v>1</v>
      </c>
      <c r="E81" s="12">
        <v>21</v>
      </c>
      <c r="F81" s="12">
        <v>2</v>
      </c>
      <c r="G81" s="5" t="s">
        <v>156</v>
      </c>
      <c r="H81" s="2">
        <v>1</v>
      </c>
      <c r="I81" s="2">
        <v>1</v>
      </c>
      <c r="J81" s="22" t="str">
        <f>VLOOKUP(表5[[#This Row],[任务名称]],[1]!表1_8[#Data],2,FALSE)</f>
        <v>今日捕获BOSS灯笼鱼2条</v>
      </c>
    </row>
    <row r="82" spans="1:10" x14ac:dyDescent="0.15">
      <c r="A82" s="3">
        <v>4003</v>
      </c>
      <c r="B82" s="2">
        <v>4</v>
      </c>
      <c r="C82" s="4" t="s">
        <v>103</v>
      </c>
      <c r="D82" s="12">
        <v>1</v>
      </c>
      <c r="E82" s="12">
        <v>22</v>
      </c>
      <c r="F82" s="12">
        <v>2</v>
      </c>
      <c r="G82" s="5" t="s">
        <v>156</v>
      </c>
      <c r="H82" s="2">
        <v>1</v>
      </c>
      <c r="I82" s="2">
        <v>1</v>
      </c>
      <c r="J82" s="22" t="str">
        <f>VLOOKUP(表5[[#This Row],[任务名称]],[1]!表1_8[#Data],2,FALSE)</f>
        <v>今日捕获BOSS美人鱼2条</v>
      </c>
    </row>
    <row r="83" spans="1:10" x14ac:dyDescent="0.15">
      <c r="A83" s="3">
        <v>4004</v>
      </c>
      <c r="B83" s="2">
        <v>4</v>
      </c>
      <c r="C83" s="4" t="s">
        <v>104</v>
      </c>
      <c r="D83" s="12">
        <v>1</v>
      </c>
      <c r="E83" s="12">
        <v>49</v>
      </c>
      <c r="F83" s="12">
        <v>2</v>
      </c>
      <c r="G83" s="5" t="s">
        <v>156</v>
      </c>
      <c r="H83" s="2">
        <v>1</v>
      </c>
      <c r="I83" s="2">
        <v>1</v>
      </c>
      <c r="J83" s="22" t="str">
        <f>VLOOKUP(表5[[#This Row],[任务名称]],[1]!表1_8[#Data],2,FALSE)</f>
        <v>今日捕获BOSS章鱼2条</v>
      </c>
    </row>
    <row r="84" spans="1:10" x14ac:dyDescent="0.15">
      <c r="A84" s="3">
        <v>4005</v>
      </c>
      <c r="B84" s="2">
        <v>4</v>
      </c>
      <c r="C84" s="4" t="s">
        <v>105</v>
      </c>
      <c r="D84" s="12">
        <v>1</v>
      </c>
      <c r="E84" s="12">
        <v>57</v>
      </c>
      <c r="F84" s="12">
        <v>2</v>
      </c>
      <c r="G84" s="5" t="s">
        <v>156</v>
      </c>
      <c r="H84" s="2">
        <v>1</v>
      </c>
      <c r="I84" s="2">
        <v>1</v>
      </c>
      <c r="J84" s="22" t="str">
        <f>VLOOKUP(表5[[#This Row],[任务名称]],[1]!表1_8[#Data],2,FALSE)</f>
        <v>今日捕获BOSS海马2条</v>
      </c>
    </row>
    <row r="85" spans="1:10" x14ac:dyDescent="0.15">
      <c r="A85" s="3">
        <v>4006</v>
      </c>
      <c r="B85" s="2">
        <v>4</v>
      </c>
      <c r="C85" s="4" t="s">
        <v>106</v>
      </c>
      <c r="D85" s="2">
        <v>1</v>
      </c>
      <c r="E85" s="2">
        <v>52</v>
      </c>
      <c r="F85" s="2">
        <v>5</v>
      </c>
      <c r="G85" s="5" t="s">
        <v>156</v>
      </c>
      <c r="H85" s="2">
        <v>1</v>
      </c>
      <c r="I85" s="2">
        <v>1</v>
      </c>
      <c r="J85" s="22" t="str">
        <f>VLOOKUP(表5[[#This Row],[任务名称]],[1]!表1_8[#Data],2,FALSE)</f>
        <v>今日捕获宝箱鱼5条</v>
      </c>
    </row>
    <row r="86" spans="1:10" x14ac:dyDescent="0.15">
      <c r="A86" s="3">
        <v>4007</v>
      </c>
      <c r="B86" s="2">
        <v>4</v>
      </c>
      <c r="C86" s="4" t="s">
        <v>107</v>
      </c>
      <c r="D86" s="12">
        <v>2</v>
      </c>
      <c r="E86" s="12">
        <v>4</v>
      </c>
      <c r="F86" s="12">
        <v>10</v>
      </c>
      <c r="G86" s="5" t="s">
        <v>156</v>
      </c>
      <c r="H86" s="2">
        <v>1</v>
      </c>
      <c r="I86" s="2">
        <v>1</v>
      </c>
      <c r="J86" s="22" t="str">
        <f>VLOOKUP(表5[[#This Row],[任务名称]],[1]!表1_8[#Data],2,FALSE)</f>
        <v>今日使用激光10次</v>
      </c>
    </row>
    <row r="87" spans="1:10" x14ac:dyDescent="0.15">
      <c r="A87" s="3">
        <v>4008</v>
      </c>
      <c r="B87" s="2">
        <v>4</v>
      </c>
      <c r="C87" s="4" t="s">
        <v>108</v>
      </c>
      <c r="D87" s="12">
        <v>10</v>
      </c>
      <c r="E87" s="12">
        <v>0</v>
      </c>
      <c r="F87" s="12">
        <v>50</v>
      </c>
      <c r="G87" s="5" t="s">
        <v>156</v>
      </c>
      <c r="H87" s="2">
        <v>1</v>
      </c>
      <c r="I87" s="2">
        <v>1</v>
      </c>
      <c r="J87" s="22" t="str">
        <f>VLOOKUP(表5[[#This Row],[任务名称]],[1]!表1_8[#Data],2,FALSE)</f>
        <v>今日消耗钻石50</v>
      </c>
    </row>
    <row r="88" spans="1:10" x14ac:dyDescent="0.15">
      <c r="A88" s="3">
        <v>4009</v>
      </c>
      <c r="B88" s="2">
        <v>4</v>
      </c>
      <c r="C88" s="4" t="s">
        <v>109</v>
      </c>
      <c r="D88" s="2">
        <v>11</v>
      </c>
      <c r="E88" s="2">
        <v>0</v>
      </c>
      <c r="F88" s="2">
        <v>50000</v>
      </c>
      <c r="G88" s="5" t="s">
        <v>156</v>
      </c>
      <c r="H88" s="2">
        <v>1</v>
      </c>
      <c r="I88" s="2">
        <v>1</v>
      </c>
      <c r="J88" s="22" t="str">
        <f>VLOOKUP(表5[[#This Row],[任务名称]],[1]!表1_8[#Data],2,FALSE)</f>
        <v>今日消耗金币50000</v>
      </c>
    </row>
    <row r="89" spans="1:10" x14ac:dyDescent="0.15">
      <c r="A89" s="3">
        <v>4010</v>
      </c>
      <c r="B89" s="2">
        <v>4</v>
      </c>
      <c r="C89" s="4" t="s">
        <v>110</v>
      </c>
      <c r="D89" s="12">
        <v>20</v>
      </c>
      <c r="E89" s="12">
        <v>0</v>
      </c>
      <c r="F89" s="12">
        <v>10</v>
      </c>
      <c r="G89" s="5" t="s">
        <v>168</v>
      </c>
      <c r="H89" s="2">
        <v>0</v>
      </c>
      <c r="I89" s="2">
        <v>1</v>
      </c>
      <c r="J89" s="22" t="str">
        <f>VLOOKUP(表5[[#This Row],[任务名称]],[1]!表1_8[#Data],2,FALSE)</f>
        <v>累计参与保卫女神10次</v>
      </c>
    </row>
    <row r="90" spans="1:10" x14ac:dyDescent="0.15">
      <c r="A90" s="3">
        <v>4011</v>
      </c>
      <c r="B90" s="2">
        <v>4</v>
      </c>
      <c r="C90" s="4" t="s">
        <v>111</v>
      </c>
      <c r="D90" s="2">
        <v>21</v>
      </c>
      <c r="E90" s="2">
        <v>0</v>
      </c>
      <c r="F90" s="2">
        <v>50</v>
      </c>
      <c r="G90" s="5" t="s">
        <v>169</v>
      </c>
      <c r="H90" s="2">
        <v>0</v>
      </c>
      <c r="I90" s="2">
        <v>1</v>
      </c>
      <c r="J90" s="22" t="str">
        <f>VLOOKUP(表5[[#This Row],[任务名称]],[1]!表1_8[#Data],2,FALSE)</f>
        <v>累计在水族馆放养50次鱼</v>
      </c>
    </row>
    <row r="91" spans="1:10" x14ac:dyDescent="0.15">
      <c r="A91" s="3">
        <v>4012</v>
      </c>
      <c r="B91" s="2">
        <v>4</v>
      </c>
      <c r="C91" s="4" t="s">
        <v>112</v>
      </c>
      <c r="D91" s="12">
        <v>18</v>
      </c>
      <c r="E91" s="12">
        <v>0</v>
      </c>
      <c r="F91" s="12">
        <v>20</v>
      </c>
      <c r="G91" s="5" t="s">
        <v>168</v>
      </c>
      <c r="H91" s="2">
        <v>0</v>
      </c>
      <c r="I91" s="2">
        <v>1</v>
      </c>
      <c r="J91" s="22" t="str">
        <f>VLOOKUP(表5[[#This Row],[任务名称]],[1]!表1_8[#Data],2,FALSE)</f>
        <v>累计购买20次金币</v>
      </c>
    </row>
    <row r="92" spans="1:10" x14ac:dyDescent="0.15">
      <c r="A92" s="3">
        <v>4013</v>
      </c>
      <c r="B92" s="2">
        <v>4</v>
      </c>
      <c r="C92" s="4" t="s">
        <v>113</v>
      </c>
      <c r="D92" s="2">
        <v>1</v>
      </c>
      <c r="E92" s="2">
        <v>0</v>
      </c>
      <c r="F92" s="2">
        <v>100000</v>
      </c>
      <c r="G92" s="5" t="s">
        <v>170</v>
      </c>
      <c r="H92" s="2">
        <v>0</v>
      </c>
      <c r="I92" s="2">
        <v>1</v>
      </c>
      <c r="J92" s="22" t="str">
        <f>VLOOKUP(表5[[#This Row],[任务名称]],[1]!表1_8[#Data],2,FALSE)</f>
        <v>累计捕获任意鱼100000条</v>
      </c>
    </row>
    <row r="93" spans="1:10" x14ac:dyDescent="0.15">
      <c r="A93" s="3">
        <v>4014</v>
      </c>
      <c r="B93" s="2">
        <v>4</v>
      </c>
      <c r="C93" s="4" t="s">
        <v>114</v>
      </c>
      <c r="D93" s="2">
        <v>13</v>
      </c>
      <c r="E93" s="2">
        <v>0</v>
      </c>
      <c r="F93" s="2">
        <v>9</v>
      </c>
      <c r="G93" s="5" t="s">
        <v>170</v>
      </c>
      <c r="H93" s="2">
        <v>0</v>
      </c>
      <c r="I93" s="2">
        <v>1</v>
      </c>
      <c r="J93" s="22" t="str">
        <f>VLOOKUP(表5[[#This Row],[任务名称]],[1]!表1_8[#Data],2,FALSE)</f>
        <v>累计登录9天</v>
      </c>
    </row>
    <row r="94" spans="1:10" x14ac:dyDescent="0.15">
      <c r="A94" s="3">
        <v>4015</v>
      </c>
      <c r="B94" s="2">
        <v>4</v>
      </c>
      <c r="C94" s="4" t="s">
        <v>115</v>
      </c>
      <c r="D94" s="12">
        <v>2</v>
      </c>
      <c r="E94" s="12">
        <v>3</v>
      </c>
      <c r="F94" s="12">
        <v>100</v>
      </c>
      <c r="G94" s="5" t="s">
        <v>171</v>
      </c>
      <c r="H94" s="2">
        <v>0</v>
      </c>
      <c r="I94" s="2">
        <v>1</v>
      </c>
      <c r="J94" s="22" t="str">
        <f>VLOOKUP(表5[[#This Row],[任务名称]],[1]!表1_8[#Data],2,FALSE)</f>
        <v>累计召唤100条鱼</v>
      </c>
    </row>
    <row r="95" spans="1:10" x14ac:dyDescent="0.15">
      <c r="A95" s="3">
        <v>4100</v>
      </c>
      <c r="B95" s="2">
        <v>4</v>
      </c>
      <c r="C95" s="4" t="s">
        <v>116</v>
      </c>
      <c r="D95" s="2">
        <v>19</v>
      </c>
      <c r="E95" s="2">
        <v>1</v>
      </c>
      <c r="F95" s="2">
        <v>1</v>
      </c>
      <c r="G95" s="5" t="s">
        <v>157</v>
      </c>
      <c r="H95" s="2">
        <v>1</v>
      </c>
      <c r="I95" s="2">
        <v>2</v>
      </c>
      <c r="J95" s="22" t="str">
        <f>VLOOKUP(表5[[#This Row],[任务名称]],[1]!表1_8[#Data],2,FALSE)</f>
        <v>今日充值任意金额</v>
      </c>
    </row>
    <row r="96" spans="1:10" x14ac:dyDescent="0.15">
      <c r="A96" s="3">
        <v>4101</v>
      </c>
      <c r="B96" s="2">
        <v>4</v>
      </c>
      <c r="C96" s="4" t="s">
        <v>117</v>
      </c>
      <c r="D96" s="2">
        <v>19</v>
      </c>
      <c r="E96" s="2">
        <v>0</v>
      </c>
      <c r="F96" s="2">
        <v>100</v>
      </c>
      <c r="G96" s="5" t="s">
        <v>158</v>
      </c>
      <c r="H96" s="2">
        <v>0</v>
      </c>
      <c r="I96" s="2">
        <v>2</v>
      </c>
      <c r="J96" s="22" t="str">
        <f>VLOOKUP(表5[[#This Row],[任务名称]],[1]!表1_8[#Data],2,FALSE)</f>
        <v>活动期间充值10元</v>
      </c>
    </row>
    <row r="97" spans="1:10" x14ac:dyDescent="0.15">
      <c r="A97" s="3">
        <v>4102</v>
      </c>
      <c r="B97" s="2">
        <v>4</v>
      </c>
      <c r="C97" s="4" t="s">
        <v>118</v>
      </c>
      <c r="D97" s="2">
        <v>19</v>
      </c>
      <c r="E97" s="2">
        <v>0</v>
      </c>
      <c r="F97" s="2">
        <v>200</v>
      </c>
      <c r="G97" s="5" t="s">
        <v>159</v>
      </c>
      <c r="H97" s="2">
        <v>0</v>
      </c>
      <c r="I97" s="2">
        <v>2</v>
      </c>
      <c r="J97" s="22" t="str">
        <f>VLOOKUP(表5[[#This Row],[任务名称]],[1]!表1_8[#Data],2,FALSE)</f>
        <v>活动期间充值20元</v>
      </c>
    </row>
    <row r="98" spans="1:10" x14ac:dyDescent="0.15">
      <c r="A98" s="3">
        <v>4103</v>
      </c>
      <c r="B98" s="2">
        <v>4</v>
      </c>
      <c r="C98" s="4" t="s">
        <v>119</v>
      </c>
      <c r="D98" s="2">
        <v>19</v>
      </c>
      <c r="E98" s="2">
        <v>0</v>
      </c>
      <c r="F98" s="2">
        <v>400</v>
      </c>
      <c r="G98" s="5" t="s">
        <v>160</v>
      </c>
      <c r="H98" s="2">
        <v>0</v>
      </c>
      <c r="I98" s="2">
        <v>2</v>
      </c>
      <c r="J98" s="22" t="str">
        <f>VLOOKUP(表5[[#This Row],[任务名称]],[1]!表1_8[#Data],2,FALSE)</f>
        <v>活动期间充值40元</v>
      </c>
    </row>
    <row r="99" spans="1:10" x14ac:dyDescent="0.15">
      <c r="A99" s="3">
        <v>4104</v>
      </c>
      <c r="B99" s="2">
        <v>4</v>
      </c>
      <c r="C99" s="4" t="s">
        <v>120</v>
      </c>
      <c r="D99" s="2">
        <v>19</v>
      </c>
      <c r="E99" s="2">
        <v>0</v>
      </c>
      <c r="F99" s="2">
        <v>600</v>
      </c>
      <c r="G99" s="5" t="s">
        <v>161</v>
      </c>
      <c r="H99" s="2">
        <v>0</v>
      </c>
      <c r="I99" s="2">
        <v>2</v>
      </c>
      <c r="J99" s="22" t="str">
        <f>VLOOKUP(表5[[#This Row],[任务名称]],[1]!表1_8[#Data],2,FALSE)</f>
        <v>活动期间充值60元</v>
      </c>
    </row>
    <row r="100" spans="1:10" x14ac:dyDescent="0.15">
      <c r="A100" s="3">
        <v>4105</v>
      </c>
      <c r="B100" s="2">
        <v>4</v>
      </c>
      <c r="C100" s="4" t="s">
        <v>121</v>
      </c>
      <c r="D100" s="2">
        <v>19</v>
      </c>
      <c r="E100" s="2">
        <v>0</v>
      </c>
      <c r="F100" s="2">
        <v>1000</v>
      </c>
      <c r="G100" s="5" t="s">
        <v>162</v>
      </c>
      <c r="H100" s="2">
        <v>0</v>
      </c>
      <c r="I100" s="2">
        <v>2</v>
      </c>
      <c r="J100" s="22" t="str">
        <f>VLOOKUP(表5[[#This Row],[任务名称]],[1]!表1_8[#Data],2,FALSE)</f>
        <v>活动期间充值100元</v>
      </c>
    </row>
    <row r="101" spans="1:10" x14ac:dyDescent="0.15">
      <c r="A101" s="3">
        <v>4106</v>
      </c>
      <c r="B101" s="2">
        <v>4</v>
      </c>
      <c r="C101" s="4" t="s">
        <v>122</v>
      </c>
      <c r="D101" s="2">
        <v>19</v>
      </c>
      <c r="E101" s="2">
        <v>0</v>
      </c>
      <c r="F101" s="2">
        <v>2000</v>
      </c>
      <c r="G101" s="5" t="s">
        <v>163</v>
      </c>
      <c r="H101" s="2">
        <v>0</v>
      </c>
      <c r="I101" s="2">
        <v>2</v>
      </c>
      <c r="J101" s="22" t="str">
        <f>VLOOKUP(表5[[#This Row],[任务名称]],[1]!表1_8[#Data],2,FALSE)</f>
        <v>活动期间充值200元</v>
      </c>
    </row>
    <row r="102" spans="1:10" x14ac:dyDescent="0.15">
      <c r="A102" s="3">
        <v>4107</v>
      </c>
      <c r="B102" s="2">
        <v>4</v>
      </c>
      <c r="C102" s="4" t="s">
        <v>123</v>
      </c>
      <c r="D102" s="2">
        <v>19</v>
      </c>
      <c r="E102" s="2">
        <v>0</v>
      </c>
      <c r="F102" s="2">
        <v>3000</v>
      </c>
      <c r="G102" s="5" t="s">
        <v>164</v>
      </c>
      <c r="H102" s="2">
        <v>0</v>
      </c>
      <c r="I102" s="2">
        <v>2</v>
      </c>
      <c r="J102" s="22" t="str">
        <f>VLOOKUP(表5[[#This Row],[任务名称]],[1]!表1_8[#Data],2,FALSE)</f>
        <v>活动期间充值300元</v>
      </c>
    </row>
    <row r="103" spans="1:10" x14ac:dyDescent="0.15">
      <c r="A103" s="3">
        <v>4108</v>
      </c>
      <c r="B103" s="2">
        <v>4</v>
      </c>
      <c r="C103" s="4" t="s">
        <v>124</v>
      </c>
      <c r="D103" s="2">
        <v>19</v>
      </c>
      <c r="E103" s="2">
        <v>0</v>
      </c>
      <c r="F103" s="2">
        <v>5000</v>
      </c>
      <c r="G103" s="5" t="s">
        <v>165</v>
      </c>
      <c r="H103" s="2">
        <v>0</v>
      </c>
      <c r="I103" s="2">
        <v>2</v>
      </c>
      <c r="J103" s="22" t="str">
        <f>VLOOKUP(表5[[#This Row],[任务名称]],[1]!表1_8[#Data],2,FALSE)</f>
        <v>活动期间充值500元</v>
      </c>
    </row>
    <row r="104" spans="1:10" x14ac:dyDescent="0.15">
      <c r="A104" s="3">
        <v>4109</v>
      </c>
      <c r="B104" s="2">
        <v>4</v>
      </c>
      <c r="C104" s="4" t="s">
        <v>125</v>
      </c>
      <c r="D104" s="2">
        <v>19</v>
      </c>
      <c r="E104" s="2">
        <v>0</v>
      </c>
      <c r="F104" s="2">
        <v>10000</v>
      </c>
      <c r="G104" s="5" t="s">
        <v>166</v>
      </c>
      <c r="H104" s="2">
        <v>0</v>
      </c>
      <c r="I104" s="2">
        <v>2</v>
      </c>
      <c r="J104" s="22" t="str">
        <f>VLOOKUP(表5[[#This Row],[任务名称]],[1]!表1_8[#Data],2,FALSE)</f>
        <v>活动期间充值1000元</v>
      </c>
    </row>
    <row r="105" spans="1:10" x14ac:dyDescent="0.15">
      <c r="A105" s="3">
        <v>4110</v>
      </c>
      <c r="B105" s="2">
        <v>4</v>
      </c>
      <c r="C105" s="4" t="s">
        <v>140</v>
      </c>
      <c r="D105" s="2">
        <v>19</v>
      </c>
      <c r="E105" s="2">
        <v>0</v>
      </c>
      <c r="F105" s="2">
        <v>20000</v>
      </c>
      <c r="G105" s="5" t="s">
        <v>167</v>
      </c>
      <c r="H105" s="2">
        <v>0</v>
      </c>
      <c r="I105" s="2">
        <v>2</v>
      </c>
      <c r="J105" s="23" t="str">
        <f>VLOOKUP(表5[[#This Row],[任务名称]],[1]!表1_8[#Data],2,FALSE)</f>
        <v>活动期间充值2000元</v>
      </c>
    </row>
    <row r="106" spans="1:10" x14ac:dyDescent="0.15">
      <c r="A106" s="3">
        <v>5001</v>
      </c>
      <c r="B106" s="2">
        <v>5</v>
      </c>
      <c r="C106" s="4" t="s">
        <v>101</v>
      </c>
      <c r="D106" s="12">
        <v>28</v>
      </c>
      <c r="E106" s="12">
        <v>0</v>
      </c>
      <c r="F106" s="12">
        <v>5</v>
      </c>
      <c r="G106" s="5" t="s">
        <v>172</v>
      </c>
      <c r="H106" s="2">
        <v>1</v>
      </c>
      <c r="I106" s="2">
        <v>1</v>
      </c>
      <c r="J106" s="24" t="str">
        <f>VLOOKUP(表5[[#This Row],[任务名称]],[1]!表1_8[#Data],2,FALSE)</f>
        <v>今日排位赛胜利5次</v>
      </c>
    </row>
    <row r="107" spans="1:10" x14ac:dyDescent="0.15">
      <c r="A107" s="3">
        <v>5002</v>
      </c>
      <c r="B107" s="2">
        <v>5</v>
      </c>
      <c r="C107" s="4" t="s">
        <v>102</v>
      </c>
      <c r="D107" s="12">
        <v>1</v>
      </c>
      <c r="E107" s="12">
        <v>21</v>
      </c>
      <c r="F107" s="12">
        <v>2</v>
      </c>
      <c r="G107" s="5" t="s">
        <v>173</v>
      </c>
      <c r="H107" s="2">
        <v>1</v>
      </c>
      <c r="I107" s="2">
        <v>1</v>
      </c>
      <c r="J107" s="24" t="str">
        <f>VLOOKUP(表5[[#This Row],[任务名称]],[1]!表1_8[#Data],2,FALSE)</f>
        <v>今日捕获BOSS灯笼鱼2条</v>
      </c>
    </row>
    <row r="108" spans="1:10" x14ac:dyDescent="0.15">
      <c r="A108" s="3">
        <v>5003</v>
      </c>
      <c r="B108" s="2">
        <v>5</v>
      </c>
      <c r="C108" s="4" t="s">
        <v>103</v>
      </c>
      <c r="D108" s="12">
        <v>1</v>
      </c>
      <c r="E108" s="12">
        <v>22</v>
      </c>
      <c r="F108" s="12">
        <v>2</v>
      </c>
      <c r="G108" s="5" t="s">
        <v>173</v>
      </c>
      <c r="H108" s="2">
        <v>1</v>
      </c>
      <c r="I108" s="2">
        <v>1</v>
      </c>
      <c r="J108" s="24" t="str">
        <f>VLOOKUP(表5[[#This Row],[任务名称]],[1]!表1_8[#Data],2,FALSE)</f>
        <v>今日捕获BOSS美人鱼2条</v>
      </c>
    </row>
    <row r="109" spans="1:10" x14ac:dyDescent="0.15">
      <c r="A109" s="3">
        <v>5004</v>
      </c>
      <c r="B109" s="2">
        <v>5</v>
      </c>
      <c r="C109" s="4" t="s">
        <v>104</v>
      </c>
      <c r="D109" s="12">
        <v>1</v>
      </c>
      <c r="E109" s="12">
        <v>49</v>
      </c>
      <c r="F109" s="12">
        <v>2</v>
      </c>
      <c r="G109" s="5" t="s">
        <v>173</v>
      </c>
      <c r="H109" s="2">
        <v>1</v>
      </c>
      <c r="I109" s="2">
        <v>1</v>
      </c>
      <c r="J109" s="24" t="str">
        <f>VLOOKUP(表5[[#This Row],[任务名称]],[1]!表1_8[#Data],2,FALSE)</f>
        <v>今日捕获BOSS章鱼2条</v>
      </c>
    </row>
    <row r="110" spans="1:10" x14ac:dyDescent="0.15">
      <c r="A110" s="3">
        <v>5005</v>
      </c>
      <c r="B110" s="2">
        <v>5</v>
      </c>
      <c r="C110" s="4" t="s">
        <v>105</v>
      </c>
      <c r="D110" s="12">
        <v>1</v>
      </c>
      <c r="E110" s="12">
        <v>57</v>
      </c>
      <c r="F110" s="12">
        <v>2</v>
      </c>
      <c r="G110" s="5" t="s">
        <v>173</v>
      </c>
      <c r="H110" s="2">
        <v>1</v>
      </c>
      <c r="I110" s="2">
        <v>1</v>
      </c>
      <c r="J110" s="24" t="str">
        <f>VLOOKUP(表5[[#This Row],[任务名称]],[1]!表1_8[#Data],2,FALSE)</f>
        <v>今日捕获BOSS海马2条</v>
      </c>
    </row>
    <row r="111" spans="1:10" x14ac:dyDescent="0.15">
      <c r="A111" s="3">
        <v>5006</v>
      </c>
      <c r="B111" s="2">
        <v>5</v>
      </c>
      <c r="C111" s="4" t="s">
        <v>106</v>
      </c>
      <c r="D111" s="2">
        <v>1</v>
      </c>
      <c r="E111" s="2">
        <v>52</v>
      </c>
      <c r="F111" s="2">
        <v>5</v>
      </c>
      <c r="G111" s="5" t="s">
        <v>173</v>
      </c>
      <c r="H111" s="2">
        <v>1</v>
      </c>
      <c r="I111" s="2">
        <v>1</v>
      </c>
      <c r="J111" s="24" t="str">
        <f>VLOOKUP(表5[[#This Row],[任务名称]],[1]!表1_8[#Data],2,FALSE)</f>
        <v>今日捕获宝箱鱼5条</v>
      </c>
    </row>
    <row r="112" spans="1:10" x14ac:dyDescent="0.15">
      <c r="A112" s="3">
        <v>5007</v>
      </c>
      <c r="B112" s="2">
        <v>5</v>
      </c>
      <c r="C112" s="4" t="s">
        <v>107</v>
      </c>
      <c r="D112" s="12">
        <v>2</v>
      </c>
      <c r="E112" s="12">
        <v>4</v>
      </c>
      <c r="F112" s="12">
        <v>10</v>
      </c>
      <c r="G112" s="5" t="s">
        <v>173</v>
      </c>
      <c r="H112" s="2">
        <v>1</v>
      </c>
      <c r="I112" s="2">
        <v>1</v>
      </c>
      <c r="J112" s="24" t="str">
        <f>VLOOKUP(表5[[#This Row],[任务名称]],[1]!表1_8[#Data],2,FALSE)</f>
        <v>今日使用激光10次</v>
      </c>
    </row>
    <row r="113" spans="1:10" x14ac:dyDescent="0.15">
      <c r="A113" s="3">
        <v>5008</v>
      </c>
      <c r="B113" s="2">
        <v>5</v>
      </c>
      <c r="C113" s="4" t="s">
        <v>108</v>
      </c>
      <c r="D113" s="12">
        <v>10</v>
      </c>
      <c r="E113" s="12">
        <v>0</v>
      </c>
      <c r="F113" s="12">
        <v>50</v>
      </c>
      <c r="G113" s="5" t="s">
        <v>173</v>
      </c>
      <c r="H113" s="2">
        <v>1</v>
      </c>
      <c r="I113" s="2">
        <v>1</v>
      </c>
      <c r="J113" s="24" t="str">
        <f>VLOOKUP(表5[[#This Row],[任务名称]],[1]!表1_8[#Data],2,FALSE)</f>
        <v>今日消耗钻石50</v>
      </c>
    </row>
    <row r="114" spans="1:10" x14ac:dyDescent="0.15">
      <c r="A114" s="3">
        <v>5009</v>
      </c>
      <c r="B114" s="2">
        <v>5</v>
      </c>
      <c r="C114" s="4" t="s">
        <v>109</v>
      </c>
      <c r="D114" s="2">
        <v>11</v>
      </c>
      <c r="E114" s="2">
        <v>0</v>
      </c>
      <c r="F114" s="2">
        <v>50000</v>
      </c>
      <c r="G114" s="5" t="s">
        <v>173</v>
      </c>
      <c r="H114" s="2">
        <v>1</v>
      </c>
      <c r="I114" s="2">
        <v>1</v>
      </c>
      <c r="J114" s="24" t="str">
        <f>VLOOKUP(表5[[#This Row],[任务名称]],[1]!表1_8[#Data],2,FALSE)</f>
        <v>今日消耗金币50000</v>
      </c>
    </row>
    <row r="115" spans="1:10" x14ac:dyDescent="0.15">
      <c r="A115" s="3">
        <v>5010</v>
      </c>
      <c r="B115" s="2">
        <v>5</v>
      </c>
      <c r="C115" s="4" t="s">
        <v>110</v>
      </c>
      <c r="D115" s="12">
        <v>20</v>
      </c>
      <c r="E115" s="12">
        <v>0</v>
      </c>
      <c r="F115" s="12">
        <v>10</v>
      </c>
      <c r="G115" s="5" t="s">
        <v>174</v>
      </c>
      <c r="H115" s="2">
        <v>0</v>
      </c>
      <c r="I115" s="2">
        <v>1</v>
      </c>
      <c r="J115" s="24" t="str">
        <f>VLOOKUP(表5[[#This Row],[任务名称]],[1]!表1_8[#Data],2,FALSE)</f>
        <v>累计参与保卫女神10次</v>
      </c>
    </row>
    <row r="116" spans="1:10" x14ac:dyDescent="0.15">
      <c r="A116" s="3">
        <v>5011</v>
      </c>
      <c r="B116" s="2">
        <v>5</v>
      </c>
      <c r="C116" s="4" t="s">
        <v>111</v>
      </c>
      <c r="D116" s="2">
        <v>21</v>
      </c>
      <c r="E116" s="2">
        <v>0</v>
      </c>
      <c r="F116" s="2">
        <v>50</v>
      </c>
      <c r="G116" s="5" t="s">
        <v>175</v>
      </c>
      <c r="H116" s="2">
        <v>0</v>
      </c>
      <c r="I116" s="2">
        <v>1</v>
      </c>
      <c r="J116" s="24" t="str">
        <f>VLOOKUP(表5[[#This Row],[任务名称]],[1]!表1_8[#Data],2,FALSE)</f>
        <v>累计在水族馆放养50次鱼</v>
      </c>
    </row>
    <row r="117" spans="1:10" x14ac:dyDescent="0.15">
      <c r="A117" s="3">
        <v>5012</v>
      </c>
      <c r="B117" s="2">
        <v>5</v>
      </c>
      <c r="C117" s="4" t="s">
        <v>112</v>
      </c>
      <c r="D117" s="12">
        <v>18</v>
      </c>
      <c r="E117" s="12">
        <v>0</v>
      </c>
      <c r="F117" s="12">
        <v>20</v>
      </c>
      <c r="G117" s="5" t="s">
        <v>174</v>
      </c>
      <c r="H117" s="2">
        <v>0</v>
      </c>
      <c r="I117" s="2">
        <v>1</v>
      </c>
      <c r="J117" s="24" t="str">
        <f>VLOOKUP(表5[[#This Row],[任务名称]],[1]!表1_8[#Data],2,FALSE)</f>
        <v>累计购买20次金币</v>
      </c>
    </row>
    <row r="118" spans="1:10" x14ac:dyDescent="0.15">
      <c r="A118" s="3">
        <v>5013</v>
      </c>
      <c r="B118" s="2">
        <v>5</v>
      </c>
      <c r="C118" s="4" t="s">
        <v>113</v>
      </c>
      <c r="D118" s="2">
        <v>1</v>
      </c>
      <c r="E118" s="2">
        <v>0</v>
      </c>
      <c r="F118" s="2">
        <v>100000</v>
      </c>
      <c r="G118" s="5" t="s">
        <v>176</v>
      </c>
      <c r="H118" s="2">
        <v>0</v>
      </c>
      <c r="I118" s="2">
        <v>1</v>
      </c>
      <c r="J118" s="24" t="str">
        <f>VLOOKUP(表5[[#This Row],[任务名称]],[1]!表1_8[#Data],2,FALSE)</f>
        <v>累计捕获任意鱼100000条</v>
      </c>
    </row>
    <row r="119" spans="1:10" x14ac:dyDescent="0.15">
      <c r="A119" s="3">
        <v>5014</v>
      </c>
      <c r="B119" s="2">
        <v>5</v>
      </c>
      <c r="C119" s="4" t="s">
        <v>114</v>
      </c>
      <c r="D119" s="2">
        <v>13</v>
      </c>
      <c r="E119" s="2">
        <v>0</v>
      </c>
      <c r="F119" s="2">
        <v>9</v>
      </c>
      <c r="G119" s="5" t="s">
        <v>176</v>
      </c>
      <c r="H119" s="2">
        <v>0</v>
      </c>
      <c r="I119" s="2">
        <v>1</v>
      </c>
      <c r="J119" s="24" t="str">
        <f>VLOOKUP(表5[[#This Row],[任务名称]],[1]!表1_8[#Data],2,FALSE)</f>
        <v>累计登录9天</v>
      </c>
    </row>
    <row r="120" spans="1:10" x14ac:dyDescent="0.15">
      <c r="A120" s="3">
        <v>5015</v>
      </c>
      <c r="B120" s="2">
        <v>5</v>
      </c>
      <c r="C120" s="4" t="s">
        <v>115</v>
      </c>
      <c r="D120" s="12">
        <v>2</v>
      </c>
      <c r="E120" s="12">
        <v>3</v>
      </c>
      <c r="F120" s="12">
        <v>100</v>
      </c>
      <c r="G120" s="5" t="s">
        <v>177</v>
      </c>
      <c r="H120" s="2">
        <v>0</v>
      </c>
      <c r="I120" s="2">
        <v>1</v>
      </c>
      <c r="J120" s="24" t="str">
        <f>VLOOKUP(表5[[#This Row],[任务名称]],[1]!表1_8[#Data],2,FALSE)</f>
        <v>累计召唤100条鱼</v>
      </c>
    </row>
    <row r="121" spans="1:10" x14ac:dyDescent="0.15">
      <c r="A121" s="3">
        <v>5100</v>
      </c>
      <c r="B121" s="2">
        <v>5</v>
      </c>
      <c r="C121" s="4" t="s">
        <v>116</v>
      </c>
      <c r="D121" s="2">
        <v>19</v>
      </c>
      <c r="E121" s="2">
        <v>1</v>
      </c>
      <c r="F121" s="2">
        <v>1</v>
      </c>
      <c r="G121" s="5" t="s">
        <v>178</v>
      </c>
      <c r="H121" s="2">
        <v>1</v>
      </c>
      <c r="I121" s="2">
        <v>2</v>
      </c>
      <c r="J121" s="24" t="str">
        <f>VLOOKUP(表5[[#This Row],[任务名称]],[1]!表1_8[#Data],2,FALSE)</f>
        <v>今日充值任意金额</v>
      </c>
    </row>
    <row r="122" spans="1:10" x14ac:dyDescent="0.15">
      <c r="A122" s="3">
        <v>5101</v>
      </c>
      <c r="B122" s="2">
        <v>5</v>
      </c>
      <c r="C122" s="4" t="s">
        <v>117</v>
      </c>
      <c r="D122" s="2">
        <v>19</v>
      </c>
      <c r="E122" s="2">
        <v>0</v>
      </c>
      <c r="F122" s="2">
        <v>10</v>
      </c>
      <c r="G122" s="5" t="s">
        <v>179</v>
      </c>
      <c r="H122" s="2">
        <v>0</v>
      </c>
      <c r="I122" s="2">
        <v>2</v>
      </c>
      <c r="J122" s="24" t="str">
        <f>VLOOKUP(表5[[#This Row],[任务名称]],[1]!表1_8[#Data],2,FALSE)</f>
        <v>活动期间充值10元</v>
      </c>
    </row>
    <row r="123" spans="1:10" x14ac:dyDescent="0.15">
      <c r="A123" s="3">
        <v>5102</v>
      </c>
      <c r="B123" s="2">
        <v>5</v>
      </c>
      <c r="C123" s="4" t="s">
        <v>118</v>
      </c>
      <c r="D123" s="2">
        <v>19</v>
      </c>
      <c r="E123" s="2">
        <v>0</v>
      </c>
      <c r="F123" s="2">
        <v>20</v>
      </c>
      <c r="G123" s="5" t="s">
        <v>180</v>
      </c>
      <c r="H123" s="2">
        <v>0</v>
      </c>
      <c r="I123" s="2">
        <v>2</v>
      </c>
      <c r="J123" s="24" t="str">
        <f>VLOOKUP(表5[[#This Row],[任务名称]],[1]!表1_8[#Data],2,FALSE)</f>
        <v>活动期间充值20元</v>
      </c>
    </row>
    <row r="124" spans="1:10" x14ac:dyDescent="0.15">
      <c r="A124" s="3">
        <v>5103</v>
      </c>
      <c r="B124" s="2">
        <v>5</v>
      </c>
      <c r="C124" s="4" t="s">
        <v>119</v>
      </c>
      <c r="D124" s="2">
        <v>19</v>
      </c>
      <c r="E124" s="2">
        <v>0</v>
      </c>
      <c r="F124" s="2">
        <v>40</v>
      </c>
      <c r="G124" s="5" t="s">
        <v>181</v>
      </c>
      <c r="H124" s="2">
        <v>0</v>
      </c>
      <c r="I124" s="2">
        <v>2</v>
      </c>
      <c r="J124" s="24" t="str">
        <f>VLOOKUP(表5[[#This Row],[任务名称]],[1]!表1_8[#Data],2,FALSE)</f>
        <v>活动期间充值40元</v>
      </c>
    </row>
    <row r="125" spans="1:10" x14ac:dyDescent="0.15">
      <c r="A125" s="3">
        <v>5104</v>
      </c>
      <c r="B125" s="2">
        <v>5</v>
      </c>
      <c r="C125" s="4" t="s">
        <v>120</v>
      </c>
      <c r="D125" s="2">
        <v>19</v>
      </c>
      <c r="E125" s="2">
        <v>0</v>
      </c>
      <c r="F125" s="2">
        <v>60</v>
      </c>
      <c r="G125" s="5" t="s">
        <v>182</v>
      </c>
      <c r="H125" s="2">
        <v>0</v>
      </c>
      <c r="I125" s="2">
        <v>2</v>
      </c>
      <c r="J125" s="24" t="str">
        <f>VLOOKUP(表5[[#This Row],[任务名称]],[1]!表1_8[#Data],2,FALSE)</f>
        <v>活动期间充值60元</v>
      </c>
    </row>
    <row r="126" spans="1:10" x14ac:dyDescent="0.15">
      <c r="A126" s="3">
        <v>5105</v>
      </c>
      <c r="B126" s="2">
        <v>5</v>
      </c>
      <c r="C126" s="4" t="s">
        <v>121</v>
      </c>
      <c r="D126" s="2">
        <v>19</v>
      </c>
      <c r="E126" s="2">
        <v>0</v>
      </c>
      <c r="F126" s="2">
        <v>100</v>
      </c>
      <c r="G126" s="5" t="s">
        <v>183</v>
      </c>
      <c r="H126" s="2">
        <v>0</v>
      </c>
      <c r="I126" s="2">
        <v>2</v>
      </c>
      <c r="J126" s="24" t="str">
        <f>VLOOKUP(表5[[#This Row],[任务名称]],[1]!表1_8[#Data],2,FALSE)</f>
        <v>活动期间充值100元</v>
      </c>
    </row>
    <row r="127" spans="1:10" x14ac:dyDescent="0.15">
      <c r="A127" s="3">
        <v>5106</v>
      </c>
      <c r="B127" s="2">
        <v>5</v>
      </c>
      <c r="C127" s="4" t="s">
        <v>122</v>
      </c>
      <c r="D127" s="2">
        <v>19</v>
      </c>
      <c r="E127" s="2">
        <v>0</v>
      </c>
      <c r="F127" s="2">
        <v>200</v>
      </c>
      <c r="G127" s="5" t="s">
        <v>184</v>
      </c>
      <c r="H127" s="2">
        <v>0</v>
      </c>
      <c r="I127" s="2">
        <v>2</v>
      </c>
      <c r="J127" s="24" t="str">
        <f>VLOOKUP(表5[[#This Row],[任务名称]],[1]!表1_8[#Data],2,FALSE)</f>
        <v>活动期间充值200元</v>
      </c>
    </row>
    <row r="128" spans="1:10" x14ac:dyDescent="0.15">
      <c r="A128" s="3">
        <v>5107</v>
      </c>
      <c r="B128" s="2">
        <v>5</v>
      </c>
      <c r="C128" s="4" t="s">
        <v>123</v>
      </c>
      <c r="D128" s="2">
        <v>19</v>
      </c>
      <c r="E128" s="2">
        <v>0</v>
      </c>
      <c r="F128" s="2">
        <v>300</v>
      </c>
      <c r="G128" s="5" t="s">
        <v>185</v>
      </c>
      <c r="H128" s="2">
        <v>0</v>
      </c>
      <c r="I128" s="2">
        <v>2</v>
      </c>
      <c r="J128" s="24" t="str">
        <f>VLOOKUP(表5[[#This Row],[任务名称]],[1]!表1_8[#Data],2,FALSE)</f>
        <v>活动期间充值300元</v>
      </c>
    </row>
    <row r="129" spans="1:10" x14ac:dyDescent="0.15">
      <c r="A129" s="3">
        <v>5108</v>
      </c>
      <c r="B129" s="2">
        <v>5</v>
      </c>
      <c r="C129" s="4" t="s">
        <v>124</v>
      </c>
      <c r="D129" s="2">
        <v>19</v>
      </c>
      <c r="E129" s="2">
        <v>0</v>
      </c>
      <c r="F129" s="2">
        <v>500</v>
      </c>
      <c r="G129" s="5" t="s">
        <v>186</v>
      </c>
      <c r="H129" s="2">
        <v>0</v>
      </c>
      <c r="I129" s="2">
        <v>2</v>
      </c>
      <c r="J129" s="24" t="str">
        <f>VLOOKUP(表5[[#This Row],[任务名称]],[1]!表1_8[#Data],2,FALSE)</f>
        <v>活动期间充值500元</v>
      </c>
    </row>
    <row r="130" spans="1:10" x14ac:dyDescent="0.15">
      <c r="A130" s="3">
        <v>5109</v>
      </c>
      <c r="B130" s="2">
        <v>5</v>
      </c>
      <c r="C130" s="4" t="s">
        <v>125</v>
      </c>
      <c r="D130" s="2">
        <v>19</v>
      </c>
      <c r="E130" s="2">
        <v>0</v>
      </c>
      <c r="F130" s="2">
        <v>1000</v>
      </c>
      <c r="G130" s="5" t="s">
        <v>187</v>
      </c>
      <c r="H130" s="2">
        <v>0</v>
      </c>
      <c r="I130" s="2">
        <v>2</v>
      </c>
      <c r="J130" s="24" t="str">
        <f>VLOOKUP(表5[[#This Row],[任务名称]],[1]!表1_8[#Data],2,FALSE)</f>
        <v>活动期间充值1000元</v>
      </c>
    </row>
    <row r="131" spans="1:10" x14ac:dyDescent="0.15">
      <c r="A131" s="3">
        <v>5110</v>
      </c>
      <c r="B131" s="2">
        <v>5</v>
      </c>
      <c r="C131" s="4" t="s">
        <v>140</v>
      </c>
      <c r="D131" s="2">
        <v>19</v>
      </c>
      <c r="E131" s="2">
        <v>0</v>
      </c>
      <c r="F131" s="2">
        <v>2000</v>
      </c>
      <c r="G131" s="5" t="s">
        <v>188</v>
      </c>
      <c r="H131" s="2">
        <v>0</v>
      </c>
      <c r="I131" s="2">
        <v>2</v>
      </c>
      <c r="J131" s="24" t="str">
        <f>VLOOKUP(表5[[#This Row],[任务名称]],[1]!表1_8[#Data],2,FALSE)</f>
        <v>活动期间充值2000元</v>
      </c>
    </row>
  </sheetData>
  <phoneticPr fontId="6" type="noConversion"/>
  <conditionalFormatting sqref="A7">
    <cfRule type="duplicateValues" dxfId="153" priority="129"/>
    <cfRule type="duplicateValues" dxfId="152" priority="130"/>
  </conditionalFormatting>
  <conditionalFormatting sqref="A8">
    <cfRule type="duplicateValues" dxfId="151" priority="127"/>
    <cfRule type="duplicateValues" dxfId="150" priority="128"/>
  </conditionalFormatting>
  <conditionalFormatting sqref="A9">
    <cfRule type="duplicateValues" dxfId="149" priority="125"/>
    <cfRule type="duplicateValues" dxfId="148" priority="126"/>
  </conditionalFormatting>
  <conditionalFormatting sqref="A10">
    <cfRule type="duplicateValues" dxfId="147" priority="123"/>
    <cfRule type="duplicateValues" dxfId="146" priority="124"/>
  </conditionalFormatting>
  <conditionalFormatting sqref="A11">
    <cfRule type="duplicateValues" dxfId="145" priority="121"/>
    <cfRule type="duplicateValues" dxfId="144" priority="122"/>
  </conditionalFormatting>
  <conditionalFormatting sqref="A12">
    <cfRule type="duplicateValues" dxfId="143" priority="119"/>
    <cfRule type="duplicateValues" dxfId="142" priority="120"/>
  </conditionalFormatting>
  <conditionalFormatting sqref="A38">
    <cfRule type="duplicateValues" dxfId="141" priority="109"/>
    <cfRule type="duplicateValues" dxfId="140" priority="110"/>
  </conditionalFormatting>
  <conditionalFormatting sqref="A39">
    <cfRule type="duplicateValues" dxfId="139" priority="97"/>
    <cfRule type="duplicateValues" dxfId="138" priority="98"/>
  </conditionalFormatting>
  <conditionalFormatting sqref="A5:A41">
    <cfRule type="duplicateValues" dxfId="137" priority="132"/>
  </conditionalFormatting>
  <conditionalFormatting sqref="A6 A18 A20:A26 A8 A10 A12 A14 A16">
    <cfRule type="duplicateValues" dxfId="136" priority="131"/>
  </conditionalFormatting>
  <conditionalFormatting sqref="A13 A15 A19 A21 A23 A25 A17">
    <cfRule type="duplicateValues" dxfId="135" priority="117"/>
    <cfRule type="duplicateValues" dxfId="134" priority="118"/>
  </conditionalFormatting>
  <conditionalFormatting sqref="A14 A16 A18 A20:A26">
    <cfRule type="duplicateValues" dxfId="133" priority="115"/>
    <cfRule type="duplicateValues" dxfId="132" priority="116"/>
  </conditionalFormatting>
  <conditionalFormatting sqref="A43 A45 A47 A49 A51">
    <cfRule type="duplicateValues" dxfId="131" priority="74"/>
    <cfRule type="duplicateValues" dxfId="130" priority="75"/>
  </conditionalFormatting>
  <conditionalFormatting sqref="A42 A44 A46 A48 A50">
    <cfRule type="duplicateValues" dxfId="129" priority="72"/>
    <cfRule type="duplicateValues" dxfId="128" priority="73"/>
    <cfRule type="duplicateValues" dxfId="127" priority="76"/>
  </conditionalFormatting>
  <conditionalFormatting sqref="A42:A51">
    <cfRule type="duplicateValues" dxfId="126" priority="133"/>
  </conditionalFormatting>
  <conditionalFormatting sqref="A37">
    <cfRule type="duplicateValues" dxfId="125" priority="189"/>
    <cfRule type="duplicateValues" dxfId="124" priority="190"/>
  </conditionalFormatting>
  <conditionalFormatting sqref="A36 A38:A39 A41">
    <cfRule type="duplicateValues" dxfId="123" priority="192"/>
  </conditionalFormatting>
  <conditionalFormatting sqref="A27:A41">
    <cfRule type="duplicateValues" dxfId="122" priority="234"/>
  </conditionalFormatting>
  <conditionalFormatting sqref="A63">
    <cfRule type="duplicateValues" dxfId="121" priority="53"/>
    <cfRule type="duplicateValues" dxfId="120" priority="54"/>
  </conditionalFormatting>
  <conditionalFormatting sqref="A64">
    <cfRule type="duplicateValues" dxfId="119" priority="51"/>
    <cfRule type="duplicateValues" dxfId="118" priority="52"/>
  </conditionalFormatting>
  <conditionalFormatting sqref="A52:A66">
    <cfRule type="duplicateValues" dxfId="117" priority="55"/>
  </conditionalFormatting>
  <conditionalFormatting sqref="A68 A70 A72 A74 A77">
    <cfRule type="duplicateValues" dxfId="116" priority="48"/>
    <cfRule type="duplicateValues" dxfId="115" priority="49"/>
  </conditionalFormatting>
  <conditionalFormatting sqref="A67 A69 A71 A73 A75:A76 A78:A79">
    <cfRule type="duplicateValues" dxfId="114" priority="46"/>
    <cfRule type="duplicateValues" dxfId="113" priority="47"/>
    <cfRule type="duplicateValues" dxfId="112" priority="50"/>
  </conditionalFormatting>
  <conditionalFormatting sqref="A67:A79">
    <cfRule type="duplicateValues" dxfId="111" priority="56"/>
  </conditionalFormatting>
  <conditionalFormatting sqref="A62">
    <cfRule type="duplicateValues" dxfId="110" priority="57"/>
    <cfRule type="duplicateValues" dxfId="109" priority="58"/>
  </conditionalFormatting>
  <conditionalFormatting sqref="A61 A63:A64 A66">
    <cfRule type="duplicateValues" dxfId="108" priority="59"/>
  </conditionalFormatting>
  <conditionalFormatting sqref="A52:A66">
    <cfRule type="duplicateValues" dxfId="107" priority="60"/>
  </conditionalFormatting>
  <conditionalFormatting sqref="A91">
    <cfRule type="duplicateValues" dxfId="106" priority="29"/>
    <cfRule type="duplicateValues" dxfId="105" priority="30"/>
  </conditionalFormatting>
  <conditionalFormatting sqref="A92">
    <cfRule type="duplicateValues" dxfId="104" priority="27"/>
    <cfRule type="duplicateValues" dxfId="103" priority="28"/>
  </conditionalFormatting>
  <conditionalFormatting sqref="A80:A94">
    <cfRule type="duplicateValues" dxfId="102" priority="31"/>
  </conditionalFormatting>
  <conditionalFormatting sqref="A90">
    <cfRule type="duplicateValues" dxfId="101" priority="33"/>
    <cfRule type="duplicateValues" dxfId="100" priority="34"/>
  </conditionalFormatting>
  <conditionalFormatting sqref="A89 A91:A92 A94">
    <cfRule type="duplicateValues" dxfId="99" priority="35"/>
  </conditionalFormatting>
  <conditionalFormatting sqref="A80:A94">
    <cfRule type="duplicateValues" dxfId="98" priority="36"/>
  </conditionalFormatting>
  <conditionalFormatting sqref="A96 A98 A100 A102 A104:A105">
    <cfRule type="duplicateValues" dxfId="97" priority="235"/>
    <cfRule type="duplicateValues" dxfId="96" priority="236"/>
  </conditionalFormatting>
  <conditionalFormatting sqref="A95 A97 A99 A101 A103:A104">
    <cfRule type="duplicateValues" dxfId="95" priority="245"/>
    <cfRule type="duplicateValues" dxfId="94" priority="246"/>
    <cfRule type="duplicateValues" dxfId="93" priority="247"/>
  </conditionalFormatting>
  <conditionalFormatting sqref="A95:A105">
    <cfRule type="duplicateValues" dxfId="92" priority="260"/>
  </conditionalFormatting>
  <conditionalFormatting sqref="A117">
    <cfRule type="duplicateValues" dxfId="91" priority="3"/>
    <cfRule type="duplicateValues" dxfId="90" priority="4"/>
  </conditionalFormatting>
  <conditionalFormatting sqref="A118">
    <cfRule type="duplicateValues" dxfId="89" priority="1"/>
    <cfRule type="duplicateValues" dxfId="88" priority="2"/>
  </conditionalFormatting>
  <conditionalFormatting sqref="A106:A120">
    <cfRule type="duplicateValues" dxfId="87" priority="5"/>
  </conditionalFormatting>
  <conditionalFormatting sqref="A116">
    <cfRule type="duplicateValues" dxfId="86" priority="6"/>
    <cfRule type="duplicateValues" dxfId="85" priority="7"/>
  </conditionalFormatting>
  <conditionalFormatting sqref="A115 A117:A118 A120">
    <cfRule type="duplicateValues" dxfId="84" priority="8"/>
  </conditionalFormatting>
  <conditionalFormatting sqref="A106:A120">
    <cfRule type="duplicateValues" dxfId="83" priority="9"/>
  </conditionalFormatting>
  <conditionalFormatting sqref="A122 A124 A126 A128 A130:A131">
    <cfRule type="duplicateValues" dxfId="82" priority="10"/>
    <cfRule type="duplicateValues" dxfId="81" priority="11"/>
  </conditionalFormatting>
  <conditionalFormatting sqref="A121 A123 A125 A127 A129:A131">
    <cfRule type="duplicateValues" dxfId="80" priority="12"/>
    <cfRule type="duplicateValues" dxfId="79" priority="13"/>
    <cfRule type="duplicateValues" dxfId="78" priority="14"/>
  </conditionalFormatting>
  <conditionalFormatting sqref="A121:A131">
    <cfRule type="duplicateValues" dxfId="77" priority="15"/>
  </conditionalFormatting>
  <dataValidations count="1">
    <dataValidation allowBlank="1" showInputMessage="1" showErrorMessage="1" promptTitle="版本&quot;,&quot;分割————————————" prompt="如果是所有版本，则填ALL" sqref="B1" xr:uid="{AEFB02A1-B7CD-41AB-A097-17F460854E78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2639-C6DD-4B46-999B-2841CA6E095F}">
  <sheetPr codeName="Sheet7"/>
  <dimension ref="A1:AA131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8" sqref="B8"/>
    </sheetView>
  </sheetViews>
  <sheetFormatPr defaultColWidth="9" defaultRowHeight="13.5" x14ac:dyDescent="0.15"/>
  <cols>
    <col min="1" max="1" width="12.25" customWidth="1"/>
    <col min="2" max="2" width="28.625" customWidth="1"/>
    <col min="3" max="3" width="22.875" bestFit="1" customWidth="1"/>
    <col min="4" max="4" width="24.625" customWidth="1"/>
    <col min="5" max="5" width="11.75" customWidth="1"/>
    <col min="6" max="6" width="9.75" customWidth="1"/>
    <col min="7" max="7" width="43.375" customWidth="1"/>
    <col min="8" max="8" width="16.125" customWidth="1"/>
    <col min="9" max="9" width="34.125" customWidth="1"/>
    <col min="10" max="10" width="19.5" customWidth="1"/>
  </cols>
  <sheetData>
    <row r="1" spans="1:27" s="30" customFormat="1" ht="12" customHeight="1" x14ac:dyDescent="0.15">
      <c r="A1" s="29"/>
      <c r="B1" s="30" t="s">
        <v>191</v>
      </c>
      <c r="C1" s="29"/>
      <c r="X1" s="31"/>
    </row>
    <row r="2" spans="1:27" s="34" customFormat="1" ht="12" customHeight="1" x14ac:dyDescent="0.15">
      <c r="A2" s="32" t="s">
        <v>12</v>
      </c>
      <c r="B2" s="33" t="s">
        <v>19</v>
      </c>
      <c r="C2" s="33" t="s">
        <v>20</v>
      </c>
      <c r="D2" s="33" t="s">
        <v>21</v>
      </c>
      <c r="E2" s="33" t="s">
        <v>22</v>
      </c>
      <c r="F2" s="33" t="s">
        <v>23</v>
      </c>
      <c r="G2" s="33" t="s">
        <v>14</v>
      </c>
      <c r="H2" s="33" t="s">
        <v>13</v>
      </c>
      <c r="I2" s="33" t="s">
        <v>24</v>
      </c>
      <c r="J2" s="33" t="s">
        <v>18</v>
      </c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</row>
    <row r="3" spans="1:27" s="37" customFormat="1" ht="12" customHeight="1" x14ac:dyDescent="0.15">
      <c r="A3" s="35" t="s">
        <v>189</v>
      </c>
      <c r="B3" s="36" t="s">
        <v>190</v>
      </c>
      <c r="C3" s="36" t="s">
        <v>16</v>
      </c>
      <c r="D3" s="36" t="s">
        <v>15</v>
      </c>
      <c r="E3" s="36" t="s">
        <v>15</v>
      </c>
      <c r="F3" s="36" t="s">
        <v>15</v>
      </c>
      <c r="G3" s="36" t="s">
        <v>17</v>
      </c>
      <c r="H3" s="36" t="s">
        <v>15</v>
      </c>
      <c r="I3" s="36" t="s">
        <v>15</v>
      </c>
      <c r="J3" s="36" t="s">
        <v>18</v>
      </c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</row>
    <row r="4" spans="1:27" x14ac:dyDescent="0.15">
      <c r="A4" t="s">
        <v>25</v>
      </c>
      <c r="B4" s="1" t="s">
        <v>26</v>
      </c>
      <c r="C4" t="s">
        <v>27</v>
      </c>
      <c r="D4" s="1" t="s">
        <v>28</v>
      </c>
      <c r="E4" t="s">
        <v>29</v>
      </c>
      <c r="F4" t="s">
        <v>30</v>
      </c>
      <c r="G4" t="s">
        <v>31</v>
      </c>
      <c r="H4" s="1" t="s">
        <v>32</v>
      </c>
      <c r="I4" s="1" t="s">
        <v>33</v>
      </c>
      <c r="J4" t="s">
        <v>51</v>
      </c>
    </row>
    <row r="5" spans="1:27" x14ac:dyDescent="0.15">
      <c r="A5" s="14">
        <v>1001</v>
      </c>
      <c r="B5" s="15">
        <v>1</v>
      </c>
      <c r="C5" s="16" t="str">
        <f>"activequest_name_"&amp;表5_2[[#This Row],[任务ID]]</f>
        <v>activequest_name_1001</v>
      </c>
      <c r="D5" s="17">
        <v>20</v>
      </c>
      <c r="E5" s="17">
        <v>0</v>
      </c>
      <c r="F5" s="17">
        <v>10</v>
      </c>
      <c r="G5" s="18" t="s">
        <v>77</v>
      </c>
      <c r="H5" s="15">
        <v>0</v>
      </c>
      <c r="I5" s="15">
        <v>1</v>
      </c>
      <c r="J5" s="19" t="str">
        <f>VLOOKUP(表5_2[[#This Row],[任务名称]],[1]!表1_8[#Data],2,FALSE)</f>
        <v>参与保卫女神10次</v>
      </c>
    </row>
    <row r="6" spans="1:27" x14ac:dyDescent="0.15">
      <c r="A6" s="14">
        <v>1002</v>
      </c>
      <c r="B6" s="15">
        <v>1</v>
      </c>
      <c r="C6" s="16" t="str">
        <f>"activequest_name_"&amp;表5_2[[#This Row],[任务ID]]</f>
        <v>activequest_name_1002</v>
      </c>
      <c r="D6" s="15">
        <v>21</v>
      </c>
      <c r="E6" s="15">
        <v>0</v>
      </c>
      <c r="F6" s="15">
        <v>30</v>
      </c>
      <c r="G6" s="18" t="s">
        <v>78</v>
      </c>
      <c r="H6" s="15">
        <v>0</v>
      </c>
      <c r="I6" s="15">
        <v>1</v>
      </c>
      <c r="J6" s="19" t="str">
        <f>VLOOKUP(表5_2[[#This Row],[任务名称]],[1]!表1_8[#Data],2,FALSE)</f>
        <v>在水族馆放养30次鱼</v>
      </c>
    </row>
    <row r="7" spans="1:27" x14ac:dyDescent="0.15">
      <c r="A7" s="14">
        <v>1003</v>
      </c>
      <c r="B7" s="15">
        <v>1</v>
      </c>
      <c r="C7" s="16" t="str">
        <f>"activequest_name_"&amp;表5_2[[#This Row],[任务ID]]</f>
        <v>activequest_name_1003</v>
      </c>
      <c r="D7" s="17">
        <v>18</v>
      </c>
      <c r="E7" s="17">
        <v>0</v>
      </c>
      <c r="F7" s="17">
        <v>5</v>
      </c>
      <c r="G7" s="18" t="s">
        <v>52</v>
      </c>
      <c r="H7" s="15">
        <v>1</v>
      </c>
      <c r="I7" s="15">
        <v>1</v>
      </c>
      <c r="J7" s="19" t="str">
        <f>VLOOKUP(表5_2[[#This Row],[任务名称]],[1]!表1_8[#Data],2,FALSE)</f>
        <v>购买5次金币</v>
      </c>
    </row>
    <row r="8" spans="1:27" x14ac:dyDescent="0.15">
      <c r="A8" s="14">
        <v>1004</v>
      </c>
      <c r="B8" s="15">
        <v>1</v>
      </c>
      <c r="C8" s="16" t="str">
        <f>"activequest_name_"&amp;表5_2[[#This Row],[任务ID]]</f>
        <v>activequest_name_1004</v>
      </c>
      <c r="D8" s="17">
        <v>1</v>
      </c>
      <c r="E8" s="17">
        <v>21</v>
      </c>
      <c r="F8" s="17">
        <v>5</v>
      </c>
      <c r="G8" s="18" t="s">
        <v>53</v>
      </c>
      <c r="H8" s="15">
        <v>1</v>
      </c>
      <c r="I8" s="15">
        <v>1</v>
      </c>
      <c r="J8" s="19" t="str">
        <f>VLOOKUP(表5_2[[#This Row],[任务名称]],[1]!表1_8[#Data],2,FALSE)</f>
        <v>捕获BOSS灯笼鱼5条</v>
      </c>
    </row>
    <row r="9" spans="1:27" x14ac:dyDescent="0.15">
      <c r="A9" s="14">
        <v>1005</v>
      </c>
      <c r="B9" s="15">
        <v>1</v>
      </c>
      <c r="C9" s="16" t="str">
        <f>"activequest_name_"&amp;表5_2[[#This Row],[任务ID]]</f>
        <v>activequest_name_1005</v>
      </c>
      <c r="D9" s="17">
        <v>1</v>
      </c>
      <c r="E9" s="17">
        <v>22</v>
      </c>
      <c r="F9" s="17">
        <v>5</v>
      </c>
      <c r="G9" s="18" t="s">
        <v>53</v>
      </c>
      <c r="H9" s="15">
        <v>1</v>
      </c>
      <c r="I9" s="15">
        <v>1</v>
      </c>
      <c r="J9" s="19" t="str">
        <f>VLOOKUP(表5_2[[#This Row],[任务名称]],[1]!表1_8[#Data],2,FALSE)</f>
        <v>捕获BOSS美人鱼5条</v>
      </c>
    </row>
    <row r="10" spans="1:27" x14ac:dyDescent="0.15">
      <c r="A10" s="14">
        <v>1006</v>
      </c>
      <c r="B10" s="15">
        <v>1</v>
      </c>
      <c r="C10" s="16" t="str">
        <f>"activequest_name_"&amp;表5_2[[#This Row],[任务ID]]</f>
        <v>activequest_name_1006</v>
      </c>
      <c r="D10" s="17">
        <v>1</v>
      </c>
      <c r="E10" s="17">
        <v>49</v>
      </c>
      <c r="F10" s="17">
        <v>5</v>
      </c>
      <c r="G10" s="18" t="s">
        <v>53</v>
      </c>
      <c r="H10" s="15">
        <v>1</v>
      </c>
      <c r="I10" s="15">
        <v>1</v>
      </c>
      <c r="J10" s="19" t="str">
        <f>VLOOKUP(表5_2[[#This Row],[任务名称]],[1]!表1_8[#Data],2,FALSE)</f>
        <v>捕获BOSS章鱼5条</v>
      </c>
    </row>
    <row r="11" spans="1:27" x14ac:dyDescent="0.15">
      <c r="A11" s="14">
        <v>1007</v>
      </c>
      <c r="B11" s="15">
        <v>1</v>
      </c>
      <c r="C11" s="16" t="str">
        <f>"activequest_name_"&amp;表5_2[[#This Row],[任务ID]]</f>
        <v>activequest_name_1007</v>
      </c>
      <c r="D11" s="17">
        <v>1</v>
      </c>
      <c r="E11" s="17">
        <v>57</v>
      </c>
      <c r="F11" s="17">
        <v>5</v>
      </c>
      <c r="G11" s="18" t="s">
        <v>53</v>
      </c>
      <c r="H11" s="15">
        <v>1</v>
      </c>
      <c r="I11" s="15">
        <v>1</v>
      </c>
      <c r="J11" s="19" t="str">
        <f>VLOOKUP(表5_2[[#This Row],[任务名称]],[1]!表1_8[#Data],2,FALSE)</f>
        <v>捕获BOSS海马5条</v>
      </c>
    </row>
    <row r="12" spans="1:27" x14ac:dyDescent="0.15">
      <c r="A12" s="14">
        <v>1008</v>
      </c>
      <c r="B12" s="15">
        <v>1</v>
      </c>
      <c r="C12" s="16" t="str">
        <f>"activequest_name_"&amp;表5_2[[#This Row],[任务ID]]</f>
        <v>activequest_name_1008</v>
      </c>
      <c r="D12" s="15">
        <v>1</v>
      </c>
      <c r="E12" s="15">
        <v>52</v>
      </c>
      <c r="F12" s="15">
        <v>1</v>
      </c>
      <c r="G12" s="18" t="s">
        <v>55</v>
      </c>
      <c r="H12" s="15">
        <v>1</v>
      </c>
      <c r="I12" s="15">
        <v>1</v>
      </c>
      <c r="J12" s="19" t="str">
        <f>VLOOKUP(表5_2[[#This Row],[任务名称]],[1]!表1_8[#Data],2,FALSE)</f>
        <v>在保卫女神中捕获1条宝箱鱼</v>
      </c>
    </row>
    <row r="13" spans="1:27" x14ac:dyDescent="0.15">
      <c r="A13" s="14">
        <v>1009</v>
      </c>
      <c r="B13" s="15">
        <v>1</v>
      </c>
      <c r="C13" s="16" t="str">
        <f>"activequest_name_"&amp;表5_2[[#This Row],[任务ID]]</f>
        <v>activequest_name_1009</v>
      </c>
      <c r="D13" s="15">
        <v>1</v>
      </c>
      <c r="E13" s="15">
        <v>0</v>
      </c>
      <c r="F13" s="15">
        <v>100000</v>
      </c>
      <c r="G13" s="18" t="s">
        <v>54</v>
      </c>
      <c r="H13" s="15">
        <v>0</v>
      </c>
      <c r="I13" s="15">
        <v>1</v>
      </c>
      <c r="J13" s="19" t="str">
        <f>VLOOKUP(表5_2[[#This Row],[任务名称]],[1]!表1_8[#Data],2,FALSE)</f>
        <v>捕获任意鱼100000条</v>
      </c>
    </row>
    <row r="14" spans="1:27" x14ac:dyDescent="0.15">
      <c r="A14" s="14">
        <v>1010</v>
      </c>
      <c r="B14" s="15">
        <v>1</v>
      </c>
      <c r="C14" s="16" t="str">
        <f>"activequest_name_"&amp;表5_2[[#This Row],[任务ID]]</f>
        <v>activequest_name_1010</v>
      </c>
      <c r="D14" s="15">
        <v>13</v>
      </c>
      <c r="E14" s="15">
        <v>0</v>
      </c>
      <c r="F14" s="15">
        <v>10</v>
      </c>
      <c r="G14" s="18" t="s">
        <v>56</v>
      </c>
      <c r="H14" s="15">
        <v>0</v>
      </c>
      <c r="I14" s="15">
        <v>1</v>
      </c>
      <c r="J14" s="19" t="str">
        <f>VLOOKUP(表5_2[[#This Row],[任务名称]],[1]!表1_8[#Data],2,FALSE)</f>
        <v>累计登录10天</v>
      </c>
    </row>
    <row r="15" spans="1:27" x14ac:dyDescent="0.15">
      <c r="A15" s="14">
        <v>1011</v>
      </c>
      <c r="B15" s="15">
        <v>1</v>
      </c>
      <c r="C15" s="16" t="str">
        <f>"activequest_name_"&amp;表5_2[[#This Row],[任务ID]]</f>
        <v>activequest_name_1011</v>
      </c>
      <c r="D15" s="17">
        <v>2</v>
      </c>
      <c r="E15" s="17">
        <v>3</v>
      </c>
      <c r="F15" s="17">
        <v>50</v>
      </c>
      <c r="G15" s="18" t="s">
        <v>57</v>
      </c>
      <c r="H15" s="15">
        <v>1</v>
      </c>
      <c r="I15" s="15">
        <v>1</v>
      </c>
      <c r="J15" s="19" t="str">
        <f>VLOOKUP(表5_2[[#This Row],[任务名称]],[1]!表1_8[#Data],2,FALSE)</f>
        <v>使用技能召唤50条鱼</v>
      </c>
    </row>
    <row r="16" spans="1:27" x14ac:dyDescent="0.15">
      <c r="A16" s="14">
        <v>1012</v>
      </c>
      <c r="B16" s="15">
        <v>1</v>
      </c>
      <c r="C16" s="16" t="str">
        <f>"activequest_name_"&amp;表5_2[[#This Row],[任务ID]]</f>
        <v>activequest_name_1012</v>
      </c>
      <c r="D16" s="17">
        <v>2</v>
      </c>
      <c r="E16" s="17">
        <v>4</v>
      </c>
      <c r="F16" s="17">
        <v>20</v>
      </c>
      <c r="G16" s="18" t="s">
        <v>57</v>
      </c>
      <c r="H16" s="15">
        <v>1</v>
      </c>
      <c r="I16" s="15">
        <v>1</v>
      </c>
      <c r="J16" s="19" t="str">
        <f>VLOOKUP(表5_2[[#This Row],[任务名称]],[1]!表1_8[#Data],2,FALSE)</f>
        <v>使用激光20次</v>
      </c>
    </row>
    <row r="17" spans="1:10" x14ac:dyDescent="0.15">
      <c r="A17" s="14">
        <v>1013</v>
      </c>
      <c r="B17" s="15">
        <v>1</v>
      </c>
      <c r="C17" s="16" t="str">
        <f>"activequest_name_"&amp;表5_2[[#This Row],[任务ID]]</f>
        <v>activequest_name_1013</v>
      </c>
      <c r="D17" s="15">
        <v>19</v>
      </c>
      <c r="E17" s="15">
        <v>1</v>
      </c>
      <c r="F17" s="15">
        <v>1</v>
      </c>
      <c r="G17" s="18" t="s">
        <v>58</v>
      </c>
      <c r="H17" s="15">
        <v>1</v>
      </c>
      <c r="I17" s="15">
        <v>2</v>
      </c>
      <c r="J17" s="19" t="str">
        <f>VLOOKUP(表5_2[[#This Row],[任务名称]],[1]!表1_8[#Data],2,FALSE)</f>
        <v>今日充值任意金额</v>
      </c>
    </row>
    <row r="18" spans="1:10" x14ac:dyDescent="0.15">
      <c r="A18" s="14">
        <v>1091</v>
      </c>
      <c r="B18" s="15">
        <v>1</v>
      </c>
      <c r="C18" s="16" t="str">
        <f>"activequest_name_"&amp;表5_2[[#This Row],[任务ID]]</f>
        <v>activequest_name_1091</v>
      </c>
      <c r="D18" s="15">
        <v>19</v>
      </c>
      <c r="E18" s="15">
        <v>0</v>
      </c>
      <c r="F18" s="15">
        <v>100</v>
      </c>
      <c r="G18" s="18" t="s">
        <v>59</v>
      </c>
      <c r="H18" s="15">
        <v>0</v>
      </c>
      <c r="I18" s="15">
        <v>2</v>
      </c>
      <c r="J18" s="19" t="str">
        <f>VLOOKUP(表5_2[[#This Row],[任务名称]],[1]!表1_8[#Data],2,FALSE)</f>
        <v>活动期间充值100钻</v>
      </c>
    </row>
    <row r="19" spans="1:10" x14ac:dyDescent="0.15">
      <c r="A19" s="14">
        <v>1092</v>
      </c>
      <c r="B19" s="15">
        <v>1</v>
      </c>
      <c r="C19" s="16" t="str">
        <f>"activequest_name_"&amp;表5_2[[#This Row],[任务ID]]</f>
        <v>activequest_name_1092</v>
      </c>
      <c r="D19" s="15">
        <v>19</v>
      </c>
      <c r="E19" s="15">
        <v>0</v>
      </c>
      <c r="F19" s="15">
        <v>200</v>
      </c>
      <c r="G19" s="18" t="s">
        <v>60</v>
      </c>
      <c r="H19" s="15">
        <v>0</v>
      </c>
      <c r="I19" s="15">
        <v>2</v>
      </c>
      <c r="J19" s="19" t="str">
        <f>VLOOKUP(表5_2[[#This Row],[任务名称]],[1]!表1_8[#Data],2,FALSE)</f>
        <v>活动期间充值200钻</v>
      </c>
    </row>
    <row r="20" spans="1:10" x14ac:dyDescent="0.15">
      <c r="A20" s="14">
        <v>1093</v>
      </c>
      <c r="B20" s="15">
        <v>1</v>
      </c>
      <c r="C20" s="16" t="str">
        <f>"activequest_name_"&amp;表5_2[[#This Row],[任务ID]]</f>
        <v>activequest_name_1093</v>
      </c>
      <c r="D20" s="15">
        <v>19</v>
      </c>
      <c r="E20" s="15">
        <v>0</v>
      </c>
      <c r="F20" s="15">
        <v>400</v>
      </c>
      <c r="G20" s="18" t="s">
        <v>61</v>
      </c>
      <c r="H20" s="15">
        <v>0</v>
      </c>
      <c r="I20" s="15">
        <v>2</v>
      </c>
      <c r="J20" s="19" t="str">
        <f>VLOOKUP(表5_2[[#This Row],[任务名称]],[1]!表1_8[#Data],2,FALSE)</f>
        <v>活动期间充值400钻</v>
      </c>
    </row>
    <row r="21" spans="1:10" x14ac:dyDescent="0.15">
      <c r="A21" s="14">
        <v>1094</v>
      </c>
      <c r="B21" s="15">
        <v>1</v>
      </c>
      <c r="C21" s="16" t="str">
        <f>"activequest_name_"&amp;表5_2[[#This Row],[任务ID]]</f>
        <v>activequest_name_1094</v>
      </c>
      <c r="D21" s="15">
        <v>19</v>
      </c>
      <c r="E21" s="15">
        <v>0</v>
      </c>
      <c r="F21" s="15">
        <v>600</v>
      </c>
      <c r="G21" s="18" t="s">
        <v>62</v>
      </c>
      <c r="H21" s="15">
        <v>0</v>
      </c>
      <c r="I21" s="15">
        <v>2</v>
      </c>
      <c r="J21" s="20" t="str">
        <f>VLOOKUP(表5_2[[#This Row],[任务名称]],[1]!表1_8[#Data],2,FALSE)</f>
        <v>活动期间充值600钻</v>
      </c>
    </row>
    <row r="22" spans="1:10" x14ac:dyDescent="0.15">
      <c r="A22" s="14">
        <v>1095</v>
      </c>
      <c r="B22" s="15">
        <v>1</v>
      </c>
      <c r="C22" s="16" t="str">
        <f>"activequest_name_"&amp;表5_2[[#This Row],[任务ID]]</f>
        <v>activequest_name_1095</v>
      </c>
      <c r="D22" s="15">
        <v>19</v>
      </c>
      <c r="E22" s="15">
        <v>0</v>
      </c>
      <c r="F22" s="15">
        <v>1000</v>
      </c>
      <c r="G22" s="18" t="s">
        <v>63</v>
      </c>
      <c r="H22" s="15">
        <v>0</v>
      </c>
      <c r="I22" s="15">
        <v>2</v>
      </c>
      <c r="J22" s="20" t="str">
        <f>VLOOKUP(表5_2[[#This Row],[任务名称]],[1]!表1_8[#Data],2,FALSE)</f>
        <v>活动期间充值1000钻</v>
      </c>
    </row>
    <row r="23" spans="1:10" x14ac:dyDescent="0.15">
      <c r="A23" s="14">
        <v>1096</v>
      </c>
      <c r="B23" s="15">
        <v>1</v>
      </c>
      <c r="C23" s="16" t="str">
        <f>"activequest_name_"&amp;表5_2[[#This Row],[任务ID]]</f>
        <v>activequest_name_1096</v>
      </c>
      <c r="D23" s="15">
        <v>19</v>
      </c>
      <c r="E23" s="15">
        <v>0</v>
      </c>
      <c r="F23" s="15">
        <v>2000</v>
      </c>
      <c r="G23" s="18" t="s">
        <v>64</v>
      </c>
      <c r="H23" s="15">
        <v>0</v>
      </c>
      <c r="I23" s="15">
        <v>2</v>
      </c>
      <c r="J23" s="20" t="str">
        <f>VLOOKUP(表5_2[[#This Row],[任务名称]],[1]!表1_8[#Data],2,FALSE)</f>
        <v>活动期间充值2000钻</v>
      </c>
    </row>
    <row r="24" spans="1:10" x14ac:dyDescent="0.15">
      <c r="A24" s="14">
        <v>1097</v>
      </c>
      <c r="B24" s="15">
        <v>1</v>
      </c>
      <c r="C24" s="16" t="str">
        <f>"activequest_name_"&amp;表5_2[[#This Row],[任务ID]]</f>
        <v>activequest_name_1097</v>
      </c>
      <c r="D24" s="15">
        <v>19</v>
      </c>
      <c r="E24" s="15">
        <v>0</v>
      </c>
      <c r="F24" s="15">
        <v>3000</v>
      </c>
      <c r="G24" s="18" t="s">
        <v>65</v>
      </c>
      <c r="H24" s="15">
        <v>0</v>
      </c>
      <c r="I24" s="15">
        <v>2</v>
      </c>
      <c r="J24" s="20" t="str">
        <f>VLOOKUP(表5_2[[#This Row],[任务名称]],[1]!表1_8[#Data],2,FALSE)</f>
        <v>活动期间充值3000钻</v>
      </c>
    </row>
    <row r="25" spans="1:10" x14ac:dyDescent="0.15">
      <c r="A25" s="14">
        <v>1098</v>
      </c>
      <c r="B25" s="15">
        <v>1</v>
      </c>
      <c r="C25" s="16" t="str">
        <f>"activequest_name_"&amp;表5_2[[#This Row],[任务ID]]</f>
        <v>activequest_name_1098</v>
      </c>
      <c r="D25" s="15">
        <v>19</v>
      </c>
      <c r="E25" s="15">
        <v>0</v>
      </c>
      <c r="F25" s="15">
        <v>5000</v>
      </c>
      <c r="G25" s="18" t="s">
        <v>66</v>
      </c>
      <c r="H25" s="15">
        <v>0</v>
      </c>
      <c r="I25" s="15">
        <v>2</v>
      </c>
      <c r="J25" s="20" t="str">
        <f>VLOOKUP(表5_2[[#This Row],[任务名称]],[1]!表1_8[#Data],2,FALSE)</f>
        <v>活动期间充值5000钻</v>
      </c>
    </row>
    <row r="26" spans="1:10" x14ac:dyDescent="0.15">
      <c r="A26" s="14">
        <v>1099</v>
      </c>
      <c r="B26" s="15">
        <v>1</v>
      </c>
      <c r="C26" s="16" t="str">
        <f>"activequest_name_"&amp;表5_2[[#This Row],[任务ID]]</f>
        <v>activequest_name_1099</v>
      </c>
      <c r="D26" s="15">
        <v>19</v>
      </c>
      <c r="E26" s="15">
        <v>0</v>
      </c>
      <c r="F26" s="15">
        <v>10000</v>
      </c>
      <c r="G26" s="18" t="s">
        <v>67</v>
      </c>
      <c r="H26" s="15">
        <v>0</v>
      </c>
      <c r="I26" s="15">
        <v>2</v>
      </c>
      <c r="J26" s="20" t="str">
        <f>VLOOKUP(表5_2[[#This Row],[任务名称]],[1]!表1_8[#Data],2,FALSE)</f>
        <v>活动期间充值10000钻</v>
      </c>
    </row>
    <row r="27" spans="1:10" x14ac:dyDescent="0.15">
      <c r="A27" s="14">
        <v>2001</v>
      </c>
      <c r="B27" s="15">
        <v>2</v>
      </c>
      <c r="C27" s="16" t="str">
        <f>"activequest_name_"&amp;表5_2[[#This Row],[任务ID]]</f>
        <v>activequest_name_2001</v>
      </c>
      <c r="D27" s="17">
        <v>28</v>
      </c>
      <c r="E27" s="17">
        <v>0</v>
      </c>
      <c r="F27" s="17">
        <v>3</v>
      </c>
      <c r="G27" s="18" t="s">
        <v>86</v>
      </c>
      <c r="H27" s="15">
        <v>1</v>
      </c>
      <c r="I27" s="15">
        <v>1</v>
      </c>
      <c r="J27" s="19" t="str">
        <f>VLOOKUP(表5_2[[#This Row],[任务名称]],[1]!表1_8[#Data],2,FALSE)</f>
        <v>今日排位赛胜利5次</v>
      </c>
    </row>
    <row r="28" spans="1:10" x14ac:dyDescent="0.15">
      <c r="A28" s="14">
        <v>2002</v>
      </c>
      <c r="B28" s="15">
        <v>2</v>
      </c>
      <c r="C28" s="16" t="str">
        <f>"activequest_name_"&amp;表5_2[[#This Row],[任务ID]]</f>
        <v>activequest_name_2002</v>
      </c>
      <c r="D28" s="17">
        <v>1</v>
      </c>
      <c r="E28" s="17">
        <v>21</v>
      </c>
      <c r="F28" s="17">
        <v>2</v>
      </c>
      <c r="G28" s="18" t="s">
        <v>87</v>
      </c>
      <c r="H28" s="15">
        <v>1</v>
      </c>
      <c r="I28" s="15">
        <v>1</v>
      </c>
      <c r="J28" s="19" t="str">
        <f>VLOOKUP(表5_2[[#This Row],[任务名称]],[1]!表1_8[#Data],2,FALSE)</f>
        <v>今日捕获BOSS灯笼鱼2条</v>
      </c>
    </row>
    <row r="29" spans="1:10" x14ac:dyDescent="0.15">
      <c r="A29" s="14">
        <v>2003</v>
      </c>
      <c r="B29" s="15">
        <v>2</v>
      </c>
      <c r="C29" s="16" t="str">
        <f>"activequest_name_"&amp;表5_2[[#This Row],[任务ID]]</f>
        <v>activequest_name_2003</v>
      </c>
      <c r="D29" s="17">
        <v>1</v>
      </c>
      <c r="E29" s="17">
        <v>22</v>
      </c>
      <c r="F29" s="17">
        <v>2</v>
      </c>
      <c r="G29" s="18" t="s">
        <v>88</v>
      </c>
      <c r="H29" s="15">
        <v>1</v>
      </c>
      <c r="I29" s="15">
        <v>1</v>
      </c>
      <c r="J29" s="19" t="str">
        <f>VLOOKUP(表5_2[[#This Row],[任务名称]],[1]!表1_8[#Data],2,FALSE)</f>
        <v>今日捕获BOSS美人鱼2条</v>
      </c>
    </row>
    <row r="30" spans="1:10" x14ac:dyDescent="0.15">
      <c r="A30" s="14">
        <v>2004</v>
      </c>
      <c r="B30" s="15">
        <v>2</v>
      </c>
      <c r="C30" s="16" t="str">
        <f>"activequest_name_"&amp;表5_2[[#This Row],[任务ID]]</f>
        <v>activequest_name_2004</v>
      </c>
      <c r="D30" s="17">
        <v>1</v>
      </c>
      <c r="E30" s="17">
        <v>49</v>
      </c>
      <c r="F30" s="17">
        <v>2</v>
      </c>
      <c r="G30" s="18" t="s">
        <v>86</v>
      </c>
      <c r="H30" s="15">
        <v>1</v>
      </c>
      <c r="I30" s="15">
        <v>1</v>
      </c>
      <c r="J30" s="19" t="str">
        <f>VLOOKUP(表5_2[[#This Row],[任务名称]],[1]!表1_8[#Data],2,FALSE)</f>
        <v>今日捕获BOSS章鱼2条</v>
      </c>
    </row>
    <row r="31" spans="1:10" x14ac:dyDescent="0.15">
      <c r="A31" s="14">
        <v>2005</v>
      </c>
      <c r="B31" s="15">
        <v>2</v>
      </c>
      <c r="C31" s="16" t="str">
        <f>"activequest_name_"&amp;表5_2[[#This Row],[任务ID]]</f>
        <v>activequest_name_2005</v>
      </c>
      <c r="D31" s="17">
        <v>1</v>
      </c>
      <c r="E31" s="17">
        <v>57</v>
      </c>
      <c r="F31" s="17">
        <v>2</v>
      </c>
      <c r="G31" s="18" t="s">
        <v>87</v>
      </c>
      <c r="H31" s="15">
        <v>1</v>
      </c>
      <c r="I31" s="15">
        <v>1</v>
      </c>
      <c r="J31" s="19" t="str">
        <f>VLOOKUP(表5_2[[#This Row],[任务名称]],[1]!表1_8[#Data],2,FALSE)</f>
        <v>今日捕获BOSS海马2条</v>
      </c>
    </row>
    <row r="32" spans="1:10" x14ac:dyDescent="0.15">
      <c r="A32" s="14">
        <v>2006</v>
      </c>
      <c r="B32" s="15">
        <v>2</v>
      </c>
      <c r="C32" s="16" t="str">
        <f>"activequest_name_"&amp;表5_2[[#This Row],[任务ID]]</f>
        <v>activequest_name_2006</v>
      </c>
      <c r="D32" s="15">
        <v>1</v>
      </c>
      <c r="E32" s="15">
        <v>52</v>
      </c>
      <c r="F32" s="15">
        <v>5</v>
      </c>
      <c r="G32" s="18" t="s">
        <v>88</v>
      </c>
      <c r="H32" s="15">
        <v>1</v>
      </c>
      <c r="I32" s="15">
        <v>1</v>
      </c>
      <c r="J32" s="19" t="str">
        <f>VLOOKUP(表5_2[[#This Row],[任务名称]],[1]!表1_8[#Data],2,FALSE)</f>
        <v>今日捕获宝箱鱼5条</v>
      </c>
    </row>
    <row r="33" spans="1:10" x14ac:dyDescent="0.15">
      <c r="A33" s="14">
        <v>2007</v>
      </c>
      <c r="B33" s="15">
        <v>2</v>
      </c>
      <c r="C33" s="16" t="str">
        <f>"activequest_name_"&amp;表5_2[[#This Row],[任务ID]]</f>
        <v>activequest_name_2007</v>
      </c>
      <c r="D33" s="17">
        <v>2</v>
      </c>
      <c r="E33" s="17">
        <v>4</v>
      </c>
      <c r="F33" s="17">
        <v>5</v>
      </c>
      <c r="G33" s="18" t="s">
        <v>86</v>
      </c>
      <c r="H33" s="15">
        <v>1</v>
      </c>
      <c r="I33" s="15">
        <v>1</v>
      </c>
      <c r="J33" s="19" t="str">
        <f>VLOOKUP(表5_2[[#This Row],[任务名称]],[1]!表1_8[#Data],2,FALSE)</f>
        <v>今日使用激光10次</v>
      </c>
    </row>
    <row r="34" spans="1:10" x14ac:dyDescent="0.15">
      <c r="A34" s="14">
        <v>2008</v>
      </c>
      <c r="B34" s="15">
        <v>2</v>
      </c>
      <c r="C34" s="16" t="str">
        <f>"activequest_name_"&amp;表5_2[[#This Row],[任务ID]]</f>
        <v>activequest_name_2008</v>
      </c>
      <c r="D34" s="17">
        <v>10</v>
      </c>
      <c r="E34" s="17">
        <v>0</v>
      </c>
      <c r="F34" s="17">
        <v>100</v>
      </c>
      <c r="G34" s="18" t="s">
        <v>98</v>
      </c>
      <c r="H34" s="15">
        <v>1</v>
      </c>
      <c r="I34" s="15">
        <v>1</v>
      </c>
      <c r="J34" s="19" t="str">
        <f>VLOOKUP(表5_2[[#This Row],[任务名称]],[1]!表1_8[#Data],2,FALSE)</f>
        <v>今日消耗钻石50</v>
      </c>
    </row>
    <row r="35" spans="1:10" x14ac:dyDescent="0.15">
      <c r="A35" s="14">
        <v>2009</v>
      </c>
      <c r="B35" s="15">
        <v>2</v>
      </c>
      <c r="C35" s="16" t="str">
        <f>"activequest_name_"&amp;表5_2[[#This Row],[任务ID]]</f>
        <v>activequest_name_2009</v>
      </c>
      <c r="D35" s="15">
        <v>13</v>
      </c>
      <c r="E35" s="15">
        <v>0</v>
      </c>
      <c r="F35" s="15">
        <v>1</v>
      </c>
      <c r="G35" s="18" t="s">
        <v>88</v>
      </c>
      <c r="H35" s="15">
        <v>1</v>
      </c>
      <c r="I35" s="15">
        <v>1</v>
      </c>
      <c r="J35" s="19" t="str">
        <f>VLOOKUP(表5_2[[#This Row],[任务名称]],[1]!表1_8[#Data],2,FALSE)</f>
        <v>今日消耗金币50000</v>
      </c>
    </row>
    <row r="36" spans="1:10" x14ac:dyDescent="0.15">
      <c r="A36" s="14">
        <v>2010</v>
      </c>
      <c r="B36" s="15">
        <v>2</v>
      </c>
      <c r="C36" s="16" t="str">
        <f>"activequest_name_"&amp;表5_2[[#This Row],[任务ID]]</f>
        <v>activequest_name_2010</v>
      </c>
      <c r="D36" s="17">
        <v>20</v>
      </c>
      <c r="E36" s="17">
        <v>0</v>
      </c>
      <c r="F36" s="17">
        <v>8</v>
      </c>
      <c r="G36" s="18" t="s">
        <v>89</v>
      </c>
      <c r="H36" s="15">
        <v>0</v>
      </c>
      <c r="I36" s="15">
        <v>1</v>
      </c>
      <c r="J36" s="19" t="str">
        <f>VLOOKUP(表5_2[[#This Row],[任务名称]],[1]!表1_8[#Data],2,FALSE)</f>
        <v>累计参与保卫女神10次</v>
      </c>
    </row>
    <row r="37" spans="1:10" x14ac:dyDescent="0.15">
      <c r="A37" s="14">
        <v>2011</v>
      </c>
      <c r="B37" s="15">
        <v>2</v>
      </c>
      <c r="C37" s="16" t="str">
        <f>"activequest_name_"&amp;表5_2[[#This Row],[任务ID]]</f>
        <v>activequest_name_2011</v>
      </c>
      <c r="D37" s="15">
        <v>21</v>
      </c>
      <c r="E37" s="15">
        <v>0</v>
      </c>
      <c r="F37" s="15">
        <v>50</v>
      </c>
      <c r="G37" s="18" t="s">
        <v>82</v>
      </c>
      <c r="H37" s="15">
        <v>0</v>
      </c>
      <c r="I37" s="15">
        <v>1</v>
      </c>
      <c r="J37" s="19" t="str">
        <f>VLOOKUP(表5_2[[#This Row],[任务名称]],[1]!表1_8[#Data],2,FALSE)</f>
        <v>累计在水族馆放养50次鱼</v>
      </c>
    </row>
    <row r="38" spans="1:10" x14ac:dyDescent="0.15">
      <c r="A38" s="14">
        <v>2012</v>
      </c>
      <c r="B38" s="15">
        <v>2</v>
      </c>
      <c r="C38" s="16" t="str">
        <f>"activequest_name_"&amp;表5_2[[#This Row],[任务ID]]</f>
        <v>activequest_name_2012</v>
      </c>
      <c r="D38" s="17">
        <v>18</v>
      </c>
      <c r="E38" s="17">
        <v>0</v>
      </c>
      <c r="F38" s="17">
        <v>20</v>
      </c>
      <c r="G38" s="18" t="s">
        <v>83</v>
      </c>
      <c r="H38" s="15">
        <v>0</v>
      </c>
      <c r="I38" s="15">
        <v>1</v>
      </c>
      <c r="J38" s="19" t="str">
        <f>VLOOKUP(表5_2[[#This Row],[任务名称]],[1]!表1_8[#Data],2,FALSE)</f>
        <v>累计购买20次金币</v>
      </c>
    </row>
    <row r="39" spans="1:10" x14ac:dyDescent="0.15">
      <c r="A39" s="14">
        <v>2013</v>
      </c>
      <c r="B39" s="15">
        <v>2</v>
      </c>
      <c r="C39" s="16" t="str">
        <f>"activequest_name_"&amp;表5_2[[#This Row],[任务ID]]</f>
        <v>activequest_name_2013</v>
      </c>
      <c r="D39" s="15">
        <v>1</v>
      </c>
      <c r="E39" s="15">
        <v>0</v>
      </c>
      <c r="F39" s="15">
        <v>100000</v>
      </c>
      <c r="G39" s="18" t="s">
        <v>85</v>
      </c>
      <c r="H39" s="15">
        <v>0</v>
      </c>
      <c r="I39" s="15">
        <v>1</v>
      </c>
      <c r="J39" s="19" t="str">
        <f>VLOOKUP(表5_2[[#This Row],[任务名称]],[1]!表1_8[#Data],2,FALSE)</f>
        <v>累计捕获任意鱼100000条</v>
      </c>
    </row>
    <row r="40" spans="1:10" x14ac:dyDescent="0.15">
      <c r="A40" s="14">
        <v>2014</v>
      </c>
      <c r="B40" s="15">
        <v>2</v>
      </c>
      <c r="C40" s="16" t="str">
        <f>"activequest_name_"&amp;表5_2[[#This Row],[任务ID]]</f>
        <v>activequest_name_2014</v>
      </c>
      <c r="D40" s="15">
        <v>13</v>
      </c>
      <c r="E40" s="15">
        <v>0</v>
      </c>
      <c r="F40" s="15">
        <v>10</v>
      </c>
      <c r="G40" s="18" t="s">
        <v>99</v>
      </c>
      <c r="H40" s="15">
        <v>0</v>
      </c>
      <c r="I40" s="15">
        <v>1</v>
      </c>
      <c r="J40" s="19" t="str">
        <f>VLOOKUP(表5_2[[#This Row],[任务名称]],[1]!表1_8[#Data],2,FALSE)</f>
        <v>累计登录9天</v>
      </c>
    </row>
    <row r="41" spans="1:10" x14ac:dyDescent="0.15">
      <c r="A41" s="14">
        <v>2015</v>
      </c>
      <c r="B41" s="15">
        <v>2</v>
      </c>
      <c r="C41" s="16" t="str">
        <f>"activequest_name_"&amp;表5_2[[#This Row],[任务ID]]</f>
        <v>activequest_name_2015</v>
      </c>
      <c r="D41" s="17">
        <v>2</v>
      </c>
      <c r="E41" s="17">
        <v>3</v>
      </c>
      <c r="F41" s="17">
        <v>100</v>
      </c>
      <c r="G41" s="18" t="s">
        <v>100</v>
      </c>
      <c r="H41" s="15">
        <v>0</v>
      </c>
      <c r="I41" s="15">
        <v>1</v>
      </c>
      <c r="J41" s="19" t="str">
        <f>VLOOKUP(表5_2[[#This Row],[任务名称]],[1]!表1_8[#Data],2,FALSE)</f>
        <v>累计召唤100条鱼</v>
      </c>
    </row>
    <row r="42" spans="1:10" x14ac:dyDescent="0.15">
      <c r="A42" s="14">
        <v>2100</v>
      </c>
      <c r="B42" s="15">
        <v>2</v>
      </c>
      <c r="C42" s="16" t="str">
        <f>"activequest_name_"&amp;表5_2[[#This Row],[任务ID]]</f>
        <v>activequest_name_2100</v>
      </c>
      <c r="D42" s="15">
        <v>19</v>
      </c>
      <c r="E42" s="15">
        <v>1</v>
      </c>
      <c r="F42" s="15">
        <v>1</v>
      </c>
      <c r="G42" s="18" t="s">
        <v>84</v>
      </c>
      <c r="H42" s="15">
        <v>1</v>
      </c>
      <c r="I42" s="15">
        <v>2</v>
      </c>
      <c r="J42" s="19" t="str">
        <f>VLOOKUP(表5_2[[#This Row],[任务名称]],[1]!表1_8[#Data],2,FALSE)</f>
        <v>今日充值任意金额</v>
      </c>
    </row>
    <row r="43" spans="1:10" x14ac:dyDescent="0.15">
      <c r="A43" s="14">
        <v>2101</v>
      </c>
      <c r="B43" s="15">
        <v>2</v>
      </c>
      <c r="C43" s="16" t="str">
        <f>"activequest_name_"&amp;表5_2[[#This Row],[任务ID]]</f>
        <v>activequest_name_2101</v>
      </c>
      <c r="D43" s="15">
        <v>19</v>
      </c>
      <c r="E43" s="15">
        <v>0</v>
      </c>
      <c r="F43" s="15">
        <v>100</v>
      </c>
      <c r="G43" s="18" t="s">
        <v>90</v>
      </c>
      <c r="H43" s="15">
        <v>0</v>
      </c>
      <c r="I43" s="15">
        <v>2</v>
      </c>
      <c r="J43" s="19" t="str">
        <f>VLOOKUP(表5_2[[#This Row],[任务名称]],[1]!表1_8[#Data],2,FALSE)</f>
        <v>活动期间充值10元</v>
      </c>
    </row>
    <row r="44" spans="1:10" x14ac:dyDescent="0.15">
      <c r="A44" s="14">
        <v>2102</v>
      </c>
      <c r="B44" s="15">
        <v>2</v>
      </c>
      <c r="C44" s="16" t="str">
        <f>"activequest_name_"&amp;表5_2[[#This Row],[任务ID]]</f>
        <v>activequest_name_2102</v>
      </c>
      <c r="D44" s="15">
        <v>19</v>
      </c>
      <c r="E44" s="15">
        <v>0</v>
      </c>
      <c r="F44" s="15">
        <v>200</v>
      </c>
      <c r="G44" s="18" t="s">
        <v>90</v>
      </c>
      <c r="H44" s="15">
        <v>0</v>
      </c>
      <c r="I44" s="15">
        <v>2</v>
      </c>
      <c r="J44" s="19" t="str">
        <f>VLOOKUP(表5_2[[#This Row],[任务名称]],[1]!表1_8[#Data],2,FALSE)</f>
        <v>活动期间充值20元</v>
      </c>
    </row>
    <row r="45" spans="1:10" x14ac:dyDescent="0.15">
      <c r="A45" s="14">
        <v>2103</v>
      </c>
      <c r="B45" s="15">
        <v>2</v>
      </c>
      <c r="C45" s="16" t="str">
        <f>"activequest_name_"&amp;表5_2[[#This Row],[任务ID]]</f>
        <v>activequest_name_2103</v>
      </c>
      <c r="D45" s="15">
        <v>19</v>
      </c>
      <c r="E45" s="15">
        <v>0</v>
      </c>
      <c r="F45" s="15">
        <v>400</v>
      </c>
      <c r="G45" s="18" t="s">
        <v>91</v>
      </c>
      <c r="H45" s="15">
        <v>0</v>
      </c>
      <c r="I45" s="15">
        <v>2</v>
      </c>
      <c r="J45" s="19" t="str">
        <f>VLOOKUP(表5_2[[#This Row],[任务名称]],[1]!表1_8[#Data],2,FALSE)</f>
        <v>活动期间充值40元</v>
      </c>
    </row>
    <row r="46" spans="1:10" x14ac:dyDescent="0.15">
      <c r="A46" s="14">
        <v>2104</v>
      </c>
      <c r="B46" s="15">
        <v>2</v>
      </c>
      <c r="C46" s="16" t="str">
        <f>"activequest_name_"&amp;表5_2[[#This Row],[任务ID]]</f>
        <v>activequest_name_2104</v>
      </c>
      <c r="D46" s="15">
        <v>19</v>
      </c>
      <c r="E46" s="15">
        <v>0</v>
      </c>
      <c r="F46" s="15">
        <v>600</v>
      </c>
      <c r="G46" s="18" t="s">
        <v>92</v>
      </c>
      <c r="H46" s="15">
        <v>0</v>
      </c>
      <c r="I46" s="15">
        <v>2</v>
      </c>
      <c r="J46" s="20" t="str">
        <f>VLOOKUP(表5_2[[#This Row],[任务名称]],[1]!表1_8[#Data],2,FALSE)</f>
        <v>活动期间充值60元</v>
      </c>
    </row>
    <row r="47" spans="1:10" x14ac:dyDescent="0.15">
      <c r="A47" s="14">
        <v>2105</v>
      </c>
      <c r="B47" s="15">
        <v>2</v>
      </c>
      <c r="C47" s="16" t="str">
        <f>"activequest_name_"&amp;表5_2[[#This Row],[任务ID]]</f>
        <v>activequest_name_2105</v>
      </c>
      <c r="D47" s="15">
        <v>19</v>
      </c>
      <c r="E47" s="15">
        <v>0</v>
      </c>
      <c r="F47" s="15">
        <v>1000</v>
      </c>
      <c r="G47" s="18" t="s">
        <v>93</v>
      </c>
      <c r="H47" s="15">
        <v>0</v>
      </c>
      <c r="I47" s="15">
        <v>2</v>
      </c>
      <c r="J47" s="20" t="str">
        <f>VLOOKUP(表5_2[[#This Row],[任务名称]],[1]!表1_8[#Data],2,FALSE)</f>
        <v>活动期间充值100元</v>
      </c>
    </row>
    <row r="48" spans="1:10" x14ac:dyDescent="0.15">
      <c r="A48" s="14">
        <v>2106</v>
      </c>
      <c r="B48" s="15">
        <v>2</v>
      </c>
      <c r="C48" s="16" t="str">
        <f>"activequest_name_"&amp;表5_2[[#This Row],[任务ID]]</f>
        <v>activequest_name_2106</v>
      </c>
      <c r="D48" s="15">
        <v>19</v>
      </c>
      <c r="E48" s="15">
        <v>0</v>
      </c>
      <c r="F48" s="15">
        <v>2000</v>
      </c>
      <c r="G48" s="18" t="s">
        <v>94</v>
      </c>
      <c r="H48" s="15">
        <v>0</v>
      </c>
      <c r="I48" s="15">
        <v>2</v>
      </c>
      <c r="J48" s="20" t="str">
        <f>VLOOKUP(表5_2[[#This Row],[任务名称]],[1]!表1_8[#Data],2,FALSE)</f>
        <v>活动期间充值200元</v>
      </c>
    </row>
    <row r="49" spans="1:10" x14ac:dyDescent="0.15">
      <c r="A49" s="14">
        <v>2107</v>
      </c>
      <c r="B49" s="15">
        <v>2</v>
      </c>
      <c r="C49" s="16" t="str">
        <f>"activequest_name_"&amp;表5_2[[#This Row],[任务ID]]</f>
        <v>activequest_name_2107</v>
      </c>
      <c r="D49" s="15">
        <v>19</v>
      </c>
      <c r="E49" s="15">
        <v>0</v>
      </c>
      <c r="F49" s="15">
        <v>3000</v>
      </c>
      <c r="G49" s="18" t="s">
        <v>95</v>
      </c>
      <c r="H49" s="15">
        <v>0</v>
      </c>
      <c r="I49" s="15">
        <v>2</v>
      </c>
      <c r="J49" s="20" t="str">
        <f>VLOOKUP(表5_2[[#This Row],[任务名称]],[1]!表1_8[#Data],2,FALSE)</f>
        <v>活动期间充值300元</v>
      </c>
    </row>
    <row r="50" spans="1:10" x14ac:dyDescent="0.15">
      <c r="A50" s="14">
        <v>2108</v>
      </c>
      <c r="B50" s="15">
        <v>2</v>
      </c>
      <c r="C50" s="16" t="str">
        <f>"activequest_name_"&amp;表5_2[[#This Row],[任务ID]]</f>
        <v>activequest_name_2108</v>
      </c>
      <c r="D50" s="15">
        <v>19</v>
      </c>
      <c r="E50" s="15">
        <v>0</v>
      </c>
      <c r="F50" s="15">
        <v>5000</v>
      </c>
      <c r="G50" s="18" t="s">
        <v>96</v>
      </c>
      <c r="H50" s="15">
        <v>0</v>
      </c>
      <c r="I50" s="15">
        <v>2</v>
      </c>
      <c r="J50" s="20" t="str">
        <f>VLOOKUP(表5_2[[#This Row],[任务名称]],[1]!表1_8[#Data],2,FALSE)</f>
        <v>活动期间充值500元</v>
      </c>
    </row>
    <row r="51" spans="1:10" x14ac:dyDescent="0.15">
      <c r="A51" s="14">
        <v>2109</v>
      </c>
      <c r="B51" s="15">
        <v>2</v>
      </c>
      <c r="C51" s="16" t="str">
        <f>"activequest_name_"&amp;表5_2[[#This Row],[任务ID]]</f>
        <v>activequest_name_2109</v>
      </c>
      <c r="D51" s="15">
        <v>19</v>
      </c>
      <c r="E51" s="15">
        <v>0</v>
      </c>
      <c r="F51" s="15">
        <v>10000</v>
      </c>
      <c r="G51" s="18" t="s">
        <v>97</v>
      </c>
      <c r="H51" s="15">
        <v>0</v>
      </c>
      <c r="I51" s="15">
        <v>2</v>
      </c>
      <c r="J51" s="20" t="str">
        <f>VLOOKUP(表5_2[[#This Row],[任务名称]],[1]!表1_8[#Data],2,FALSE)</f>
        <v>活动期间充值1000元</v>
      </c>
    </row>
    <row r="52" spans="1:10" x14ac:dyDescent="0.15">
      <c r="A52" s="3">
        <v>3001</v>
      </c>
      <c r="B52" s="2">
        <v>3</v>
      </c>
      <c r="C52" s="4" t="s">
        <v>101</v>
      </c>
      <c r="D52" s="12">
        <v>28</v>
      </c>
      <c r="E52" s="12">
        <v>0</v>
      </c>
      <c r="F52" s="12">
        <v>5</v>
      </c>
      <c r="G52" s="5" t="s">
        <v>130</v>
      </c>
      <c r="H52" s="2">
        <v>1</v>
      </c>
      <c r="I52" s="2">
        <v>1</v>
      </c>
      <c r="J52" t="str">
        <f>VLOOKUP(表5_2[[#This Row],[任务名称]],[1]!表1_8[#Data],2,FALSE)</f>
        <v>今日排位赛胜利5次</v>
      </c>
    </row>
    <row r="53" spans="1:10" x14ac:dyDescent="0.15">
      <c r="A53" s="3">
        <v>3002</v>
      </c>
      <c r="B53" s="2">
        <v>3</v>
      </c>
      <c r="C53" s="4" t="s">
        <v>102</v>
      </c>
      <c r="D53" s="12">
        <v>1</v>
      </c>
      <c r="E53" s="12">
        <v>21</v>
      </c>
      <c r="F53" s="12">
        <v>2</v>
      </c>
      <c r="G53" s="5" t="s">
        <v>126</v>
      </c>
      <c r="H53" s="2">
        <v>1</v>
      </c>
      <c r="I53" s="2">
        <v>1</v>
      </c>
      <c r="J53" t="str">
        <f>VLOOKUP(表5_2[[#This Row],[任务名称]],[1]!表1_8[#Data],2,FALSE)</f>
        <v>今日捕获BOSS灯笼鱼2条</v>
      </c>
    </row>
    <row r="54" spans="1:10" x14ac:dyDescent="0.15">
      <c r="A54" s="3">
        <v>3003</v>
      </c>
      <c r="B54" s="2">
        <v>3</v>
      </c>
      <c r="C54" s="4" t="s">
        <v>103</v>
      </c>
      <c r="D54" s="12">
        <v>1</v>
      </c>
      <c r="E54" s="12">
        <v>22</v>
      </c>
      <c r="F54" s="12">
        <v>2</v>
      </c>
      <c r="G54" s="5" t="s">
        <v>131</v>
      </c>
      <c r="H54" s="2">
        <v>1</v>
      </c>
      <c r="I54" s="2">
        <v>1</v>
      </c>
      <c r="J54" t="str">
        <f>VLOOKUP(表5_2[[#This Row],[任务名称]],[1]!表1_8[#Data],2,FALSE)</f>
        <v>今日捕获BOSS美人鱼2条</v>
      </c>
    </row>
    <row r="55" spans="1:10" x14ac:dyDescent="0.15">
      <c r="A55" s="3">
        <v>3004</v>
      </c>
      <c r="B55" s="2">
        <v>3</v>
      </c>
      <c r="C55" s="4" t="s">
        <v>104</v>
      </c>
      <c r="D55" s="12">
        <v>1</v>
      </c>
      <c r="E55" s="12">
        <v>49</v>
      </c>
      <c r="F55" s="12">
        <v>2</v>
      </c>
      <c r="G55" s="5" t="s">
        <v>127</v>
      </c>
      <c r="H55" s="2">
        <v>1</v>
      </c>
      <c r="I55" s="2">
        <v>1</v>
      </c>
      <c r="J55" t="str">
        <f>VLOOKUP(表5_2[[#This Row],[任务名称]],[1]!表1_8[#Data],2,FALSE)</f>
        <v>今日捕获BOSS章鱼2条</v>
      </c>
    </row>
    <row r="56" spans="1:10" x14ac:dyDescent="0.15">
      <c r="A56" s="3">
        <v>3005</v>
      </c>
      <c r="B56" s="2">
        <v>3</v>
      </c>
      <c r="C56" s="4" t="s">
        <v>105</v>
      </c>
      <c r="D56" s="12">
        <v>1</v>
      </c>
      <c r="E56" s="12">
        <v>57</v>
      </c>
      <c r="F56" s="12">
        <v>2</v>
      </c>
      <c r="G56" s="5" t="s">
        <v>128</v>
      </c>
      <c r="H56" s="2">
        <v>1</v>
      </c>
      <c r="I56" s="2">
        <v>1</v>
      </c>
      <c r="J56" t="str">
        <f>VLOOKUP(表5_2[[#This Row],[任务名称]],[1]!表1_8[#Data],2,FALSE)</f>
        <v>今日捕获BOSS海马2条</v>
      </c>
    </row>
    <row r="57" spans="1:10" x14ac:dyDescent="0.15">
      <c r="A57" s="3">
        <v>3006</v>
      </c>
      <c r="B57" s="2">
        <v>3</v>
      </c>
      <c r="C57" s="4" t="s">
        <v>106</v>
      </c>
      <c r="D57" s="2">
        <v>1</v>
      </c>
      <c r="E57" s="2">
        <v>52</v>
      </c>
      <c r="F57" s="2">
        <v>5</v>
      </c>
      <c r="G57" s="5" t="s">
        <v>132</v>
      </c>
      <c r="H57" s="2">
        <v>1</v>
      </c>
      <c r="I57" s="2">
        <v>1</v>
      </c>
      <c r="J57" t="str">
        <f>VLOOKUP(表5_2[[#This Row],[任务名称]],[1]!表1_8[#Data],2,FALSE)</f>
        <v>今日捕获宝箱鱼5条</v>
      </c>
    </row>
    <row r="58" spans="1:10" x14ac:dyDescent="0.15">
      <c r="A58" s="3">
        <v>3007</v>
      </c>
      <c r="B58" s="2">
        <v>3</v>
      </c>
      <c r="C58" s="4" t="s">
        <v>107</v>
      </c>
      <c r="D58" s="12">
        <v>2</v>
      </c>
      <c r="E58" s="12">
        <v>4</v>
      </c>
      <c r="F58" s="12">
        <v>10</v>
      </c>
      <c r="G58" s="5" t="s">
        <v>129</v>
      </c>
      <c r="H58" s="2">
        <v>1</v>
      </c>
      <c r="I58" s="2">
        <v>1</v>
      </c>
      <c r="J58" t="str">
        <f>VLOOKUP(表5_2[[#This Row],[任务名称]],[1]!表1_8[#Data],2,FALSE)</f>
        <v>今日使用激光10次</v>
      </c>
    </row>
    <row r="59" spans="1:10" x14ac:dyDescent="0.15">
      <c r="A59" s="3">
        <v>3008</v>
      </c>
      <c r="B59" s="2">
        <v>3</v>
      </c>
      <c r="C59" s="4" t="s">
        <v>108</v>
      </c>
      <c r="D59" s="12">
        <v>10</v>
      </c>
      <c r="E59" s="12">
        <v>0</v>
      </c>
      <c r="F59" s="12">
        <v>50</v>
      </c>
      <c r="G59" s="5" t="s">
        <v>133</v>
      </c>
      <c r="H59" s="2">
        <v>1</v>
      </c>
      <c r="I59" s="2">
        <v>1</v>
      </c>
      <c r="J59" t="str">
        <f>VLOOKUP(表5_2[[#This Row],[任务名称]],[1]!表1_8[#Data],2,FALSE)</f>
        <v>今日消耗钻石50</v>
      </c>
    </row>
    <row r="60" spans="1:10" x14ac:dyDescent="0.15">
      <c r="A60" s="3">
        <v>3009</v>
      </c>
      <c r="B60" s="2">
        <v>3</v>
      </c>
      <c r="C60" s="4" t="s">
        <v>109</v>
      </c>
      <c r="D60" s="2">
        <v>13</v>
      </c>
      <c r="E60" s="2">
        <v>0</v>
      </c>
      <c r="F60" s="2">
        <v>1</v>
      </c>
      <c r="G60" s="5" t="s">
        <v>130</v>
      </c>
      <c r="H60" s="2">
        <v>1</v>
      </c>
      <c r="I60" s="2">
        <v>1</v>
      </c>
      <c r="J60" t="str">
        <f>VLOOKUP(表5_2[[#This Row],[任务名称]],[1]!表1_8[#Data],2,FALSE)</f>
        <v>今日消耗金币50000</v>
      </c>
    </row>
    <row r="61" spans="1:10" x14ac:dyDescent="0.15">
      <c r="A61" s="3">
        <v>3010</v>
      </c>
      <c r="B61" s="2">
        <v>3</v>
      </c>
      <c r="C61" s="4" t="s">
        <v>110</v>
      </c>
      <c r="D61" s="12">
        <v>20</v>
      </c>
      <c r="E61" s="12">
        <v>0</v>
      </c>
      <c r="F61" s="12">
        <v>10</v>
      </c>
      <c r="G61" s="5" t="s">
        <v>134</v>
      </c>
      <c r="H61" s="2">
        <v>0</v>
      </c>
      <c r="I61" s="2">
        <v>1</v>
      </c>
      <c r="J61" t="str">
        <f>VLOOKUP(表5_2[[#This Row],[任务名称]],[1]!表1_8[#Data],2,FALSE)</f>
        <v>累计参与保卫女神10次</v>
      </c>
    </row>
    <row r="62" spans="1:10" x14ac:dyDescent="0.15">
      <c r="A62" s="3">
        <v>3011</v>
      </c>
      <c r="B62" s="2">
        <v>3</v>
      </c>
      <c r="C62" s="4" t="s">
        <v>111</v>
      </c>
      <c r="D62" s="2">
        <v>21</v>
      </c>
      <c r="E62" s="2">
        <v>0</v>
      </c>
      <c r="F62" s="2">
        <v>50</v>
      </c>
      <c r="G62" s="5" t="s">
        <v>135</v>
      </c>
      <c r="H62" s="2">
        <v>0</v>
      </c>
      <c r="I62" s="2">
        <v>1</v>
      </c>
      <c r="J62" t="str">
        <f>VLOOKUP(表5_2[[#This Row],[任务名称]],[1]!表1_8[#Data],2,FALSE)</f>
        <v>累计在水族馆放养50次鱼</v>
      </c>
    </row>
    <row r="63" spans="1:10" x14ac:dyDescent="0.15">
      <c r="A63" s="3">
        <v>3012</v>
      </c>
      <c r="B63" s="2">
        <v>3</v>
      </c>
      <c r="C63" s="4" t="s">
        <v>112</v>
      </c>
      <c r="D63" s="12">
        <v>18</v>
      </c>
      <c r="E63" s="12">
        <v>0</v>
      </c>
      <c r="F63" s="12">
        <v>20</v>
      </c>
      <c r="G63" s="5" t="s">
        <v>136</v>
      </c>
      <c r="H63" s="2">
        <v>0</v>
      </c>
      <c r="I63" s="2">
        <v>1</v>
      </c>
      <c r="J63" t="str">
        <f>VLOOKUP(表5_2[[#This Row],[任务名称]],[1]!表1_8[#Data],2,FALSE)</f>
        <v>累计购买20次金币</v>
      </c>
    </row>
    <row r="64" spans="1:10" x14ac:dyDescent="0.15">
      <c r="A64" s="3">
        <v>3013</v>
      </c>
      <c r="B64" s="2">
        <v>3</v>
      </c>
      <c r="C64" s="4" t="s">
        <v>113</v>
      </c>
      <c r="D64" s="2">
        <v>1</v>
      </c>
      <c r="E64" s="2">
        <v>0</v>
      </c>
      <c r="F64" s="2">
        <v>100000</v>
      </c>
      <c r="G64" s="5" t="s">
        <v>137</v>
      </c>
      <c r="H64" s="2">
        <v>0</v>
      </c>
      <c r="I64" s="2">
        <v>1</v>
      </c>
      <c r="J64" t="str">
        <f>VLOOKUP(表5_2[[#This Row],[任务名称]],[1]!表1_8[#Data],2,FALSE)</f>
        <v>累计捕获任意鱼100000条</v>
      </c>
    </row>
    <row r="65" spans="1:10" x14ac:dyDescent="0.15">
      <c r="A65" s="3">
        <v>3014</v>
      </c>
      <c r="B65" s="2">
        <v>3</v>
      </c>
      <c r="C65" s="4" t="s">
        <v>114</v>
      </c>
      <c r="D65" s="2">
        <v>13</v>
      </c>
      <c r="E65" s="2">
        <v>0</v>
      </c>
      <c r="F65" s="2">
        <v>12</v>
      </c>
      <c r="G65" s="5" t="s">
        <v>138</v>
      </c>
      <c r="H65" s="2">
        <v>0</v>
      </c>
      <c r="I65" s="2">
        <v>1</v>
      </c>
      <c r="J65" t="str">
        <f>VLOOKUP(表5_2[[#This Row],[任务名称]],[1]!表1_8[#Data],2,FALSE)</f>
        <v>累计登录9天</v>
      </c>
    </row>
    <row r="66" spans="1:10" x14ac:dyDescent="0.15">
      <c r="A66" s="3">
        <v>3015</v>
      </c>
      <c r="B66" s="2">
        <v>3</v>
      </c>
      <c r="C66" s="4" t="s">
        <v>115</v>
      </c>
      <c r="D66" s="12">
        <v>2</v>
      </c>
      <c r="E66" s="12">
        <v>3</v>
      </c>
      <c r="F66" s="12">
        <v>100</v>
      </c>
      <c r="G66" s="5" t="s">
        <v>139</v>
      </c>
      <c r="H66" s="2">
        <v>0</v>
      </c>
      <c r="I66" s="2">
        <v>1</v>
      </c>
      <c r="J66" t="str">
        <f>VLOOKUP(表5_2[[#This Row],[任务名称]],[1]!表1_8[#Data],2,FALSE)</f>
        <v>累计召唤100条鱼</v>
      </c>
    </row>
    <row r="67" spans="1:10" x14ac:dyDescent="0.15">
      <c r="A67" s="3">
        <v>3100</v>
      </c>
      <c r="B67" s="2">
        <v>3</v>
      </c>
      <c r="C67" s="4" t="s">
        <v>116</v>
      </c>
      <c r="D67" s="2">
        <v>19</v>
      </c>
      <c r="E67" s="2">
        <v>1</v>
      </c>
      <c r="F67" s="2">
        <v>1</v>
      </c>
      <c r="G67" s="5" t="s">
        <v>134</v>
      </c>
      <c r="H67" s="2">
        <v>1</v>
      </c>
      <c r="I67" s="2">
        <v>2</v>
      </c>
      <c r="J67" t="str">
        <f>VLOOKUP(表5_2[[#This Row],[任务名称]],[1]!表1_8[#Data],2,FALSE)</f>
        <v>今日充值任意金额</v>
      </c>
    </row>
    <row r="68" spans="1:10" x14ac:dyDescent="0.15">
      <c r="A68" s="3">
        <v>3101</v>
      </c>
      <c r="B68" s="2">
        <v>3</v>
      </c>
      <c r="C68" s="4" t="s">
        <v>117</v>
      </c>
      <c r="D68" s="2">
        <v>19</v>
      </c>
      <c r="E68" s="2">
        <v>0</v>
      </c>
      <c r="F68" s="2">
        <v>100</v>
      </c>
      <c r="G68" s="5" t="s">
        <v>147</v>
      </c>
      <c r="H68" s="2">
        <v>0</v>
      </c>
      <c r="I68" s="2">
        <v>2</v>
      </c>
      <c r="J68" t="str">
        <f>VLOOKUP(表5_2[[#This Row],[任务名称]],[1]!表1_8[#Data],2,FALSE)</f>
        <v>活动期间充值10元</v>
      </c>
    </row>
    <row r="69" spans="1:10" x14ac:dyDescent="0.15">
      <c r="A69" s="3">
        <v>3102</v>
      </c>
      <c r="B69" s="2">
        <v>3</v>
      </c>
      <c r="C69" s="4" t="s">
        <v>118</v>
      </c>
      <c r="D69" s="2">
        <v>19</v>
      </c>
      <c r="E69" s="2">
        <v>0</v>
      </c>
      <c r="F69" s="2">
        <v>200</v>
      </c>
      <c r="G69" s="5" t="s">
        <v>148</v>
      </c>
      <c r="H69" s="2">
        <v>0</v>
      </c>
      <c r="I69" s="2">
        <v>2</v>
      </c>
      <c r="J69" t="str">
        <f>VLOOKUP(表5_2[[#This Row],[任务名称]],[1]!表1_8[#Data],2,FALSE)</f>
        <v>活动期间充值20元</v>
      </c>
    </row>
    <row r="70" spans="1:10" x14ac:dyDescent="0.15">
      <c r="A70" s="3">
        <v>3103</v>
      </c>
      <c r="B70" s="2">
        <v>3</v>
      </c>
      <c r="C70" s="4" t="s">
        <v>119</v>
      </c>
      <c r="D70" s="2">
        <v>19</v>
      </c>
      <c r="E70" s="2">
        <v>0</v>
      </c>
      <c r="F70" s="2">
        <v>400</v>
      </c>
      <c r="G70" s="5" t="s">
        <v>149</v>
      </c>
      <c r="H70" s="2">
        <v>0</v>
      </c>
      <c r="I70" s="2">
        <v>2</v>
      </c>
      <c r="J70" t="str">
        <f>VLOOKUP(表5_2[[#This Row],[任务名称]],[1]!表1_8[#Data],2,FALSE)</f>
        <v>活动期间充值40元</v>
      </c>
    </row>
    <row r="71" spans="1:10" x14ac:dyDescent="0.15">
      <c r="A71" s="3">
        <v>3104</v>
      </c>
      <c r="B71" s="2">
        <v>3</v>
      </c>
      <c r="C71" s="4" t="s">
        <v>120</v>
      </c>
      <c r="D71" s="2">
        <v>19</v>
      </c>
      <c r="E71" s="2">
        <v>0</v>
      </c>
      <c r="F71" s="2">
        <v>600</v>
      </c>
      <c r="G71" s="5" t="s">
        <v>150</v>
      </c>
      <c r="H71" s="2">
        <v>0</v>
      </c>
      <c r="I71" s="2">
        <v>2</v>
      </c>
      <c r="J71" s="25" t="str">
        <f>VLOOKUP(表5_2[[#This Row],[任务名称]],[1]!表1_8[#Data],2,FALSE)</f>
        <v>活动期间充值60元</v>
      </c>
    </row>
    <row r="72" spans="1:10" x14ac:dyDescent="0.15">
      <c r="A72" s="3">
        <v>3105</v>
      </c>
      <c r="B72" s="2">
        <v>3</v>
      </c>
      <c r="C72" s="4" t="s">
        <v>121</v>
      </c>
      <c r="D72" s="2">
        <v>19</v>
      </c>
      <c r="E72" s="2">
        <v>0</v>
      </c>
      <c r="F72" s="2">
        <v>1000</v>
      </c>
      <c r="G72" s="5" t="s">
        <v>151</v>
      </c>
      <c r="H72" s="2">
        <v>0</v>
      </c>
      <c r="I72" s="2">
        <v>2</v>
      </c>
      <c r="J72" s="25" t="str">
        <f>VLOOKUP(表5_2[[#This Row],[任务名称]],[1]!表1_8[#Data],2,FALSE)</f>
        <v>活动期间充值100元</v>
      </c>
    </row>
    <row r="73" spans="1:10" x14ac:dyDescent="0.15">
      <c r="A73" s="3">
        <v>3106</v>
      </c>
      <c r="B73" s="2">
        <v>3</v>
      </c>
      <c r="C73" s="4" t="s">
        <v>122</v>
      </c>
      <c r="D73" s="2">
        <v>19</v>
      </c>
      <c r="E73" s="2">
        <v>0</v>
      </c>
      <c r="F73" s="2">
        <v>2000</v>
      </c>
      <c r="G73" s="5" t="s">
        <v>152</v>
      </c>
      <c r="H73" s="2">
        <v>0</v>
      </c>
      <c r="I73" s="2">
        <v>2</v>
      </c>
      <c r="J73" s="25" t="str">
        <f>VLOOKUP(表5_2[[#This Row],[任务名称]],[1]!表1_8[#Data],2,FALSE)</f>
        <v>活动期间充值200元</v>
      </c>
    </row>
    <row r="74" spans="1:10" x14ac:dyDescent="0.15">
      <c r="A74" s="3">
        <v>3107</v>
      </c>
      <c r="B74" s="2">
        <v>3</v>
      </c>
      <c r="C74" s="4" t="s">
        <v>123</v>
      </c>
      <c r="D74" s="2">
        <v>19</v>
      </c>
      <c r="E74" s="2">
        <v>0</v>
      </c>
      <c r="F74" s="2">
        <v>3000</v>
      </c>
      <c r="G74" s="5" t="s">
        <v>153</v>
      </c>
      <c r="H74" s="2">
        <v>0</v>
      </c>
      <c r="I74" s="2">
        <v>2</v>
      </c>
      <c r="J74" s="25" t="str">
        <f>VLOOKUP(表5_2[[#This Row],[任务名称]],[1]!表1_8[#Data],2,FALSE)</f>
        <v>活动期间充值300元</v>
      </c>
    </row>
    <row r="75" spans="1:10" x14ac:dyDescent="0.15">
      <c r="A75" s="3">
        <v>3108</v>
      </c>
      <c r="B75" s="2">
        <v>3</v>
      </c>
      <c r="C75" s="4" t="s">
        <v>124</v>
      </c>
      <c r="D75" s="2">
        <v>19</v>
      </c>
      <c r="E75" s="2">
        <v>0</v>
      </c>
      <c r="F75" s="2">
        <v>5000</v>
      </c>
      <c r="G75" s="5" t="s">
        <v>154</v>
      </c>
      <c r="H75" s="2">
        <v>0</v>
      </c>
      <c r="I75" s="2">
        <v>2</v>
      </c>
      <c r="J75" s="25" t="str">
        <f>VLOOKUP(表5_2[[#This Row],[任务名称]],[1]!表1_8[#Data],2,FALSE)</f>
        <v>活动期间充值500元</v>
      </c>
    </row>
    <row r="76" spans="1:10" x14ac:dyDescent="0.15">
      <c r="A76" s="3">
        <v>3109</v>
      </c>
      <c r="B76" s="2">
        <v>3</v>
      </c>
      <c r="C76" s="4" t="s">
        <v>125</v>
      </c>
      <c r="D76" s="2">
        <v>19</v>
      </c>
      <c r="E76" s="2">
        <v>0</v>
      </c>
      <c r="F76" s="2">
        <v>10000</v>
      </c>
      <c r="G76" s="5" t="s">
        <v>146</v>
      </c>
      <c r="H76" s="2">
        <v>0</v>
      </c>
      <c r="I76" s="2">
        <v>2</v>
      </c>
      <c r="J76" s="25" t="str">
        <f>VLOOKUP(表5_2[[#This Row],[任务名称]],[1]!表1_8[#Data],2,FALSE)</f>
        <v>活动期间充值1000元</v>
      </c>
    </row>
    <row r="77" spans="1:10" x14ac:dyDescent="0.15">
      <c r="A77" s="3">
        <v>3110</v>
      </c>
      <c r="B77" s="2">
        <v>3</v>
      </c>
      <c r="C77" s="4" t="s">
        <v>140</v>
      </c>
      <c r="D77" s="2">
        <v>19</v>
      </c>
      <c r="E77" s="2">
        <v>0</v>
      </c>
      <c r="F77" s="2">
        <v>15000</v>
      </c>
      <c r="G77" s="5" t="s">
        <v>144</v>
      </c>
      <c r="H77" s="2">
        <v>0</v>
      </c>
      <c r="I77" s="2">
        <v>2</v>
      </c>
      <c r="J77" s="25" t="str">
        <f>VLOOKUP(表5_2[[#This Row],[任务名称]],[1]!表1_8[#Data],2,FALSE)</f>
        <v>活动期间充值2000元</v>
      </c>
    </row>
    <row r="78" spans="1:10" x14ac:dyDescent="0.15">
      <c r="A78" s="3">
        <v>3111</v>
      </c>
      <c r="B78" s="2">
        <v>3</v>
      </c>
      <c r="C78" s="4" t="s">
        <v>141</v>
      </c>
      <c r="D78" s="2">
        <v>19</v>
      </c>
      <c r="E78" s="2">
        <v>0</v>
      </c>
      <c r="F78" s="2">
        <v>20000</v>
      </c>
      <c r="G78" s="5" t="s">
        <v>143</v>
      </c>
      <c r="H78" s="2">
        <v>0</v>
      </c>
      <c r="I78" s="2">
        <v>2</v>
      </c>
      <c r="J78" s="25" t="str">
        <f>VLOOKUP(表5_2[[#This Row],[任务名称]],[1]!表1_8[#Data],2,FALSE)</f>
        <v>活动期间充值2000元</v>
      </c>
    </row>
    <row r="79" spans="1:10" x14ac:dyDescent="0.15">
      <c r="A79" s="3">
        <v>3112</v>
      </c>
      <c r="B79" s="2">
        <v>3</v>
      </c>
      <c r="C79" s="4" t="s">
        <v>142</v>
      </c>
      <c r="D79" s="2">
        <v>19</v>
      </c>
      <c r="E79" s="2">
        <v>0</v>
      </c>
      <c r="F79" s="2">
        <v>30000</v>
      </c>
      <c r="G79" s="5" t="s">
        <v>145</v>
      </c>
      <c r="H79" s="2">
        <v>0</v>
      </c>
      <c r="I79" s="2">
        <v>2</v>
      </c>
      <c r="J79" s="25" t="str">
        <f>VLOOKUP(表5_2[[#This Row],[任务名称]],[1]!表1_8[#Data],2,FALSE)</f>
        <v>活动期间充值3000元</v>
      </c>
    </row>
    <row r="80" spans="1:10" x14ac:dyDescent="0.15">
      <c r="A80" s="3">
        <v>4001</v>
      </c>
      <c r="B80" s="2">
        <v>4</v>
      </c>
      <c r="C80" s="4" t="s">
        <v>101</v>
      </c>
      <c r="D80" s="12">
        <v>28</v>
      </c>
      <c r="E80" s="12">
        <v>0</v>
      </c>
      <c r="F80" s="12">
        <v>5</v>
      </c>
      <c r="G80" s="5" t="s">
        <v>155</v>
      </c>
      <c r="H80" s="2">
        <v>1</v>
      </c>
      <c r="I80" s="2">
        <v>1</v>
      </c>
      <c r="J80" s="25" t="str">
        <f>VLOOKUP(表5_2[[#This Row],[任务名称]],[1]!表1_8[#Data],2,FALSE)</f>
        <v>今日排位赛胜利5次</v>
      </c>
    </row>
    <row r="81" spans="1:10" x14ac:dyDescent="0.15">
      <c r="A81" s="3">
        <v>4002</v>
      </c>
      <c r="B81" s="2">
        <v>4</v>
      </c>
      <c r="C81" s="4" t="s">
        <v>102</v>
      </c>
      <c r="D81" s="12">
        <v>1</v>
      </c>
      <c r="E81" s="12">
        <v>21</v>
      </c>
      <c r="F81" s="12">
        <v>2</v>
      </c>
      <c r="G81" s="5" t="s">
        <v>156</v>
      </c>
      <c r="H81" s="2">
        <v>1</v>
      </c>
      <c r="I81" s="2">
        <v>1</v>
      </c>
      <c r="J81" s="25" t="str">
        <f>VLOOKUP(表5_2[[#This Row],[任务名称]],[1]!表1_8[#Data],2,FALSE)</f>
        <v>今日捕获BOSS灯笼鱼2条</v>
      </c>
    </row>
    <row r="82" spans="1:10" x14ac:dyDescent="0.15">
      <c r="A82" s="3">
        <v>4003</v>
      </c>
      <c r="B82" s="2">
        <v>4</v>
      </c>
      <c r="C82" s="4" t="s">
        <v>103</v>
      </c>
      <c r="D82" s="12">
        <v>1</v>
      </c>
      <c r="E82" s="12">
        <v>22</v>
      </c>
      <c r="F82" s="12">
        <v>2</v>
      </c>
      <c r="G82" s="5" t="s">
        <v>156</v>
      </c>
      <c r="H82" s="2">
        <v>1</v>
      </c>
      <c r="I82" s="2">
        <v>1</v>
      </c>
      <c r="J82" s="25" t="str">
        <f>VLOOKUP(表5_2[[#This Row],[任务名称]],[1]!表1_8[#Data],2,FALSE)</f>
        <v>今日捕获BOSS美人鱼2条</v>
      </c>
    </row>
    <row r="83" spans="1:10" x14ac:dyDescent="0.15">
      <c r="A83" s="3">
        <v>4004</v>
      </c>
      <c r="B83" s="2">
        <v>4</v>
      </c>
      <c r="C83" s="4" t="s">
        <v>104</v>
      </c>
      <c r="D83" s="12">
        <v>1</v>
      </c>
      <c r="E83" s="12">
        <v>49</v>
      </c>
      <c r="F83" s="12">
        <v>2</v>
      </c>
      <c r="G83" s="5" t="s">
        <v>156</v>
      </c>
      <c r="H83" s="2">
        <v>1</v>
      </c>
      <c r="I83" s="2">
        <v>1</v>
      </c>
      <c r="J83" s="25" t="str">
        <f>VLOOKUP(表5_2[[#This Row],[任务名称]],[1]!表1_8[#Data],2,FALSE)</f>
        <v>今日捕获BOSS章鱼2条</v>
      </c>
    </row>
    <row r="84" spans="1:10" x14ac:dyDescent="0.15">
      <c r="A84" s="3">
        <v>4005</v>
      </c>
      <c r="B84" s="2">
        <v>4</v>
      </c>
      <c r="C84" s="4" t="s">
        <v>105</v>
      </c>
      <c r="D84" s="12">
        <v>1</v>
      </c>
      <c r="E84" s="12">
        <v>57</v>
      </c>
      <c r="F84" s="12">
        <v>2</v>
      </c>
      <c r="G84" s="5" t="s">
        <v>156</v>
      </c>
      <c r="H84" s="2">
        <v>1</v>
      </c>
      <c r="I84" s="2">
        <v>1</v>
      </c>
      <c r="J84" s="25" t="str">
        <f>VLOOKUP(表5_2[[#This Row],[任务名称]],[1]!表1_8[#Data],2,FALSE)</f>
        <v>今日捕获BOSS海马2条</v>
      </c>
    </row>
    <row r="85" spans="1:10" x14ac:dyDescent="0.15">
      <c r="A85" s="3">
        <v>4006</v>
      </c>
      <c r="B85" s="2">
        <v>4</v>
      </c>
      <c r="C85" s="4" t="s">
        <v>106</v>
      </c>
      <c r="D85" s="2">
        <v>1</v>
      </c>
      <c r="E85" s="2">
        <v>52</v>
      </c>
      <c r="F85" s="2">
        <v>5</v>
      </c>
      <c r="G85" s="5" t="s">
        <v>156</v>
      </c>
      <c r="H85" s="2">
        <v>1</v>
      </c>
      <c r="I85" s="2">
        <v>1</v>
      </c>
      <c r="J85" s="25" t="str">
        <f>VLOOKUP(表5_2[[#This Row],[任务名称]],[1]!表1_8[#Data],2,FALSE)</f>
        <v>今日捕获宝箱鱼5条</v>
      </c>
    </row>
    <row r="86" spans="1:10" x14ac:dyDescent="0.15">
      <c r="A86" s="3">
        <v>4007</v>
      </c>
      <c r="B86" s="2">
        <v>4</v>
      </c>
      <c r="C86" s="4" t="s">
        <v>107</v>
      </c>
      <c r="D86" s="12">
        <v>2</v>
      </c>
      <c r="E86" s="12">
        <v>4</v>
      </c>
      <c r="F86" s="12">
        <v>10</v>
      </c>
      <c r="G86" s="5" t="s">
        <v>156</v>
      </c>
      <c r="H86" s="2">
        <v>1</v>
      </c>
      <c r="I86" s="2">
        <v>1</v>
      </c>
      <c r="J86" s="25" t="str">
        <f>VLOOKUP(表5_2[[#This Row],[任务名称]],[1]!表1_8[#Data],2,FALSE)</f>
        <v>今日使用激光10次</v>
      </c>
    </row>
    <row r="87" spans="1:10" x14ac:dyDescent="0.15">
      <c r="A87" s="3">
        <v>4008</v>
      </c>
      <c r="B87" s="2">
        <v>4</v>
      </c>
      <c r="C87" s="4" t="s">
        <v>108</v>
      </c>
      <c r="D87" s="12">
        <v>10</v>
      </c>
      <c r="E87" s="12">
        <v>0</v>
      </c>
      <c r="F87" s="12">
        <v>50</v>
      </c>
      <c r="G87" s="5" t="s">
        <v>156</v>
      </c>
      <c r="H87" s="2">
        <v>1</v>
      </c>
      <c r="I87" s="2">
        <v>1</v>
      </c>
      <c r="J87" s="25" t="str">
        <f>VLOOKUP(表5_2[[#This Row],[任务名称]],[1]!表1_8[#Data],2,FALSE)</f>
        <v>今日消耗钻石50</v>
      </c>
    </row>
    <row r="88" spans="1:10" x14ac:dyDescent="0.15">
      <c r="A88" s="3">
        <v>4009</v>
      </c>
      <c r="B88" s="2">
        <v>4</v>
      </c>
      <c r="C88" s="4" t="s">
        <v>109</v>
      </c>
      <c r="D88" s="2">
        <v>11</v>
      </c>
      <c r="E88" s="2">
        <v>0</v>
      </c>
      <c r="F88" s="2">
        <v>50000</v>
      </c>
      <c r="G88" s="5" t="s">
        <v>156</v>
      </c>
      <c r="H88" s="2">
        <v>1</v>
      </c>
      <c r="I88" s="2">
        <v>1</v>
      </c>
      <c r="J88" s="25" t="str">
        <f>VLOOKUP(表5_2[[#This Row],[任务名称]],[1]!表1_8[#Data],2,FALSE)</f>
        <v>今日消耗金币50000</v>
      </c>
    </row>
    <row r="89" spans="1:10" x14ac:dyDescent="0.15">
      <c r="A89" s="3">
        <v>4010</v>
      </c>
      <c r="B89" s="2">
        <v>4</v>
      </c>
      <c r="C89" s="4" t="s">
        <v>110</v>
      </c>
      <c r="D89" s="12">
        <v>20</v>
      </c>
      <c r="E89" s="12">
        <v>0</v>
      </c>
      <c r="F89" s="12">
        <v>10</v>
      </c>
      <c r="G89" s="5" t="s">
        <v>168</v>
      </c>
      <c r="H89" s="2">
        <v>0</v>
      </c>
      <c r="I89" s="2">
        <v>1</v>
      </c>
      <c r="J89" s="25" t="str">
        <f>VLOOKUP(表5_2[[#This Row],[任务名称]],[1]!表1_8[#Data],2,FALSE)</f>
        <v>累计参与保卫女神10次</v>
      </c>
    </row>
    <row r="90" spans="1:10" x14ac:dyDescent="0.15">
      <c r="A90" s="3">
        <v>4011</v>
      </c>
      <c r="B90" s="2">
        <v>4</v>
      </c>
      <c r="C90" s="4" t="s">
        <v>111</v>
      </c>
      <c r="D90" s="2">
        <v>21</v>
      </c>
      <c r="E90" s="2">
        <v>0</v>
      </c>
      <c r="F90" s="2">
        <v>50</v>
      </c>
      <c r="G90" s="5" t="s">
        <v>169</v>
      </c>
      <c r="H90" s="2">
        <v>0</v>
      </c>
      <c r="I90" s="2">
        <v>1</v>
      </c>
      <c r="J90" s="25" t="str">
        <f>VLOOKUP(表5_2[[#This Row],[任务名称]],[1]!表1_8[#Data],2,FALSE)</f>
        <v>累计在水族馆放养50次鱼</v>
      </c>
    </row>
    <row r="91" spans="1:10" x14ac:dyDescent="0.15">
      <c r="A91" s="3">
        <v>4012</v>
      </c>
      <c r="B91" s="2">
        <v>4</v>
      </c>
      <c r="C91" s="4" t="s">
        <v>112</v>
      </c>
      <c r="D91" s="12">
        <v>18</v>
      </c>
      <c r="E91" s="12">
        <v>0</v>
      </c>
      <c r="F91" s="12">
        <v>20</v>
      </c>
      <c r="G91" s="5" t="s">
        <v>168</v>
      </c>
      <c r="H91" s="2">
        <v>0</v>
      </c>
      <c r="I91" s="2">
        <v>1</v>
      </c>
      <c r="J91" s="25" t="str">
        <f>VLOOKUP(表5_2[[#This Row],[任务名称]],[1]!表1_8[#Data],2,FALSE)</f>
        <v>累计购买20次金币</v>
      </c>
    </row>
    <row r="92" spans="1:10" x14ac:dyDescent="0.15">
      <c r="A92" s="3">
        <v>4013</v>
      </c>
      <c r="B92" s="2">
        <v>4</v>
      </c>
      <c r="C92" s="4" t="s">
        <v>113</v>
      </c>
      <c r="D92" s="2">
        <v>1</v>
      </c>
      <c r="E92" s="2">
        <v>0</v>
      </c>
      <c r="F92" s="2">
        <v>100000</v>
      </c>
      <c r="G92" s="5" t="s">
        <v>170</v>
      </c>
      <c r="H92" s="2">
        <v>0</v>
      </c>
      <c r="I92" s="2">
        <v>1</v>
      </c>
      <c r="J92" s="25" t="str">
        <f>VLOOKUP(表5_2[[#This Row],[任务名称]],[1]!表1_8[#Data],2,FALSE)</f>
        <v>累计捕获任意鱼100000条</v>
      </c>
    </row>
    <row r="93" spans="1:10" x14ac:dyDescent="0.15">
      <c r="A93" s="3">
        <v>4014</v>
      </c>
      <c r="B93" s="2">
        <v>4</v>
      </c>
      <c r="C93" s="4" t="s">
        <v>114</v>
      </c>
      <c r="D93" s="2">
        <v>13</v>
      </c>
      <c r="E93" s="2">
        <v>0</v>
      </c>
      <c r="F93" s="2">
        <v>9</v>
      </c>
      <c r="G93" s="5" t="s">
        <v>170</v>
      </c>
      <c r="H93" s="2">
        <v>0</v>
      </c>
      <c r="I93" s="2">
        <v>1</v>
      </c>
      <c r="J93" s="25" t="str">
        <f>VLOOKUP(表5_2[[#This Row],[任务名称]],[1]!表1_8[#Data],2,FALSE)</f>
        <v>累计登录9天</v>
      </c>
    </row>
    <row r="94" spans="1:10" x14ac:dyDescent="0.15">
      <c r="A94" s="3">
        <v>4015</v>
      </c>
      <c r="B94" s="2">
        <v>4</v>
      </c>
      <c r="C94" s="4" t="s">
        <v>115</v>
      </c>
      <c r="D94" s="12">
        <v>2</v>
      </c>
      <c r="E94" s="12">
        <v>3</v>
      </c>
      <c r="F94" s="12">
        <v>100</v>
      </c>
      <c r="G94" s="5" t="s">
        <v>171</v>
      </c>
      <c r="H94" s="2">
        <v>0</v>
      </c>
      <c r="I94" s="2">
        <v>1</v>
      </c>
      <c r="J94" s="25" t="str">
        <f>VLOOKUP(表5_2[[#This Row],[任务名称]],[1]!表1_8[#Data],2,FALSE)</f>
        <v>累计召唤100条鱼</v>
      </c>
    </row>
    <row r="95" spans="1:10" x14ac:dyDescent="0.15">
      <c r="A95" s="3">
        <v>4100</v>
      </c>
      <c r="B95" s="2">
        <v>4</v>
      </c>
      <c r="C95" s="4" t="s">
        <v>116</v>
      </c>
      <c r="D95" s="2">
        <v>19</v>
      </c>
      <c r="E95" s="2">
        <v>1</v>
      </c>
      <c r="F95" s="2">
        <v>1</v>
      </c>
      <c r="G95" s="5" t="s">
        <v>157</v>
      </c>
      <c r="H95" s="2">
        <v>1</v>
      </c>
      <c r="I95" s="2">
        <v>2</v>
      </c>
      <c r="J95" s="25" t="str">
        <f>VLOOKUP(表5_2[[#This Row],[任务名称]],[1]!表1_8[#Data],2,FALSE)</f>
        <v>今日充值任意金额</v>
      </c>
    </row>
    <row r="96" spans="1:10" x14ac:dyDescent="0.15">
      <c r="A96" s="3">
        <v>4101</v>
      </c>
      <c r="B96" s="2">
        <v>4</v>
      </c>
      <c r="C96" s="4" t="s">
        <v>117</v>
      </c>
      <c r="D96" s="2">
        <v>19</v>
      </c>
      <c r="E96" s="2">
        <v>0</v>
      </c>
      <c r="F96" s="2">
        <v>100</v>
      </c>
      <c r="G96" s="5" t="s">
        <v>158</v>
      </c>
      <c r="H96" s="2">
        <v>0</v>
      </c>
      <c r="I96" s="2">
        <v>2</v>
      </c>
      <c r="J96" s="25" t="str">
        <f>VLOOKUP(表5_2[[#This Row],[任务名称]],[1]!表1_8[#Data],2,FALSE)</f>
        <v>活动期间充值10元</v>
      </c>
    </row>
    <row r="97" spans="1:10" x14ac:dyDescent="0.15">
      <c r="A97" s="3">
        <v>4102</v>
      </c>
      <c r="B97" s="2">
        <v>4</v>
      </c>
      <c r="C97" s="4" t="s">
        <v>118</v>
      </c>
      <c r="D97" s="2">
        <v>19</v>
      </c>
      <c r="E97" s="2">
        <v>0</v>
      </c>
      <c r="F97" s="2">
        <v>200</v>
      </c>
      <c r="G97" s="5" t="s">
        <v>159</v>
      </c>
      <c r="H97" s="2">
        <v>0</v>
      </c>
      <c r="I97" s="2">
        <v>2</v>
      </c>
      <c r="J97" s="25" t="str">
        <f>VLOOKUP(表5_2[[#This Row],[任务名称]],[1]!表1_8[#Data],2,FALSE)</f>
        <v>活动期间充值20元</v>
      </c>
    </row>
    <row r="98" spans="1:10" x14ac:dyDescent="0.15">
      <c r="A98" s="3">
        <v>4103</v>
      </c>
      <c r="B98" s="2">
        <v>4</v>
      </c>
      <c r="C98" s="4" t="s">
        <v>119</v>
      </c>
      <c r="D98" s="2">
        <v>19</v>
      </c>
      <c r="E98" s="2">
        <v>0</v>
      </c>
      <c r="F98" s="2">
        <v>400</v>
      </c>
      <c r="G98" s="5" t="s">
        <v>160</v>
      </c>
      <c r="H98" s="2">
        <v>0</v>
      </c>
      <c r="I98" s="2">
        <v>2</v>
      </c>
      <c r="J98" s="25" t="str">
        <f>VLOOKUP(表5_2[[#This Row],[任务名称]],[1]!表1_8[#Data],2,FALSE)</f>
        <v>活动期间充值40元</v>
      </c>
    </row>
    <row r="99" spans="1:10" x14ac:dyDescent="0.15">
      <c r="A99" s="3">
        <v>4104</v>
      </c>
      <c r="B99" s="2">
        <v>4</v>
      </c>
      <c r="C99" s="4" t="s">
        <v>120</v>
      </c>
      <c r="D99" s="2">
        <v>19</v>
      </c>
      <c r="E99" s="2">
        <v>0</v>
      </c>
      <c r="F99" s="2">
        <v>600</v>
      </c>
      <c r="G99" s="5" t="s">
        <v>161</v>
      </c>
      <c r="H99" s="2">
        <v>0</v>
      </c>
      <c r="I99" s="2">
        <v>2</v>
      </c>
      <c r="J99" s="25" t="str">
        <f>VLOOKUP(表5_2[[#This Row],[任务名称]],[1]!表1_8[#Data],2,FALSE)</f>
        <v>活动期间充值60元</v>
      </c>
    </row>
    <row r="100" spans="1:10" x14ac:dyDescent="0.15">
      <c r="A100" s="3">
        <v>4105</v>
      </c>
      <c r="B100" s="2">
        <v>4</v>
      </c>
      <c r="C100" s="4" t="s">
        <v>121</v>
      </c>
      <c r="D100" s="2">
        <v>19</v>
      </c>
      <c r="E100" s="2">
        <v>0</v>
      </c>
      <c r="F100" s="2">
        <v>1000</v>
      </c>
      <c r="G100" s="5" t="s">
        <v>162</v>
      </c>
      <c r="H100" s="2">
        <v>0</v>
      </c>
      <c r="I100" s="2">
        <v>2</v>
      </c>
      <c r="J100" s="25" t="str">
        <f>VLOOKUP(表5_2[[#This Row],[任务名称]],[1]!表1_8[#Data],2,FALSE)</f>
        <v>活动期间充值100元</v>
      </c>
    </row>
    <row r="101" spans="1:10" x14ac:dyDescent="0.15">
      <c r="A101" s="3">
        <v>4106</v>
      </c>
      <c r="B101" s="2">
        <v>4</v>
      </c>
      <c r="C101" s="4" t="s">
        <v>122</v>
      </c>
      <c r="D101" s="2">
        <v>19</v>
      </c>
      <c r="E101" s="2">
        <v>0</v>
      </c>
      <c r="F101" s="2">
        <v>2000</v>
      </c>
      <c r="G101" s="5" t="s">
        <v>163</v>
      </c>
      <c r="H101" s="2">
        <v>0</v>
      </c>
      <c r="I101" s="2">
        <v>2</v>
      </c>
      <c r="J101" s="25" t="str">
        <f>VLOOKUP(表5_2[[#This Row],[任务名称]],[1]!表1_8[#Data],2,FALSE)</f>
        <v>活动期间充值200元</v>
      </c>
    </row>
    <row r="102" spans="1:10" x14ac:dyDescent="0.15">
      <c r="A102" s="3">
        <v>4107</v>
      </c>
      <c r="B102" s="2">
        <v>4</v>
      </c>
      <c r="C102" s="4" t="s">
        <v>123</v>
      </c>
      <c r="D102" s="2">
        <v>19</v>
      </c>
      <c r="E102" s="2">
        <v>0</v>
      </c>
      <c r="F102" s="2">
        <v>3000</v>
      </c>
      <c r="G102" s="5" t="s">
        <v>164</v>
      </c>
      <c r="H102" s="2">
        <v>0</v>
      </c>
      <c r="I102" s="2">
        <v>2</v>
      </c>
      <c r="J102" s="25" t="str">
        <f>VLOOKUP(表5_2[[#This Row],[任务名称]],[1]!表1_8[#Data],2,FALSE)</f>
        <v>活动期间充值300元</v>
      </c>
    </row>
    <row r="103" spans="1:10" x14ac:dyDescent="0.15">
      <c r="A103" s="3">
        <v>4108</v>
      </c>
      <c r="B103" s="2">
        <v>4</v>
      </c>
      <c r="C103" s="4" t="s">
        <v>124</v>
      </c>
      <c r="D103" s="2">
        <v>19</v>
      </c>
      <c r="E103" s="2">
        <v>0</v>
      </c>
      <c r="F103" s="2">
        <v>5000</v>
      </c>
      <c r="G103" s="5" t="s">
        <v>165</v>
      </c>
      <c r="H103" s="2">
        <v>0</v>
      </c>
      <c r="I103" s="2">
        <v>2</v>
      </c>
      <c r="J103" s="25" t="str">
        <f>VLOOKUP(表5_2[[#This Row],[任务名称]],[1]!表1_8[#Data],2,FALSE)</f>
        <v>活动期间充值500元</v>
      </c>
    </row>
    <row r="104" spans="1:10" x14ac:dyDescent="0.15">
      <c r="A104" s="3">
        <v>4109</v>
      </c>
      <c r="B104" s="2">
        <v>4</v>
      </c>
      <c r="C104" s="4" t="s">
        <v>125</v>
      </c>
      <c r="D104" s="2">
        <v>19</v>
      </c>
      <c r="E104" s="2">
        <v>0</v>
      </c>
      <c r="F104" s="2">
        <v>10000</v>
      </c>
      <c r="G104" s="5" t="s">
        <v>166</v>
      </c>
      <c r="H104" s="2">
        <v>0</v>
      </c>
      <c r="I104" s="2">
        <v>2</v>
      </c>
      <c r="J104" s="25" t="str">
        <f>VLOOKUP(表5_2[[#This Row],[任务名称]],[1]!表1_8[#Data],2,FALSE)</f>
        <v>活动期间充值1000元</v>
      </c>
    </row>
    <row r="105" spans="1:10" x14ac:dyDescent="0.15">
      <c r="A105" s="3">
        <v>4110</v>
      </c>
      <c r="B105" s="2">
        <v>4</v>
      </c>
      <c r="C105" s="4" t="s">
        <v>140</v>
      </c>
      <c r="D105" s="2">
        <v>19</v>
      </c>
      <c r="E105" s="2">
        <v>0</v>
      </c>
      <c r="F105" s="2">
        <v>20000</v>
      </c>
      <c r="G105" s="5" t="s">
        <v>167</v>
      </c>
      <c r="H105" s="2">
        <v>0</v>
      </c>
      <c r="I105" s="2">
        <v>2</v>
      </c>
      <c r="J105" s="25" t="str">
        <f>VLOOKUP(表5_2[[#This Row],[任务名称]],[1]!表1_8[#Data],2,FALSE)</f>
        <v>活动期间充值2000元</v>
      </c>
    </row>
    <row r="106" spans="1:10" x14ac:dyDescent="0.15">
      <c r="A106" s="3">
        <v>5001</v>
      </c>
      <c r="B106" s="2">
        <v>5</v>
      </c>
      <c r="C106" s="4" t="s">
        <v>101</v>
      </c>
      <c r="D106" s="12">
        <v>28</v>
      </c>
      <c r="E106" s="12">
        <v>0</v>
      </c>
      <c r="F106" s="12">
        <v>5</v>
      </c>
      <c r="G106" s="5" t="s">
        <v>172</v>
      </c>
      <c r="H106" s="2">
        <v>1</v>
      </c>
      <c r="I106" s="2">
        <v>1</v>
      </c>
      <c r="J106" s="25" t="str">
        <f>VLOOKUP(表5_2[[#This Row],[任务名称]],[1]!表1_8[#Data],2,FALSE)</f>
        <v>今日排位赛胜利5次</v>
      </c>
    </row>
    <row r="107" spans="1:10" x14ac:dyDescent="0.15">
      <c r="A107" s="3">
        <v>5002</v>
      </c>
      <c r="B107" s="2">
        <v>5</v>
      </c>
      <c r="C107" s="4" t="s">
        <v>102</v>
      </c>
      <c r="D107" s="12">
        <v>1</v>
      </c>
      <c r="E107" s="12">
        <v>21</v>
      </c>
      <c r="F107" s="12">
        <v>2</v>
      </c>
      <c r="G107" s="5" t="s">
        <v>173</v>
      </c>
      <c r="H107" s="2">
        <v>1</v>
      </c>
      <c r="I107" s="2">
        <v>1</v>
      </c>
      <c r="J107" s="25" t="str">
        <f>VLOOKUP(表5_2[[#This Row],[任务名称]],[1]!表1_8[#Data],2,FALSE)</f>
        <v>今日捕获BOSS灯笼鱼2条</v>
      </c>
    </row>
    <row r="108" spans="1:10" x14ac:dyDescent="0.15">
      <c r="A108" s="3">
        <v>5003</v>
      </c>
      <c r="B108" s="2">
        <v>5</v>
      </c>
      <c r="C108" s="4" t="s">
        <v>103</v>
      </c>
      <c r="D108" s="12">
        <v>1</v>
      </c>
      <c r="E108" s="12">
        <v>22</v>
      </c>
      <c r="F108" s="12">
        <v>2</v>
      </c>
      <c r="G108" s="5" t="s">
        <v>173</v>
      </c>
      <c r="H108" s="2">
        <v>1</v>
      </c>
      <c r="I108" s="2">
        <v>1</v>
      </c>
      <c r="J108" s="25" t="str">
        <f>VLOOKUP(表5_2[[#This Row],[任务名称]],[1]!表1_8[#Data],2,FALSE)</f>
        <v>今日捕获BOSS美人鱼2条</v>
      </c>
    </row>
    <row r="109" spans="1:10" x14ac:dyDescent="0.15">
      <c r="A109" s="3">
        <v>5004</v>
      </c>
      <c r="B109" s="2">
        <v>5</v>
      </c>
      <c r="C109" s="4" t="s">
        <v>104</v>
      </c>
      <c r="D109" s="12">
        <v>1</v>
      </c>
      <c r="E109" s="12">
        <v>49</v>
      </c>
      <c r="F109" s="12">
        <v>2</v>
      </c>
      <c r="G109" s="5" t="s">
        <v>173</v>
      </c>
      <c r="H109" s="2">
        <v>1</v>
      </c>
      <c r="I109" s="2">
        <v>1</v>
      </c>
      <c r="J109" s="25" t="str">
        <f>VLOOKUP(表5_2[[#This Row],[任务名称]],[1]!表1_8[#Data],2,FALSE)</f>
        <v>今日捕获BOSS章鱼2条</v>
      </c>
    </row>
    <row r="110" spans="1:10" x14ac:dyDescent="0.15">
      <c r="A110" s="3">
        <v>5005</v>
      </c>
      <c r="B110" s="2">
        <v>5</v>
      </c>
      <c r="C110" s="4" t="s">
        <v>105</v>
      </c>
      <c r="D110" s="12">
        <v>1</v>
      </c>
      <c r="E110" s="12">
        <v>57</v>
      </c>
      <c r="F110" s="12">
        <v>2</v>
      </c>
      <c r="G110" s="5" t="s">
        <v>173</v>
      </c>
      <c r="H110" s="2">
        <v>1</v>
      </c>
      <c r="I110" s="2">
        <v>1</v>
      </c>
      <c r="J110" s="25" t="str">
        <f>VLOOKUP(表5_2[[#This Row],[任务名称]],[1]!表1_8[#Data],2,FALSE)</f>
        <v>今日捕获BOSS海马2条</v>
      </c>
    </row>
    <row r="111" spans="1:10" x14ac:dyDescent="0.15">
      <c r="A111" s="3">
        <v>5006</v>
      </c>
      <c r="B111" s="2">
        <v>5</v>
      </c>
      <c r="C111" s="4" t="s">
        <v>106</v>
      </c>
      <c r="D111" s="2">
        <v>1</v>
      </c>
      <c r="E111" s="2">
        <v>52</v>
      </c>
      <c r="F111" s="2">
        <v>5</v>
      </c>
      <c r="G111" s="5" t="s">
        <v>173</v>
      </c>
      <c r="H111" s="2">
        <v>1</v>
      </c>
      <c r="I111" s="2">
        <v>1</v>
      </c>
      <c r="J111" s="25" t="str">
        <f>VLOOKUP(表5_2[[#This Row],[任务名称]],[1]!表1_8[#Data],2,FALSE)</f>
        <v>今日捕获宝箱鱼5条</v>
      </c>
    </row>
    <row r="112" spans="1:10" x14ac:dyDescent="0.15">
      <c r="A112" s="3">
        <v>5007</v>
      </c>
      <c r="B112" s="2">
        <v>5</v>
      </c>
      <c r="C112" s="4" t="s">
        <v>107</v>
      </c>
      <c r="D112" s="12">
        <v>2</v>
      </c>
      <c r="E112" s="12">
        <v>4</v>
      </c>
      <c r="F112" s="12">
        <v>10</v>
      </c>
      <c r="G112" s="5" t="s">
        <v>173</v>
      </c>
      <c r="H112" s="2">
        <v>1</v>
      </c>
      <c r="I112" s="2">
        <v>1</v>
      </c>
      <c r="J112" s="25" t="str">
        <f>VLOOKUP(表5_2[[#This Row],[任务名称]],[1]!表1_8[#Data],2,FALSE)</f>
        <v>今日使用激光10次</v>
      </c>
    </row>
    <row r="113" spans="1:10" x14ac:dyDescent="0.15">
      <c r="A113" s="3">
        <v>5008</v>
      </c>
      <c r="B113" s="2">
        <v>5</v>
      </c>
      <c r="C113" s="4" t="s">
        <v>108</v>
      </c>
      <c r="D113" s="12">
        <v>10</v>
      </c>
      <c r="E113" s="12">
        <v>0</v>
      </c>
      <c r="F113" s="12">
        <v>50</v>
      </c>
      <c r="G113" s="5" t="s">
        <v>173</v>
      </c>
      <c r="H113" s="2">
        <v>1</v>
      </c>
      <c r="I113" s="2">
        <v>1</v>
      </c>
      <c r="J113" s="25" t="str">
        <f>VLOOKUP(表5_2[[#This Row],[任务名称]],[1]!表1_8[#Data],2,FALSE)</f>
        <v>今日消耗钻石50</v>
      </c>
    </row>
    <row r="114" spans="1:10" x14ac:dyDescent="0.15">
      <c r="A114" s="3">
        <v>5009</v>
      </c>
      <c r="B114" s="2">
        <v>5</v>
      </c>
      <c r="C114" s="4" t="s">
        <v>109</v>
      </c>
      <c r="D114" s="2">
        <v>11</v>
      </c>
      <c r="E114" s="2">
        <v>0</v>
      </c>
      <c r="F114" s="2">
        <v>50000</v>
      </c>
      <c r="G114" s="5" t="s">
        <v>173</v>
      </c>
      <c r="H114" s="2">
        <v>1</v>
      </c>
      <c r="I114" s="2">
        <v>1</v>
      </c>
      <c r="J114" s="25" t="str">
        <f>VLOOKUP(表5_2[[#This Row],[任务名称]],[1]!表1_8[#Data],2,FALSE)</f>
        <v>今日消耗金币50000</v>
      </c>
    </row>
    <row r="115" spans="1:10" x14ac:dyDescent="0.15">
      <c r="A115" s="3">
        <v>5010</v>
      </c>
      <c r="B115" s="2">
        <v>5</v>
      </c>
      <c r="C115" s="4" t="s">
        <v>110</v>
      </c>
      <c r="D115" s="12">
        <v>20</v>
      </c>
      <c r="E115" s="12">
        <v>0</v>
      </c>
      <c r="F115" s="12">
        <v>10</v>
      </c>
      <c r="G115" s="5" t="s">
        <v>174</v>
      </c>
      <c r="H115" s="2">
        <v>0</v>
      </c>
      <c r="I115" s="2">
        <v>1</v>
      </c>
      <c r="J115" s="25" t="str">
        <f>VLOOKUP(表5_2[[#This Row],[任务名称]],[1]!表1_8[#Data],2,FALSE)</f>
        <v>累计参与保卫女神10次</v>
      </c>
    </row>
    <row r="116" spans="1:10" x14ac:dyDescent="0.15">
      <c r="A116" s="3">
        <v>5011</v>
      </c>
      <c r="B116" s="2">
        <v>5</v>
      </c>
      <c r="C116" s="4" t="s">
        <v>111</v>
      </c>
      <c r="D116" s="2">
        <v>21</v>
      </c>
      <c r="E116" s="2">
        <v>0</v>
      </c>
      <c r="F116" s="2">
        <v>50</v>
      </c>
      <c r="G116" s="5" t="s">
        <v>175</v>
      </c>
      <c r="H116" s="2">
        <v>0</v>
      </c>
      <c r="I116" s="2">
        <v>1</v>
      </c>
      <c r="J116" s="25" t="str">
        <f>VLOOKUP(表5_2[[#This Row],[任务名称]],[1]!表1_8[#Data],2,FALSE)</f>
        <v>累计在水族馆放养50次鱼</v>
      </c>
    </row>
    <row r="117" spans="1:10" x14ac:dyDescent="0.15">
      <c r="A117" s="3">
        <v>5012</v>
      </c>
      <c r="B117" s="2">
        <v>5</v>
      </c>
      <c r="C117" s="4" t="s">
        <v>112</v>
      </c>
      <c r="D117" s="12">
        <v>18</v>
      </c>
      <c r="E117" s="12">
        <v>0</v>
      </c>
      <c r="F117" s="12">
        <v>20</v>
      </c>
      <c r="G117" s="5" t="s">
        <v>174</v>
      </c>
      <c r="H117" s="2">
        <v>0</v>
      </c>
      <c r="I117" s="2">
        <v>1</v>
      </c>
      <c r="J117" s="25" t="str">
        <f>VLOOKUP(表5_2[[#This Row],[任务名称]],[1]!表1_8[#Data],2,FALSE)</f>
        <v>累计购买20次金币</v>
      </c>
    </row>
    <row r="118" spans="1:10" x14ac:dyDescent="0.15">
      <c r="A118" s="3">
        <v>5013</v>
      </c>
      <c r="B118" s="2">
        <v>5</v>
      </c>
      <c r="C118" s="4" t="s">
        <v>113</v>
      </c>
      <c r="D118" s="2">
        <v>1</v>
      </c>
      <c r="E118" s="2">
        <v>0</v>
      </c>
      <c r="F118" s="2">
        <v>100000</v>
      </c>
      <c r="G118" s="5" t="s">
        <v>176</v>
      </c>
      <c r="H118" s="2">
        <v>0</v>
      </c>
      <c r="I118" s="2">
        <v>1</v>
      </c>
      <c r="J118" s="25" t="str">
        <f>VLOOKUP(表5_2[[#This Row],[任务名称]],[1]!表1_8[#Data],2,FALSE)</f>
        <v>累计捕获任意鱼100000条</v>
      </c>
    </row>
    <row r="119" spans="1:10" x14ac:dyDescent="0.15">
      <c r="A119" s="3">
        <v>5014</v>
      </c>
      <c r="B119" s="2">
        <v>5</v>
      </c>
      <c r="C119" s="4" t="s">
        <v>114</v>
      </c>
      <c r="D119" s="2">
        <v>13</v>
      </c>
      <c r="E119" s="2">
        <v>0</v>
      </c>
      <c r="F119" s="2">
        <v>9</v>
      </c>
      <c r="G119" s="5" t="s">
        <v>176</v>
      </c>
      <c r="H119" s="2">
        <v>0</v>
      </c>
      <c r="I119" s="2">
        <v>1</v>
      </c>
      <c r="J119" s="25" t="str">
        <f>VLOOKUP(表5_2[[#This Row],[任务名称]],[1]!表1_8[#Data],2,FALSE)</f>
        <v>累计登录9天</v>
      </c>
    </row>
    <row r="120" spans="1:10" x14ac:dyDescent="0.15">
      <c r="A120" s="3">
        <v>5015</v>
      </c>
      <c r="B120" s="2">
        <v>5</v>
      </c>
      <c r="C120" s="4" t="s">
        <v>115</v>
      </c>
      <c r="D120" s="12">
        <v>2</v>
      </c>
      <c r="E120" s="12">
        <v>3</v>
      </c>
      <c r="F120" s="12">
        <v>100</v>
      </c>
      <c r="G120" s="5" t="s">
        <v>177</v>
      </c>
      <c r="H120" s="2">
        <v>0</v>
      </c>
      <c r="I120" s="2">
        <v>1</v>
      </c>
      <c r="J120" s="25" t="str">
        <f>VLOOKUP(表5_2[[#This Row],[任务名称]],[1]!表1_8[#Data],2,FALSE)</f>
        <v>累计召唤100条鱼</v>
      </c>
    </row>
    <row r="121" spans="1:10" x14ac:dyDescent="0.15">
      <c r="A121" s="3">
        <v>5100</v>
      </c>
      <c r="B121" s="2">
        <v>5</v>
      </c>
      <c r="C121" s="4" t="s">
        <v>116</v>
      </c>
      <c r="D121" s="2">
        <v>19</v>
      </c>
      <c r="E121" s="2">
        <v>1</v>
      </c>
      <c r="F121" s="2">
        <v>10000</v>
      </c>
      <c r="G121" s="5" t="s">
        <v>178</v>
      </c>
      <c r="H121" s="2">
        <v>1</v>
      </c>
      <c r="I121" s="2">
        <v>2</v>
      </c>
      <c r="J121" s="25" t="str">
        <f>VLOOKUP(表5_2[[#This Row],[任务名称]],[1]!表1_8[#Data],2,FALSE)</f>
        <v>今日充值任意金额</v>
      </c>
    </row>
    <row r="122" spans="1:10" x14ac:dyDescent="0.15">
      <c r="A122" s="3">
        <v>5101</v>
      </c>
      <c r="B122" s="2">
        <v>5</v>
      </c>
      <c r="C122" s="4" t="s">
        <v>117</v>
      </c>
      <c r="D122" s="2">
        <v>19</v>
      </c>
      <c r="E122" s="2">
        <v>0</v>
      </c>
      <c r="F122" s="2">
        <v>30000</v>
      </c>
      <c r="G122" s="5" t="s">
        <v>179</v>
      </c>
      <c r="H122" s="2">
        <v>0</v>
      </c>
      <c r="I122" s="2">
        <v>2</v>
      </c>
      <c r="J122" s="25" t="str">
        <f>VLOOKUP(表5_2[[#This Row],[任务名称]],[1]!表1_8[#Data],2,FALSE)</f>
        <v>活动期间充值10元</v>
      </c>
    </row>
    <row r="123" spans="1:10" x14ac:dyDescent="0.15">
      <c r="A123" s="3">
        <v>5102</v>
      </c>
      <c r="B123" s="2">
        <v>5</v>
      </c>
      <c r="C123" s="4" t="s">
        <v>118</v>
      </c>
      <c r="D123" s="2">
        <v>19</v>
      </c>
      <c r="E123" s="2">
        <v>0</v>
      </c>
      <c r="F123" s="2">
        <v>60000</v>
      </c>
      <c r="G123" s="5" t="s">
        <v>180</v>
      </c>
      <c r="H123" s="2">
        <v>0</v>
      </c>
      <c r="I123" s="2">
        <v>2</v>
      </c>
      <c r="J123" s="25" t="str">
        <f>VLOOKUP(表5_2[[#This Row],[任务名称]],[1]!表1_8[#Data],2,FALSE)</f>
        <v>活动期间充值20元</v>
      </c>
    </row>
    <row r="124" spans="1:10" x14ac:dyDescent="0.15">
      <c r="A124" s="3">
        <v>5103</v>
      </c>
      <c r="B124" s="2">
        <v>5</v>
      </c>
      <c r="C124" s="4" t="s">
        <v>119</v>
      </c>
      <c r="D124" s="2">
        <v>19</v>
      </c>
      <c r="E124" s="2">
        <v>0</v>
      </c>
      <c r="F124" s="2">
        <v>120000</v>
      </c>
      <c r="G124" s="5" t="s">
        <v>181</v>
      </c>
      <c r="H124" s="2">
        <v>0</v>
      </c>
      <c r="I124" s="2">
        <v>2</v>
      </c>
      <c r="J124" s="25" t="str">
        <f>VLOOKUP(表5_2[[#This Row],[任务名称]],[1]!表1_8[#Data],2,FALSE)</f>
        <v>活动期间充值40元</v>
      </c>
    </row>
    <row r="125" spans="1:10" x14ac:dyDescent="0.15">
      <c r="A125" s="3">
        <v>5104</v>
      </c>
      <c r="B125" s="2">
        <v>5</v>
      </c>
      <c r="C125" s="4" t="s">
        <v>120</v>
      </c>
      <c r="D125" s="2">
        <v>19</v>
      </c>
      <c r="E125" s="2">
        <v>0</v>
      </c>
      <c r="F125" s="2">
        <v>180000</v>
      </c>
      <c r="G125" s="5" t="s">
        <v>182</v>
      </c>
      <c r="H125" s="2">
        <v>0</v>
      </c>
      <c r="I125" s="2">
        <v>2</v>
      </c>
      <c r="J125" s="25" t="str">
        <f>VLOOKUP(表5_2[[#This Row],[任务名称]],[1]!表1_8[#Data],2,FALSE)</f>
        <v>活动期间充值60元</v>
      </c>
    </row>
    <row r="126" spans="1:10" x14ac:dyDescent="0.15">
      <c r="A126" s="3">
        <v>5105</v>
      </c>
      <c r="B126" s="2">
        <v>5</v>
      </c>
      <c r="C126" s="4" t="s">
        <v>121</v>
      </c>
      <c r="D126" s="2">
        <v>19</v>
      </c>
      <c r="E126" s="2">
        <v>0</v>
      </c>
      <c r="F126" s="2">
        <v>300000</v>
      </c>
      <c r="G126" s="5" t="s">
        <v>183</v>
      </c>
      <c r="H126" s="2">
        <v>0</v>
      </c>
      <c r="I126" s="2">
        <v>2</v>
      </c>
      <c r="J126" s="25" t="str">
        <f>VLOOKUP(表5_2[[#This Row],[任务名称]],[1]!表1_8[#Data],2,FALSE)</f>
        <v>活动期间充值100元</v>
      </c>
    </row>
    <row r="127" spans="1:10" x14ac:dyDescent="0.15">
      <c r="A127" s="3">
        <v>5106</v>
      </c>
      <c r="B127" s="2">
        <v>5</v>
      </c>
      <c r="C127" s="4" t="s">
        <v>122</v>
      </c>
      <c r="D127" s="2">
        <v>19</v>
      </c>
      <c r="E127" s="2">
        <v>0</v>
      </c>
      <c r="F127" s="2">
        <v>600000</v>
      </c>
      <c r="G127" s="5" t="s">
        <v>184</v>
      </c>
      <c r="H127" s="2">
        <v>0</v>
      </c>
      <c r="I127" s="2">
        <v>2</v>
      </c>
      <c r="J127" s="25" t="str">
        <f>VLOOKUP(表5_2[[#This Row],[任务名称]],[1]!表1_8[#Data],2,FALSE)</f>
        <v>活动期间充值200元</v>
      </c>
    </row>
    <row r="128" spans="1:10" x14ac:dyDescent="0.15">
      <c r="A128" s="3">
        <v>5107</v>
      </c>
      <c r="B128" s="2">
        <v>5</v>
      </c>
      <c r="C128" s="4" t="s">
        <v>123</v>
      </c>
      <c r="D128" s="2">
        <v>19</v>
      </c>
      <c r="E128" s="2">
        <v>0</v>
      </c>
      <c r="F128" s="2">
        <v>900000</v>
      </c>
      <c r="G128" s="5" t="s">
        <v>185</v>
      </c>
      <c r="H128" s="2">
        <v>0</v>
      </c>
      <c r="I128" s="2">
        <v>2</v>
      </c>
      <c r="J128" s="25" t="str">
        <f>VLOOKUP(表5_2[[#This Row],[任务名称]],[1]!表1_8[#Data],2,FALSE)</f>
        <v>活动期间充值300元</v>
      </c>
    </row>
    <row r="129" spans="1:10" x14ac:dyDescent="0.15">
      <c r="A129" s="3">
        <v>5108</v>
      </c>
      <c r="B129" s="2">
        <v>5</v>
      </c>
      <c r="C129" s="4" t="s">
        <v>124</v>
      </c>
      <c r="D129" s="2">
        <v>19</v>
      </c>
      <c r="E129" s="2">
        <v>0</v>
      </c>
      <c r="F129" s="2">
        <v>1500000</v>
      </c>
      <c r="G129" s="5" t="s">
        <v>186</v>
      </c>
      <c r="H129" s="2">
        <v>0</v>
      </c>
      <c r="I129" s="2">
        <v>2</v>
      </c>
      <c r="J129" s="25" t="str">
        <f>VLOOKUP(表5_2[[#This Row],[任务名称]],[1]!表1_8[#Data],2,FALSE)</f>
        <v>活动期间充值500元</v>
      </c>
    </row>
    <row r="130" spans="1:10" x14ac:dyDescent="0.15">
      <c r="A130" s="3">
        <v>5109</v>
      </c>
      <c r="B130" s="2">
        <v>5</v>
      </c>
      <c r="C130" s="4" t="s">
        <v>125</v>
      </c>
      <c r="D130" s="2">
        <v>19</v>
      </c>
      <c r="E130" s="2">
        <v>0</v>
      </c>
      <c r="F130" s="2">
        <v>3000000</v>
      </c>
      <c r="G130" s="5" t="s">
        <v>187</v>
      </c>
      <c r="H130" s="2">
        <v>0</v>
      </c>
      <c r="I130" s="2">
        <v>2</v>
      </c>
      <c r="J130" s="25" t="str">
        <f>VLOOKUP(表5_2[[#This Row],[任务名称]],[1]!表1_8[#Data],2,FALSE)</f>
        <v>活动期间充值1000元</v>
      </c>
    </row>
    <row r="131" spans="1:10" x14ac:dyDescent="0.15">
      <c r="A131" s="3">
        <v>5110</v>
      </c>
      <c r="B131" s="2">
        <v>5</v>
      </c>
      <c r="C131" s="4" t="s">
        <v>140</v>
      </c>
      <c r="D131" s="2">
        <v>19</v>
      </c>
      <c r="E131" s="2">
        <v>0</v>
      </c>
      <c r="F131" s="2">
        <v>6000000</v>
      </c>
      <c r="G131" s="5" t="s">
        <v>188</v>
      </c>
      <c r="H131" s="2">
        <v>0</v>
      </c>
      <c r="I131" s="2">
        <v>2</v>
      </c>
      <c r="J131" s="25" t="str">
        <f>VLOOKUP(表5_2[[#This Row],[任务名称]],[1]!表1_8[#Data],2,FALSE)</f>
        <v>活动期间充值2000元</v>
      </c>
    </row>
  </sheetData>
  <phoneticPr fontId="8" type="noConversion"/>
  <conditionalFormatting sqref="A7">
    <cfRule type="duplicateValues" dxfId="76" priority="63"/>
    <cfRule type="duplicateValues" dxfId="75" priority="64"/>
  </conditionalFormatting>
  <conditionalFormatting sqref="A8">
    <cfRule type="duplicateValues" dxfId="74" priority="61"/>
    <cfRule type="duplicateValues" dxfId="73" priority="62"/>
  </conditionalFormatting>
  <conditionalFormatting sqref="A9">
    <cfRule type="duplicateValues" dxfId="72" priority="59"/>
    <cfRule type="duplicateValues" dxfId="71" priority="60"/>
  </conditionalFormatting>
  <conditionalFormatting sqref="A10">
    <cfRule type="duplicateValues" dxfId="70" priority="57"/>
    <cfRule type="duplicateValues" dxfId="69" priority="58"/>
  </conditionalFormatting>
  <conditionalFormatting sqref="A11">
    <cfRule type="duplicateValues" dxfId="68" priority="55"/>
    <cfRule type="duplicateValues" dxfId="67" priority="56"/>
  </conditionalFormatting>
  <conditionalFormatting sqref="A12">
    <cfRule type="duplicateValues" dxfId="66" priority="53"/>
    <cfRule type="duplicateValues" dxfId="65" priority="54"/>
  </conditionalFormatting>
  <conditionalFormatting sqref="A38">
    <cfRule type="duplicateValues" dxfId="64" priority="47"/>
    <cfRule type="duplicateValues" dxfId="63" priority="48"/>
  </conditionalFormatting>
  <conditionalFormatting sqref="A39">
    <cfRule type="duplicateValues" dxfId="62" priority="45"/>
    <cfRule type="duplicateValues" dxfId="61" priority="46"/>
  </conditionalFormatting>
  <conditionalFormatting sqref="A5:A41">
    <cfRule type="duplicateValues" dxfId="60" priority="66"/>
  </conditionalFormatting>
  <conditionalFormatting sqref="A6 A18 A20:A26 A8 A10 A12 A14 A16">
    <cfRule type="duplicateValues" dxfId="59" priority="65"/>
  </conditionalFormatting>
  <conditionalFormatting sqref="A13 A15 A19 A21 A23 A25 A17">
    <cfRule type="duplicateValues" dxfId="58" priority="51"/>
    <cfRule type="duplicateValues" dxfId="57" priority="52"/>
  </conditionalFormatting>
  <conditionalFormatting sqref="A14 A16 A18 A20:A26">
    <cfRule type="duplicateValues" dxfId="56" priority="49"/>
    <cfRule type="duplicateValues" dxfId="55" priority="50"/>
  </conditionalFormatting>
  <conditionalFormatting sqref="A43 A45 A47 A49 A51">
    <cfRule type="duplicateValues" dxfId="54" priority="42"/>
    <cfRule type="duplicateValues" dxfId="53" priority="43"/>
  </conditionalFormatting>
  <conditionalFormatting sqref="A42 A44 A46 A48 A50">
    <cfRule type="duplicateValues" dxfId="52" priority="40"/>
    <cfRule type="duplicateValues" dxfId="51" priority="41"/>
    <cfRule type="duplicateValues" dxfId="50" priority="44"/>
  </conditionalFormatting>
  <conditionalFormatting sqref="A42:A51">
    <cfRule type="duplicateValues" dxfId="49" priority="67"/>
  </conditionalFormatting>
  <conditionalFormatting sqref="A37">
    <cfRule type="duplicateValues" dxfId="48" priority="68"/>
    <cfRule type="duplicateValues" dxfId="47" priority="69"/>
  </conditionalFormatting>
  <conditionalFormatting sqref="A36 A38:A39 A41">
    <cfRule type="duplicateValues" dxfId="46" priority="70"/>
  </conditionalFormatting>
  <conditionalFormatting sqref="A27:A41">
    <cfRule type="duplicateValues" dxfId="45" priority="71"/>
  </conditionalFormatting>
  <conditionalFormatting sqref="A63">
    <cfRule type="duplicateValues" dxfId="44" priority="32"/>
    <cfRule type="duplicateValues" dxfId="43" priority="33"/>
  </conditionalFormatting>
  <conditionalFormatting sqref="A64">
    <cfRule type="duplicateValues" dxfId="42" priority="30"/>
    <cfRule type="duplicateValues" dxfId="41" priority="31"/>
  </conditionalFormatting>
  <conditionalFormatting sqref="A52:A66">
    <cfRule type="duplicateValues" dxfId="40" priority="34"/>
  </conditionalFormatting>
  <conditionalFormatting sqref="A68 A70 A72 A74 A77">
    <cfRule type="duplicateValues" dxfId="39" priority="27"/>
    <cfRule type="duplicateValues" dxfId="38" priority="28"/>
  </conditionalFormatting>
  <conditionalFormatting sqref="A67 A69 A71 A73 A75:A76 A78:A79">
    <cfRule type="duplicateValues" dxfId="37" priority="25"/>
    <cfRule type="duplicateValues" dxfId="36" priority="26"/>
    <cfRule type="duplicateValues" dxfId="35" priority="29"/>
  </conditionalFormatting>
  <conditionalFormatting sqref="A67:A79">
    <cfRule type="duplicateValues" dxfId="34" priority="35"/>
  </conditionalFormatting>
  <conditionalFormatting sqref="A62">
    <cfRule type="duplicateValues" dxfId="33" priority="36"/>
    <cfRule type="duplicateValues" dxfId="32" priority="37"/>
  </conditionalFormatting>
  <conditionalFormatting sqref="A61 A63:A64 A66">
    <cfRule type="duplicateValues" dxfId="31" priority="38"/>
  </conditionalFormatting>
  <conditionalFormatting sqref="A52:A66">
    <cfRule type="duplicateValues" dxfId="30" priority="39"/>
  </conditionalFormatting>
  <conditionalFormatting sqref="A91">
    <cfRule type="duplicateValues" dxfId="29" priority="18"/>
    <cfRule type="duplicateValues" dxfId="28" priority="19"/>
  </conditionalFormatting>
  <conditionalFormatting sqref="A92">
    <cfRule type="duplicateValues" dxfId="27" priority="16"/>
    <cfRule type="duplicateValues" dxfId="26" priority="17"/>
  </conditionalFormatting>
  <conditionalFormatting sqref="A80:A94">
    <cfRule type="duplicateValues" dxfId="25" priority="20"/>
  </conditionalFormatting>
  <conditionalFormatting sqref="A90">
    <cfRule type="duplicateValues" dxfId="24" priority="21"/>
    <cfRule type="duplicateValues" dxfId="23" priority="22"/>
  </conditionalFormatting>
  <conditionalFormatting sqref="A89 A91:A92 A94">
    <cfRule type="duplicateValues" dxfId="22" priority="23"/>
  </conditionalFormatting>
  <conditionalFormatting sqref="A80:A94">
    <cfRule type="duplicateValues" dxfId="21" priority="24"/>
  </conditionalFormatting>
  <conditionalFormatting sqref="A96 A98 A100 A102 A104:A105">
    <cfRule type="duplicateValues" dxfId="20" priority="72"/>
    <cfRule type="duplicateValues" dxfId="19" priority="73"/>
  </conditionalFormatting>
  <conditionalFormatting sqref="A95 A97 A99 A101 A103:A104">
    <cfRule type="duplicateValues" dxfId="18" priority="74"/>
    <cfRule type="duplicateValues" dxfId="17" priority="75"/>
    <cfRule type="duplicateValues" dxfId="16" priority="76"/>
  </conditionalFormatting>
  <conditionalFormatting sqref="A95:A105">
    <cfRule type="duplicateValues" dxfId="15" priority="77"/>
  </conditionalFormatting>
  <conditionalFormatting sqref="A117">
    <cfRule type="duplicateValues" dxfId="14" priority="3"/>
    <cfRule type="duplicateValues" dxfId="13" priority="4"/>
  </conditionalFormatting>
  <conditionalFormatting sqref="A118">
    <cfRule type="duplicateValues" dxfId="12" priority="1"/>
    <cfRule type="duplicateValues" dxfId="11" priority="2"/>
  </conditionalFormatting>
  <conditionalFormatting sqref="A106:A120">
    <cfRule type="duplicateValues" dxfId="10" priority="5"/>
  </conditionalFormatting>
  <conditionalFormatting sqref="A116">
    <cfRule type="duplicateValues" dxfId="9" priority="6"/>
    <cfRule type="duplicateValues" dxfId="8" priority="7"/>
  </conditionalFormatting>
  <conditionalFormatting sqref="A115 A117:A118 A120">
    <cfRule type="duplicateValues" dxfId="7" priority="8"/>
  </conditionalFormatting>
  <conditionalFormatting sqref="A106:A120">
    <cfRule type="duplicateValues" dxfId="6" priority="9"/>
  </conditionalFormatting>
  <conditionalFormatting sqref="A122 A124 A126 A128 A130:A131">
    <cfRule type="duplicateValues" dxfId="5" priority="10"/>
    <cfRule type="duplicateValues" dxfId="4" priority="11"/>
  </conditionalFormatting>
  <conditionalFormatting sqref="A121 A123 A125 A127 A129:A131">
    <cfRule type="duplicateValues" dxfId="3" priority="12"/>
    <cfRule type="duplicateValues" dxfId="2" priority="13"/>
    <cfRule type="duplicateValues" dxfId="1" priority="14"/>
  </conditionalFormatting>
  <conditionalFormatting sqref="A121:A131">
    <cfRule type="duplicateValues" dxfId="0" priority="15"/>
  </conditionalFormatting>
  <dataValidations count="1">
    <dataValidation allowBlank="1" showInputMessage="1" showErrorMessage="1" promptTitle="版本&quot;,&quot;分割————————————" prompt="如果是所有版本，则填ALL" sqref="B1" xr:uid="{EA3185E9-B4DA-493C-ACA7-BA4CDBAA0BA9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