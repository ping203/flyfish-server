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data\"/>
    </mc:Choice>
  </mc:AlternateContent>
  <xr:revisionPtr revIDLastSave="0" documentId="13_ncr:1_{B1C6E991-2117-4137-9EE8-1C6A3F544E20}" xr6:coauthVersionLast="32" xr6:coauthVersionMax="32" xr10:uidLastSave="{00000000-0000-0000-0000-000000000000}"/>
  <bookViews>
    <workbookView xWindow="0" yWindow="0" windowWidth="28695" windowHeight="14850" activeTab="1" xr2:uid="{00000000-000D-0000-FFFF-FFFF00000000}"/>
  </bookViews>
  <sheets>
    <sheet name="description" sheetId="1" r:id="rId1"/>
    <sheet name="ALL" sheetId="6" r:id="rId2"/>
  </sheets>
  <functionGroups builtInGroupCount="19"/>
  <calcPr calcId="179017"/>
</workbook>
</file>

<file path=xl/calcChain.xml><?xml version="1.0" encoding="utf-8"?>
<calcChain xmlns="http://schemas.openxmlformats.org/spreadsheetml/2006/main">
  <c r="P5" i="6" l="1"/>
  <c r="P6" i="6"/>
  <c r="P7" i="6"/>
  <c r="P8" i="6"/>
  <c r="P9" i="6"/>
  <c r="P10" i="6"/>
  <c r="P11" i="6"/>
  <c r="P12" i="6"/>
  <c r="P13" i="6"/>
  <c r="P14" i="6"/>
  <c r="P15" i="6"/>
  <c r="P16" i="6"/>
  <c r="P17" i="6"/>
  <c r="P18" i="6"/>
  <c r="P19" i="6"/>
  <c r="P20" i="6"/>
  <c r="P21" i="6"/>
  <c r="P22" i="6"/>
  <c r="P23" i="6"/>
  <c r="P24" i="6"/>
  <c r="P25" i="6"/>
  <c r="P26" i="6"/>
  <c r="P27" i="6"/>
  <c r="P28" i="6"/>
  <c r="P29" i="6"/>
  <c r="P30" i="6"/>
  <c r="P31" i="6"/>
  <c r="P32" i="6"/>
  <c r="P33" i="6"/>
  <c r="P34" i="6"/>
  <c r="P35" i="6"/>
  <c r="P36" i="6"/>
  <c r="P37" i="6"/>
  <c r="P38" i="6"/>
  <c r="P39" i="6"/>
  <c r="P40" i="6"/>
  <c r="P41" i="6"/>
  <c r="P42" i="6"/>
  <c r="P43" i="6"/>
  <c r="P44" i="6"/>
  <c r="P45" i="6"/>
  <c r="P46" i="6"/>
  <c r="P47" i="6"/>
  <c r="P48" i="6"/>
  <c r="P49" i="6"/>
  <c r="P50" i="6"/>
  <c r="P51" i="6"/>
  <c r="P52" i="6"/>
  <c r="P53" i="6"/>
  <c r="P54" i="6"/>
  <c r="P55" i="6"/>
  <c r="P56" i="6"/>
  <c r="P57" i="6"/>
  <c r="P58" i="6"/>
  <c r="P59" i="6"/>
  <c r="P60" i="6"/>
  <c r="P61" i="6"/>
  <c r="P62" i="6"/>
  <c r="P63" i="6"/>
  <c r="P64" i="6"/>
  <c r="P65" i="6"/>
  <c r="P66" i="6"/>
  <c r="P67" i="6"/>
  <c r="P68" i="6"/>
  <c r="P69" i="6"/>
  <c r="P70" i="6"/>
  <c r="P71" i="6"/>
  <c r="P72" i="6"/>
  <c r="P73" i="6"/>
  <c r="P74" i="6"/>
  <c r="P75" i="6"/>
  <c r="P76" i="6"/>
  <c r="P77" i="6"/>
  <c r="P78" i="6"/>
  <c r="P79" i="6"/>
  <c r="P80" i="6"/>
  <c r="P81" i="6"/>
  <c r="P82" i="6"/>
  <c r="P83" i="6"/>
  <c r="P84" i="6"/>
  <c r="P85" i="6"/>
  <c r="P86" i="6"/>
  <c r="P87" i="6"/>
  <c r="P88" i="6"/>
  <c r="P89" i="6"/>
  <c r="P90" i="6"/>
  <c r="P91" i="6"/>
  <c r="P92" i="6"/>
  <c r="P93" i="6"/>
  <c r="P94" i="6"/>
  <c r="P95" i="6"/>
  <c r="P96" i="6"/>
  <c r="P97" i="6"/>
  <c r="P98" i="6"/>
  <c r="P99" i="6"/>
  <c r="P100" i="6"/>
  <c r="P101" i="6"/>
  <c r="P102" i="6"/>
  <c r="P103" i="6"/>
  <c r="P104" i="6"/>
  <c r="P105" i="6"/>
  <c r="P106" i="6"/>
  <c r="P107" i="6"/>
  <c r="P108" i="6"/>
  <c r="P109" i="6"/>
  <c r="P110" i="6"/>
  <c r="P111" i="6"/>
  <c r="P112" i="6"/>
  <c r="P113" i="6"/>
  <c r="P114" i="6"/>
  <c r="P115" i="6"/>
  <c r="P116" i="6"/>
  <c r="P117" i="6"/>
  <c r="P118" i="6"/>
  <c r="P119" i="6"/>
  <c r="P120" i="6"/>
  <c r="P121" i="6"/>
  <c r="P122" i="6"/>
  <c r="P123" i="6"/>
  <c r="P124" i="6"/>
  <c r="P125" i="6"/>
  <c r="P126" i="6"/>
  <c r="P127" i="6"/>
  <c r="P128" i="6"/>
  <c r="P129" i="6"/>
  <c r="P130" i="6"/>
  <c r="P131" i="6"/>
  <c r="P132" i="6"/>
  <c r="P133" i="6"/>
  <c r="P134" i="6"/>
  <c r="P135" i="6"/>
  <c r="P136" i="6"/>
  <c r="P137" i="6"/>
  <c r="P138" i="6"/>
  <c r="P139" i="6"/>
  <c r="P140" i="6"/>
  <c r="P141" i="6"/>
  <c r="P142" i="6"/>
  <c r="P143" i="6"/>
  <c r="P144" i="6"/>
  <c r="P145" i="6"/>
  <c r="P146" i="6"/>
  <c r="P147" i="6"/>
  <c r="P148" i="6"/>
  <c r="P149" i="6"/>
  <c r="P150" i="6"/>
  <c r="P151" i="6"/>
  <c r="P152" i="6"/>
  <c r="P153" i="6"/>
  <c r="P154" i="6"/>
  <c r="P155" i="6"/>
  <c r="P156" i="6"/>
  <c r="P157" i="6"/>
  <c r="P158" i="6"/>
  <c r="P159" i="6"/>
  <c r="P160" i="6"/>
  <c r="P161" i="6"/>
  <c r="P162" i="6"/>
  <c r="P163" i="6"/>
  <c r="P164" i="6"/>
  <c r="P165" i="6"/>
  <c r="P166" i="6"/>
  <c r="P167" i="6"/>
  <c r="P168" i="6"/>
  <c r="P169" i="6"/>
  <c r="P170" i="6"/>
  <c r="P171" i="6"/>
  <c r="P172" i="6"/>
  <c r="P173" i="6"/>
  <c r="P174" i="6"/>
  <c r="P175" i="6"/>
  <c r="P176" i="6"/>
  <c r="P177" i="6"/>
  <c r="P178" i="6"/>
  <c r="P179" i="6"/>
  <c r="P180" i="6"/>
  <c r="P181" i="6"/>
  <c r="P182" i="6"/>
  <c r="P183" i="6"/>
  <c r="P184" i="6"/>
  <c r="P185" i="6"/>
  <c r="P186" i="6"/>
  <c r="P187" i="6"/>
  <c r="P188" i="6"/>
  <c r="P189" i="6"/>
  <c r="P190" i="6"/>
  <c r="P191" i="6"/>
  <c r="P192" i="6"/>
  <c r="P193" i="6"/>
  <c r="P194" i="6"/>
  <c r="P195" i="6"/>
  <c r="P196" i="6"/>
  <c r="P197" i="6"/>
  <c r="P198" i="6"/>
  <c r="P199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F170" i="6"/>
  <c r="F171" i="6"/>
  <c r="F172" i="6"/>
  <c r="F173" i="6"/>
  <c r="F174" i="6"/>
  <c r="F175" i="6"/>
  <c r="F176" i="6"/>
  <c r="F177" i="6"/>
  <c r="F178" i="6"/>
  <c r="F179" i="6"/>
  <c r="F180" i="6"/>
  <c r="F181" i="6"/>
  <c r="F182" i="6"/>
  <c r="F183" i="6"/>
  <c r="F184" i="6"/>
  <c r="F185" i="6"/>
  <c r="F186" i="6"/>
  <c r="F187" i="6"/>
  <c r="F188" i="6"/>
  <c r="F189" i="6"/>
  <c r="F190" i="6"/>
  <c r="F191" i="6"/>
  <c r="F192" i="6"/>
  <c r="F193" i="6"/>
  <c r="F194" i="6"/>
  <c r="F195" i="6"/>
  <c r="F196" i="6"/>
  <c r="F197" i="6"/>
  <c r="F198" i="6"/>
  <c r="F199" i="6"/>
  <c r="D187" i="6" l="1"/>
  <c r="D174" i="6"/>
  <c r="D161" i="6"/>
  <c r="D148" i="6"/>
  <c r="D135" i="6"/>
  <c r="D122" i="6"/>
  <c r="D109" i="6"/>
  <c r="D96" i="6"/>
  <c r="D83" i="6"/>
  <c r="D70" i="6"/>
  <c r="D57" i="6"/>
  <c r="D44" i="6"/>
  <c r="D31" i="6"/>
  <c r="D18" i="6"/>
  <c r="E5" i="6" l="1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31" i="6"/>
  <c r="E44" i="6"/>
  <c r="E57" i="6"/>
  <c r="E70" i="6"/>
  <c r="E83" i="6"/>
  <c r="E96" i="6"/>
  <c r="E109" i="6"/>
  <c r="E122" i="6"/>
  <c r="E135" i="6"/>
  <c r="E148" i="6"/>
  <c r="E161" i="6"/>
  <c r="E174" i="6"/>
  <c r="E187" i="6"/>
  <c r="D5" i="6" l="1"/>
  <c r="A19" i="6" l="1"/>
  <c r="A20" i="6"/>
  <c r="A21" i="6"/>
  <c r="A22" i="6"/>
  <c r="A23" i="6"/>
  <c r="A24" i="6"/>
  <c r="A25" i="6"/>
  <c r="A26" i="6"/>
  <c r="A28" i="6"/>
  <c r="A30" i="6"/>
  <c r="A18" i="6"/>
  <c r="E27" i="6" l="1"/>
  <c r="E23" i="6"/>
  <c r="E30" i="6"/>
  <c r="E26" i="6"/>
  <c r="E22" i="6"/>
  <c r="E29" i="6"/>
  <c r="E25" i="6"/>
  <c r="E21" i="6"/>
  <c r="A41" i="6"/>
  <c r="A54" i="6" s="1"/>
  <c r="E28" i="6"/>
  <c r="A37" i="6"/>
  <c r="E24" i="6"/>
  <c r="E20" i="6"/>
  <c r="E19" i="6"/>
  <c r="A50" i="6"/>
  <c r="A31" i="6"/>
  <c r="A33" i="6"/>
  <c r="A35" i="6"/>
  <c r="A39" i="6"/>
  <c r="A43" i="6"/>
  <c r="A32" i="6"/>
  <c r="A34" i="6"/>
  <c r="A36" i="6"/>
  <c r="A38" i="6"/>
  <c r="A40" i="6"/>
  <c r="A42" i="6"/>
  <c r="E54" i="6" l="1"/>
  <c r="E42" i="6"/>
  <c r="E34" i="6"/>
  <c r="E35" i="6"/>
  <c r="E40" i="6"/>
  <c r="E32" i="6"/>
  <c r="E33" i="6"/>
  <c r="E43" i="6"/>
  <c r="E38" i="6"/>
  <c r="E36" i="6"/>
  <c r="E39" i="6"/>
  <c r="E50" i="6"/>
  <c r="E37" i="6"/>
  <c r="E41" i="6"/>
  <c r="A51" i="6"/>
  <c r="A55" i="6"/>
  <c r="A47" i="6"/>
  <c r="A56" i="6"/>
  <c r="A44" i="6"/>
  <c r="A53" i="6"/>
  <c r="A45" i="6"/>
  <c r="A52" i="6"/>
  <c r="A46" i="6"/>
  <c r="A63" i="6"/>
  <c r="A48" i="6"/>
  <c r="A67" i="6"/>
  <c r="A49" i="6"/>
  <c r="E63" i="6" l="1"/>
  <c r="E53" i="6"/>
  <c r="E49" i="6"/>
  <c r="E46" i="6"/>
  <c r="E51" i="6"/>
  <c r="E67" i="6"/>
  <c r="E52" i="6"/>
  <c r="E56" i="6"/>
  <c r="E48" i="6"/>
  <c r="E45" i="6"/>
  <c r="E47" i="6"/>
  <c r="E55" i="6"/>
  <c r="A62" i="6"/>
  <c r="A59" i="6"/>
  <c r="A69" i="6"/>
  <c r="A76" i="6"/>
  <c r="A58" i="6"/>
  <c r="A64" i="6"/>
  <c r="A61" i="6"/>
  <c r="A65" i="6"/>
  <c r="A57" i="6"/>
  <c r="A68" i="6"/>
  <c r="A80" i="6"/>
  <c r="A66" i="6"/>
  <c r="A60" i="6"/>
  <c r="E68" i="6" l="1"/>
  <c r="E64" i="6"/>
  <c r="E59" i="6"/>
  <c r="E58" i="6"/>
  <c r="E66" i="6"/>
  <c r="E65" i="6"/>
  <c r="E76" i="6"/>
  <c r="E80" i="6"/>
  <c r="E61" i="6"/>
  <c r="E69" i="6"/>
  <c r="E60" i="6"/>
  <c r="E62" i="6"/>
  <c r="A77" i="6"/>
  <c r="A82" i="6"/>
  <c r="A81" i="6"/>
  <c r="A74" i="6"/>
  <c r="A89" i="6"/>
  <c r="A75" i="6"/>
  <c r="A73" i="6"/>
  <c r="A93" i="6"/>
  <c r="A78" i="6"/>
  <c r="A70" i="6"/>
  <c r="A79" i="6"/>
  <c r="A71" i="6"/>
  <c r="A72" i="6"/>
  <c r="E71" i="6" l="1"/>
  <c r="E79" i="6"/>
  <c r="E73" i="6"/>
  <c r="E81" i="6"/>
  <c r="E75" i="6"/>
  <c r="E82" i="6"/>
  <c r="E72" i="6"/>
  <c r="E78" i="6"/>
  <c r="E89" i="6"/>
  <c r="E77" i="6"/>
  <c r="E93" i="6"/>
  <c r="E74" i="6"/>
  <c r="A86" i="6"/>
  <c r="A85" i="6"/>
  <c r="A92" i="6"/>
  <c r="A106" i="6"/>
  <c r="A87" i="6"/>
  <c r="A91" i="6"/>
  <c r="A102" i="6"/>
  <c r="A90" i="6"/>
  <c r="A84" i="6"/>
  <c r="A88" i="6"/>
  <c r="A95" i="6"/>
  <c r="A83" i="6"/>
  <c r="A94" i="6"/>
  <c r="E88" i="6" l="1"/>
  <c r="E85" i="6"/>
  <c r="E84" i="6"/>
  <c r="E86" i="6"/>
  <c r="E106" i="6"/>
  <c r="E95" i="6"/>
  <c r="E102" i="6"/>
  <c r="E92" i="6"/>
  <c r="E91" i="6"/>
  <c r="E94" i="6"/>
  <c r="E87" i="6"/>
  <c r="E90" i="6"/>
  <c r="A100" i="6"/>
  <c r="A104" i="6"/>
  <c r="A98" i="6"/>
  <c r="A107" i="6"/>
  <c r="A101" i="6"/>
  <c r="A115" i="6"/>
  <c r="A105" i="6"/>
  <c r="A108" i="6"/>
  <c r="A103" i="6"/>
  <c r="A119" i="6"/>
  <c r="A99" i="6"/>
  <c r="A96" i="6"/>
  <c r="A97" i="6"/>
  <c r="E108" i="6" l="1"/>
  <c r="E107" i="6"/>
  <c r="E99" i="6"/>
  <c r="E105" i="6"/>
  <c r="E98" i="6"/>
  <c r="E119" i="6"/>
  <c r="E104" i="6"/>
  <c r="E103" i="6"/>
  <c r="E101" i="6"/>
  <c r="E100" i="6"/>
  <c r="E115" i="6"/>
  <c r="E97" i="6"/>
  <c r="A116" i="6"/>
  <c r="A110" i="6"/>
  <c r="A112" i="6"/>
  <c r="A118" i="6"/>
  <c r="A111" i="6"/>
  <c r="A121" i="6"/>
  <c r="A120" i="6"/>
  <c r="A113" i="6"/>
  <c r="A109" i="6"/>
  <c r="A114" i="6"/>
  <c r="A117" i="6"/>
  <c r="A132" i="6"/>
  <c r="A128" i="6"/>
  <c r="E117" i="6" l="1"/>
  <c r="E120" i="6"/>
  <c r="E112" i="6"/>
  <c r="E111" i="6"/>
  <c r="E114" i="6"/>
  <c r="E121" i="6"/>
  <c r="E110" i="6"/>
  <c r="E128" i="6"/>
  <c r="E116" i="6"/>
  <c r="E132" i="6"/>
  <c r="E113" i="6"/>
  <c r="E118" i="6"/>
  <c r="A130" i="6"/>
  <c r="A126" i="6"/>
  <c r="A145" i="6"/>
  <c r="A124" i="6"/>
  <c r="A123" i="6"/>
  <c r="A141" i="6"/>
  <c r="A122" i="6"/>
  <c r="A134" i="6"/>
  <c r="A125" i="6"/>
  <c r="A127" i="6"/>
  <c r="A133" i="6"/>
  <c r="A131" i="6"/>
  <c r="A129" i="6"/>
  <c r="E131" i="6" l="1"/>
  <c r="E134" i="6"/>
  <c r="E124" i="6"/>
  <c r="E133" i="6"/>
  <c r="E145" i="6"/>
  <c r="E127" i="6"/>
  <c r="E141" i="6"/>
  <c r="E126" i="6"/>
  <c r="E129" i="6"/>
  <c r="E125" i="6"/>
  <c r="E123" i="6"/>
  <c r="E130" i="6"/>
  <c r="A142" i="6"/>
  <c r="A138" i="6"/>
  <c r="A154" i="6"/>
  <c r="A140" i="6"/>
  <c r="A137" i="6"/>
  <c r="A143" i="6"/>
  <c r="A146" i="6"/>
  <c r="A135" i="6"/>
  <c r="A139" i="6"/>
  <c r="A144" i="6"/>
  <c r="A147" i="6"/>
  <c r="A136" i="6"/>
  <c r="A158" i="6"/>
  <c r="E144" i="6" l="1"/>
  <c r="E143" i="6"/>
  <c r="E139" i="6"/>
  <c r="E137" i="6"/>
  <c r="E136" i="6"/>
  <c r="E140" i="6"/>
  <c r="E147" i="6"/>
  <c r="E146" i="6"/>
  <c r="E154" i="6"/>
  <c r="E138" i="6"/>
  <c r="E158" i="6"/>
  <c r="E142" i="6"/>
  <c r="A171" i="6"/>
  <c r="A157" i="6"/>
  <c r="A159" i="6"/>
  <c r="A153" i="6"/>
  <c r="A160" i="6"/>
  <c r="A155" i="6"/>
  <c r="A148" i="6"/>
  <c r="A150" i="6"/>
  <c r="A151" i="6"/>
  <c r="A149" i="6"/>
  <c r="A152" i="6"/>
  <c r="A156" i="6"/>
  <c r="A167" i="6"/>
  <c r="E157" i="6" l="1"/>
  <c r="E156" i="6"/>
  <c r="E150" i="6"/>
  <c r="E153" i="6"/>
  <c r="E152" i="6"/>
  <c r="E159" i="6"/>
  <c r="E155" i="6"/>
  <c r="E167" i="6"/>
  <c r="E151" i="6"/>
  <c r="E160" i="6"/>
  <c r="E171" i="6"/>
  <c r="E149" i="6"/>
  <c r="A180" i="6"/>
  <c r="A161" i="6"/>
  <c r="A166" i="6"/>
  <c r="A162" i="6"/>
  <c r="A173" i="6"/>
  <c r="A184" i="6"/>
  <c r="A165" i="6"/>
  <c r="A163" i="6"/>
  <c r="A168" i="6"/>
  <c r="A170" i="6"/>
  <c r="A169" i="6"/>
  <c r="A164" i="6"/>
  <c r="A172" i="6"/>
  <c r="E172" i="6" l="1"/>
  <c r="E168" i="6"/>
  <c r="E173" i="6"/>
  <c r="E180" i="6"/>
  <c r="E164" i="6"/>
  <c r="E162" i="6"/>
  <c r="E169" i="6"/>
  <c r="E165" i="6"/>
  <c r="E166" i="6"/>
  <c r="E170" i="6"/>
  <c r="E184" i="6"/>
  <c r="E163" i="6"/>
  <c r="A183" i="6"/>
  <c r="A193" i="6"/>
  <c r="A175" i="6"/>
  <c r="A177" i="6"/>
  <c r="A186" i="6"/>
  <c r="A185" i="6"/>
  <c r="A181" i="6"/>
  <c r="A197" i="6"/>
  <c r="A179" i="6"/>
  <c r="A178" i="6"/>
  <c r="A182" i="6"/>
  <c r="A176" i="6"/>
  <c r="A174" i="6"/>
  <c r="E178" i="6" l="1"/>
  <c r="E185" i="6"/>
  <c r="E193" i="6"/>
  <c r="E176" i="6"/>
  <c r="E197" i="6"/>
  <c r="E177" i="6"/>
  <c r="E182" i="6"/>
  <c r="E181" i="6"/>
  <c r="E175" i="6"/>
  <c r="E179" i="6"/>
  <c r="E186" i="6"/>
  <c r="E183" i="6"/>
  <c r="A189" i="6"/>
  <c r="A187" i="6"/>
  <c r="A195" i="6"/>
  <c r="A194" i="6"/>
  <c r="A188" i="6"/>
  <c r="A190" i="6"/>
  <c r="A196" i="6"/>
  <c r="A192" i="6"/>
  <c r="A199" i="6"/>
  <c r="A191" i="6"/>
  <c r="A198" i="6"/>
  <c r="E198" i="6" l="1"/>
  <c r="E196" i="6"/>
  <c r="E195" i="6"/>
  <c r="E191" i="6"/>
  <c r="E190" i="6"/>
  <c r="E199" i="6"/>
  <c r="E188" i="6"/>
  <c r="E189" i="6"/>
  <c r="E192" i="6"/>
  <c r="E194" i="6"/>
</calcChain>
</file>

<file path=xl/sharedStrings.xml><?xml version="1.0" encoding="utf-8"?>
<sst xmlns="http://schemas.openxmlformats.org/spreadsheetml/2006/main" count="61" uniqueCount="54">
  <si>
    <t>字段名</t>
  </si>
  <si>
    <t>英文、小写、下划线分隔单词。如'weanpon_name'</t>
  </si>
  <si>
    <t>类型</t>
  </si>
  <si>
    <t>枚举参数：number（小数）、int（整数）、string（字符串）、key,注意：只有第一列类型可以取key。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</si>
  <si>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</si>
  <si>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</si>
  <si>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</si>
  <si>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</si>
  <si>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</si>
  <si>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</si>
  <si>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activity_cfg——活动表，活动相关参数配置。</t>
  </si>
  <si>
    <t>store_cfg——商城相关参数配置。</t>
  </si>
  <si>
    <t>int</t>
  </si>
  <si>
    <t>解锁需要材料</t>
    <phoneticPr fontId="5" type="noConversion"/>
  </si>
  <si>
    <t>float</t>
    <phoneticPr fontId="5" type="noConversion"/>
  </si>
  <si>
    <t>int</t>
    <phoneticPr fontId="5" type="noConversion"/>
  </si>
  <si>
    <t>float</t>
    <phoneticPr fontId="5" type="noConversion"/>
  </si>
  <si>
    <t>charm</t>
    <phoneticPr fontId="5" type="noConversion"/>
  </si>
  <si>
    <t>int</t>
    <phoneticPr fontId="5" type="noConversion"/>
  </si>
  <si>
    <t>魅力</t>
    <phoneticPr fontId="5" type="noConversion"/>
  </si>
  <si>
    <t>星级</t>
    <phoneticPr fontId="5" type="noConversion"/>
  </si>
  <si>
    <t>id</t>
    <phoneticPr fontId="5" type="noConversion"/>
  </si>
  <si>
    <t>获得特效</t>
    <phoneticPr fontId="5" type="noConversion"/>
  </si>
  <si>
    <t>奖金加成</t>
    <phoneticPr fontId="5" type="noConversion"/>
  </si>
  <si>
    <t>string</t>
    <phoneticPr fontId="5" type="noConversion"/>
  </si>
  <si>
    <t>皮肤id</t>
    <phoneticPr fontId="5" type="noConversion"/>
  </si>
  <si>
    <t>star</t>
    <phoneticPr fontId="5" type="noConversion"/>
  </si>
  <si>
    <t>捕鱼积分加成</t>
    <phoneticPr fontId="5" type="noConversion"/>
  </si>
  <si>
    <t>升级经验加成</t>
    <phoneticPr fontId="5" type="noConversion"/>
  </si>
  <si>
    <t>rank</t>
    <phoneticPr fontId="5" type="noConversion"/>
  </si>
  <si>
    <t>fishing</t>
    <phoneticPr fontId="5" type="noConversion"/>
  </si>
  <si>
    <t>exp</t>
    <phoneticPr fontId="5" type="noConversion"/>
  </si>
  <si>
    <t>power</t>
    <phoneticPr fontId="5" type="noConversion"/>
  </si>
  <si>
    <t>score</t>
    <phoneticPr fontId="5" type="noConversion"/>
  </si>
  <si>
    <t>属性说明</t>
    <phoneticPr fontId="5" type="noConversion"/>
  </si>
  <si>
    <t>description</t>
    <phoneticPr fontId="5" type="noConversion"/>
  </si>
  <si>
    <t>int</t>
    <phoneticPr fontId="5" type="noConversion"/>
  </si>
  <si>
    <t>golden</t>
    <phoneticPr fontId="5" type="noConversion"/>
  </si>
  <si>
    <t>powerspeed</t>
    <phoneticPr fontId="5" type="noConversion"/>
  </si>
  <si>
    <t>激光威力加成</t>
    <phoneticPr fontId="5" type="noConversion"/>
  </si>
  <si>
    <t>激光累积速度加成</t>
    <phoneticPr fontId="5" type="noConversion"/>
  </si>
  <si>
    <t>bounce</t>
    <phoneticPr fontId="5" type="noConversion"/>
  </si>
  <si>
    <t>比赛分数提高</t>
    <phoneticPr fontId="5" type="noConversion"/>
  </si>
  <si>
    <t>比赛胜点提高</t>
    <phoneticPr fontId="5" type="noConversion"/>
  </si>
  <si>
    <t>命中加成</t>
    <phoneticPr fontId="5" type="noConversion"/>
  </si>
  <si>
    <t>pct</t>
    <phoneticPr fontId="5" type="noConversion"/>
  </si>
  <si>
    <t>table</t>
    <phoneticPr fontId="5" type="noConversion"/>
  </si>
  <si>
    <t>需要金币</t>
    <phoneticPr fontId="5" type="noConversion"/>
  </si>
  <si>
    <t>cost</t>
    <phoneticPr fontId="5" type="noConversion"/>
  </si>
  <si>
    <t>item</t>
    <phoneticPr fontId="5" type="noConversion"/>
  </si>
  <si>
    <t>effect</t>
    <phoneticPr fontId="5" type="noConversion"/>
  </si>
  <si>
    <t>反弹次数</t>
    <phoneticPr fontId="5" type="noConversion"/>
  </si>
  <si>
    <t>int</t>
    <phoneticPr fontId="7" type="noConversion"/>
  </si>
  <si>
    <t>ALL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</si>
</sst>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indexed="8"/>
      <name val="宋体"/>
      <charset val="134"/>
    </font>
    <font>
      <sz val="11"/>
      <color indexed="8"/>
      <name val="微软雅黑"/>
      <family val="2"/>
      <charset val="134"/>
    </font>
    <font>
      <sz val="10"/>
      <color indexed="8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4" fillId="0" borderId="0"/>
    <xf numFmtId="0" fontId="3" fillId="0" borderId="0">
      <alignment vertical="center"/>
    </xf>
  </cellStyleXfs>
  <cellXfs count="22">
    <xf numFmtId="0" fontId="0" fillId="0" borderId="0" xfId="0" applyAlignment="1"/>
    <xf numFmtId="49" fontId="1" fillId="2" borderId="1" xfId="0" applyNumberFormat="1" applyFont="1" applyFill="1" applyBorder="1" applyAlignment="1">
      <alignment horizontal="center"/>
    </xf>
    <xf numFmtId="49" fontId="1" fillId="3" borderId="2" xfId="0" applyNumberFormat="1" applyFont="1" applyFill="1" applyBorder="1" applyAlignment="1">
      <alignment horizontal="center" vertical="center"/>
    </xf>
    <xf numFmtId="0" fontId="2" fillId="0" borderId="0" xfId="0" applyFont="1" applyAlignment="1"/>
    <xf numFmtId="0" fontId="2" fillId="0" borderId="0" xfId="0" applyFont="1" applyAlignment="1">
      <alignment vertical="center"/>
    </xf>
    <xf numFmtId="0" fontId="1" fillId="4" borderId="1" xfId="0" applyFont="1" applyFill="1" applyBorder="1" applyAlignment="1" applyProtection="1">
      <alignment horizontal="center"/>
    </xf>
    <xf numFmtId="0" fontId="1" fillId="5" borderId="3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2" fillId="0" borderId="0" xfId="0" applyNumberFormat="1" applyFont="1" applyAlignment="1"/>
    <xf numFmtId="0" fontId="6" fillId="6" borderId="0" xfId="0" applyFont="1" applyFill="1" applyAlignment="1">
      <alignment vertical="center" wrapText="1"/>
    </xf>
    <xf numFmtId="0" fontId="6" fillId="6" borderId="0" xfId="0" applyFont="1" applyFill="1" applyAlignment="1">
      <alignment vertical="center"/>
    </xf>
    <xf numFmtId="0" fontId="6" fillId="6" borderId="0" xfId="0" applyFont="1" applyFill="1" applyAlignment="1">
      <alignment horizontal="center" vertical="center"/>
    </xf>
    <xf numFmtId="49" fontId="8" fillId="7" borderId="1" xfId="2" applyNumberFormat="1" applyFont="1" applyFill="1" applyBorder="1" applyAlignment="1">
      <alignment horizontal="right"/>
    </xf>
    <xf numFmtId="49" fontId="8" fillId="7" borderId="1" xfId="2" applyNumberFormat="1" applyFont="1" applyFill="1" applyBorder="1" applyAlignment="1">
      <alignment horizontal="center"/>
    </xf>
    <xf numFmtId="0" fontId="6" fillId="7" borderId="1" xfId="0" applyFont="1" applyFill="1" applyBorder="1" applyAlignment="1">
      <alignment vertical="center"/>
    </xf>
    <xf numFmtId="49" fontId="8" fillId="8" borderId="1" xfId="0" applyNumberFormat="1" applyFont="1" applyFill="1" applyBorder="1" applyAlignment="1">
      <alignment horizontal="right" vertical="center"/>
    </xf>
    <xf numFmtId="49" fontId="8" fillId="8" borderId="1" xfId="0" applyNumberFormat="1" applyFont="1" applyFill="1" applyBorder="1" applyAlignment="1">
      <alignment horizontal="center" vertical="center"/>
    </xf>
    <xf numFmtId="0" fontId="6" fillId="8" borderId="1" xfId="0" applyFont="1" applyFill="1" applyBorder="1" applyAlignment="1">
      <alignment vertical="center"/>
    </xf>
    <xf numFmtId="0" fontId="0" fillId="0" borderId="0" xfId="0" applyNumberFormat="1" applyAlignment="1">
      <alignment vertical="top" wrapText="1"/>
    </xf>
    <xf numFmtId="0" fontId="0" fillId="0" borderId="0" xfId="0" applyNumberFormat="1" applyAlignment="1">
      <alignment vertical="top"/>
    </xf>
    <xf numFmtId="0" fontId="0" fillId="0" borderId="0" xfId="0" applyNumberFormat="1" applyAlignment="1"/>
  </cellXfs>
  <cellStyles count="3">
    <cellStyle name="常规" xfId="0" builtinId="0"/>
    <cellStyle name="常规 2" xfId="2" xr:uid="{00000000-0005-0000-0000-000001000000}"/>
    <cellStyle name="常规 2 2" xfId="1" xr:uid="{00000000-0005-0000-0000-000002000000}"/>
  </cellStyles>
  <dxfs count="18">
    <dxf>
      <font>
        <strike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</dxf>
    <dxf>
      <font>
        <strike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</dxf>
    <dxf>
      <font>
        <strike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</dxf>
    <dxf>
      <font>
        <strike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</dxf>
    <dxf>
      <font>
        <strike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</dxf>
    <dxf>
      <font>
        <strike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</dxf>
    <dxf>
      <font>
        <strike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</dxf>
    <dxf>
      <font>
        <strike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</dxf>
    <dxf>
      <font>
        <strike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</dxf>
    <dxf>
      <font>
        <strike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</dxf>
    <dxf>
      <font>
        <strike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  <alignment vertical="center" textRotation="0" wrapText="1" indent="0" justifyLastLine="0" shrinkToFit="0" readingOrder="0"/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0</xdr:rowOff>
    </xdr:from>
    <xdr:to>
      <xdr:col>0</xdr:col>
      <xdr:colOff>295275</xdr:colOff>
      <xdr:row>3</xdr:row>
      <xdr:rowOff>0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0002979B-AED9-4BF2-ACFB-67A8FB2C5347}"/>
            </a:ext>
          </a:extLst>
        </xdr:cNvPr>
        <xdr:cNvSpPr/>
      </xdr:nvSpPr>
      <xdr:spPr>
        <a:xfrm>
          <a:off x="9525" y="0"/>
          <a:ext cx="285750" cy="457200"/>
        </a:xfrm>
        <a:prstGeom prst="rect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表3_3" displayName="表3_3" ref="A4:P199" totalsRowShown="0" headerRowDxfId="17" dataDxfId="16">
  <autoFilter ref="A4:P199" xr:uid="{00000000-0009-0000-0100-000002000000}"/>
  <tableColumns count="16">
    <tableColumn id="1" xr3:uid="{00000000-0010-0000-0200-000001000000}" name="皮肤id" dataDxfId="15"/>
    <tableColumn id="2" xr3:uid="{00000000-0010-0000-0200-000002000000}" name="星级" dataDxfId="14"/>
    <tableColumn id="11" xr3:uid="{00000000-0010-0000-0200-00000B000000}" name="魅力" dataDxfId="13"/>
    <tableColumn id="3" xr3:uid="{00000000-0010-0000-0200-000003000000}" name="需要金币" dataDxfId="12">
      <calculatedColumnFormula>表3_3[[#This Row],[星级]]^2*20000+20000*表3_3[[#This Row],[星级]]</calculatedColumnFormula>
    </tableColumn>
    <tableColumn id="8" xr3:uid="{00000000-0010-0000-0200-000008000000}" name="解锁需要材料" dataDxfId="11">
      <calculatedColumnFormula>"["&amp;IF(表3_3[[#This Row],[星级]]=0,"","""w"&amp;500+表3_3[[#This Row],[皮肤id]]&amp;""","&amp;VLOOKUP(表3_3[[#This Row],[星级]],description!$C$1:$D$13,2,FALSE))&amp;"]"</calculatedColumnFormula>
    </tableColumn>
    <tableColumn id="9" xr3:uid="{00000000-0010-0000-0200-000009000000}" name="获得特效" dataDxfId="1">
      <calculatedColumnFormula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calculatedColumnFormula>
    </tableColumn>
    <tableColumn id="4" xr3:uid="{00000000-0010-0000-0200-000004000000}" name="奖金加成" dataDxfId="10"/>
    <tableColumn id="5" xr3:uid="{00000000-0010-0000-0200-000005000000}" name="比赛分数提高" dataDxfId="9"/>
    <tableColumn id="6" xr3:uid="{00000000-0010-0000-0200-000006000000}" name="比赛胜点提高" dataDxfId="8"/>
    <tableColumn id="7" xr3:uid="{00000000-0010-0000-0200-000007000000}" name="捕鱼积分加成" dataDxfId="7"/>
    <tableColumn id="10" xr3:uid="{00000000-0010-0000-0200-00000A000000}" name="升级经验加成" dataDxfId="6"/>
    <tableColumn id="12" xr3:uid="{00000000-0010-0000-0200-00000C000000}" name="激光累积速度加成" dataDxfId="5"/>
    <tableColumn id="15" xr3:uid="{00000000-0010-0000-0200-00000F000000}" name="激光威力加成" dataDxfId="4"/>
    <tableColumn id="16" xr3:uid="{00000000-0010-0000-0200-000010000000}" name="反弹次数" dataDxfId="3"/>
    <tableColumn id="17" xr3:uid="{00000000-0010-0000-0200-000011000000}" name="命中加成" dataDxfId="2"/>
    <tableColumn id="13" xr3:uid="{00000000-0010-0000-0200-00000D000000}" name="属性说明" dataDxfId="0">
      <calculatedColumnFormula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calculatedColumnFormula>
    </tableColumn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53"/>
  <sheetViews>
    <sheetView workbookViewId="0">
      <selection activeCell="D2" sqref="D2:D13"/>
    </sheetView>
  </sheetViews>
  <sheetFormatPr defaultColWidth="9" defaultRowHeight="13.5" x14ac:dyDescent="0.15"/>
  <cols>
    <col min="1" max="1" width="39.5" customWidth="1"/>
    <col min="2" max="2" width="85.125" customWidth="1"/>
  </cols>
  <sheetData>
    <row r="1" spans="1:4" ht="16.5" x14ac:dyDescent="0.3">
      <c r="A1" s="1" t="s">
        <v>0</v>
      </c>
      <c r="B1" t="s">
        <v>1</v>
      </c>
      <c r="C1">
        <v>0</v>
      </c>
      <c r="D1">
        <v>0</v>
      </c>
    </row>
    <row r="2" spans="1:4" ht="16.5" x14ac:dyDescent="0.15">
      <c r="A2" s="2" t="s">
        <v>2</v>
      </c>
      <c r="B2" t="s">
        <v>3</v>
      </c>
      <c r="C2">
        <v>1</v>
      </c>
      <c r="D2">
        <v>5</v>
      </c>
    </row>
    <row r="3" spans="1:4" ht="16.5" x14ac:dyDescent="0.3">
      <c r="A3" s="5" t="s">
        <v>4</v>
      </c>
      <c r="B3" t="s">
        <v>5</v>
      </c>
      <c r="C3">
        <v>2</v>
      </c>
      <c r="D3">
        <v>10</v>
      </c>
    </row>
    <row r="4" spans="1:4" ht="16.5" x14ac:dyDescent="0.15">
      <c r="A4" s="6" t="s">
        <v>6</v>
      </c>
      <c r="B4" t="s">
        <v>7</v>
      </c>
      <c r="C4">
        <v>3</v>
      </c>
      <c r="D4">
        <v>20</v>
      </c>
    </row>
    <row r="5" spans="1:4" x14ac:dyDescent="0.15">
      <c r="C5">
        <v>4</v>
      </c>
      <c r="D5">
        <v>30</v>
      </c>
    </row>
    <row r="6" spans="1:4" x14ac:dyDescent="0.15">
      <c r="A6" s="19" t="s">
        <v>8</v>
      </c>
      <c r="B6" s="20"/>
      <c r="C6">
        <v>5</v>
      </c>
      <c r="D6">
        <v>60</v>
      </c>
    </row>
    <row r="7" spans="1:4" x14ac:dyDescent="0.15">
      <c r="A7" s="20"/>
      <c r="B7" s="20"/>
      <c r="C7">
        <v>6</v>
      </c>
      <c r="D7">
        <v>100</v>
      </c>
    </row>
    <row r="8" spans="1:4" x14ac:dyDescent="0.15">
      <c r="A8" s="20"/>
      <c r="B8" s="20"/>
      <c r="C8">
        <v>7</v>
      </c>
      <c r="D8">
        <v>150</v>
      </c>
    </row>
    <row r="9" spans="1:4" x14ac:dyDescent="0.15">
      <c r="A9" s="20"/>
      <c r="B9" s="20"/>
      <c r="C9">
        <v>8</v>
      </c>
      <c r="D9">
        <v>200</v>
      </c>
    </row>
    <row r="10" spans="1:4" x14ac:dyDescent="0.15">
      <c r="A10" s="20"/>
      <c r="B10" s="20"/>
      <c r="C10">
        <v>9</v>
      </c>
      <c r="D10">
        <v>300</v>
      </c>
    </row>
    <row r="11" spans="1:4" x14ac:dyDescent="0.15">
      <c r="A11" s="20"/>
      <c r="B11" s="20"/>
      <c r="C11">
        <v>10</v>
      </c>
      <c r="D11">
        <v>400</v>
      </c>
    </row>
    <row r="12" spans="1:4" x14ac:dyDescent="0.15">
      <c r="A12" s="20"/>
      <c r="B12" s="20"/>
      <c r="C12">
        <v>11</v>
      </c>
      <c r="D12">
        <v>600</v>
      </c>
    </row>
    <row r="13" spans="1:4" x14ac:dyDescent="0.15">
      <c r="A13" s="20"/>
      <c r="B13" s="20"/>
      <c r="C13">
        <v>12</v>
      </c>
      <c r="D13">
        <v>800</v>
      </c>
    </row>
    <row r="14" spans="1:4" x14ac:dyDescent="0.15">
      <c r="A14" s="20"/>
      <c r="B14" s="20"/>
    </row>
    <row r="15" spans="1:4" x14ac:dyDescent="0.15">
      <c r="A15" s="20"/>
      <c r="B15" s="20"/>
    </row>
    <row r="16" spans="1:4" ht="13.15" customHeight="1" x14ac:dyDescent="0.15">
      <c r="A16" s="20"/>
      <c r="B16" s="20"/>
    </row>
    <row r="17" spans="1:2" ht="4.1500000000000004" customHeight="1" x14ac:dyDescent="0.15">
      <c r="A17" s="20"/>
      <c r="B17" s="20"/>
    </row>
    <row r="18" spans="1:2" hidden="1" x14ac:dyDescent="0.15">
      <c r="A18" s="20"/>
      <c r="B18" s="20"/>
    </row>
    <row r="19" spans="1:2" hidden="1" x14ac:dyDescent="0.15">
      <c r="A19" s="20"/>
      <c r="B19" s="20"/>
    </row>
    <row r="20" spans="1:2" hidden="1" x14ac:dyDescent="0.15">
      <c r="A20" s="20"/>
      <c r="B20" s="20"/>
    </row>
    <row r="21" spans="1:2" ht="22.9" customHeight="1" x14ac:dyDescent="0.15">
      <c r="A21" s="20"/>
      <c r="B21" s="20"/>
    </row>
    <row r="22" spans="1:2" ht="45" hidden="1" customHeight="1" x14ac:dyDescent="0.15">
      <c r="A22" s="20"/>
      <c r="B22" s="20"/>
    </row>
    <row r="23" spans="1:2" ht="51" hidden="1" customHeight="1" x14ac:dyDescent="0.15">
      <c r="A23" s="20"/>
      <c r="B23" s="20"/>
    </row>
    <row r="24" spans="1:2" x14ac:dyDescent="0.15">
      <c r="A24" s="21" t="s">
        <v>9</v>
      </c>
      <c r="B24" s="21"/>
    </row>
    <row r="25" spans="1:2" x14ac:dyDescent="0.15">
      <c r="A25" s="21" t="s">
        <v>10</v>
      </c>
      <c r="B25" s="21"/>
    </row>
    <row r="26" spans="1:2" x14ac:dyDescent="0.15">
      <c r="A26" s="21" t="s">
        <v>11</v>
      </c>
      <c r="B26" s="21"/>
    </row>
    <row r="27" spans="1:2" x14ac:dyDescent="0.15">
      <c r="A27" s="21"/>
      <c r="B27" s="21"/>
    </row>
    <row r="28" spans="1:2" x14ac:dyDescent="0.15">
      <c r="A28" s="21"/>
      <c r="B28" s="21"/>
    </row>
    <row r="29" spans="1:2" x14ac:dyDescent="0.15">
      <c r="A29" s="21"/>
      <c r="B29" s="21"/>
    </row>
    <row r="30" spans="1:2" x14ac:dyDescent="0.15">
      <c r="A30" s="21"/>
      <c r="B30" s="21"/>
    </row>
    <row r="31" spans="1:2" x14ac:dyDescent="0.15">
      <c r="A31" s="21"/>
      <c r="B31" s="21"/>
    </row>
    <row r="32" spans="1:2" x14ac:dyDescent="0.15">
      <c r="A32" s="21"/>
      <c r="B32" s="21"/>
    </row>
    <row r="33" spans="1:2" x14ac:dyDescent="0.15">
      <c r="A33" s="21"/>
      <c r="B33" s="21"/>
    </row>
    <row r="34" spans="1:2" x14ac:dyDescent="0.15">
      <c r="A34" s="21"/>
      <c r="B34" s="21"/>
    </row>
    <row r="35" spans="1:2" x14ac:dyDescent="0.15">
      <c r="A35" s="21"/>
      <c r="B35" s="21"/>
    </row>
    <row r="36" spans="1:2" x14ac:dyDescent="0.15">
      <c r="A36" s="21"/>
      <c r="B36" s="21"/>
    </row>
    <row r="37" spans="1:2" x14ac:dyDescent="0.15">
      <c r="A37" s="21"/>
      <c r="B37" s="21"/>
    </row>
    <row r="38" spans="1:2" x14ac:dyDescent="0.15">
      <c r="A38" s="21"/>
      <c r="B38" s="21"/>
    </row>
    <row r="39" spans="1:2" x14ac:dyDescent="0.15">
      <c r="A39" s="21"/>
      <c r="B39" s="21"/>
    </row>
    <row r="40" spans="1:2" x14ac:dyDescent="0.15">
      <c r="A40" s="21"/>
      <c r="B40" s="21"/>
    </row>
    <row r="41" spans="1:2" x14ac:dyDescent="0.15">
      <c r="A41" s="21"/>
      <c r="B41" s="21"/>
    </row>
    <row r="42" spans="1:2" x14ac:dyDescent="0.15">
      <c r="A42" s="21"/>
      <c r="B42" s="21"/>
    </row>
    <row r="43" spans="1:2" x14ac:dyDescent="0.15">
      <c r="A43" s="21"/>
      <c r="B43" s="21"/>
    </row>
    <row r="44" spans="1:2" x14ac:dyDescent="0.15">
      <c r="A44" s="21"/>
      <c r="B44" s="21"/>
    </row>
    <row r="45" spans="1:2" x14ac:dyDescent="0.15">
      <c r="A45" s="21"/>
      <c r="B45" s="21"/>
    </row>
    <row r="46" spans="1:2" x14ac:dyDescent="0.15">
      <c r="A46" s="21"/>
      <c r="B46" s="21"/>
    </row>
    <row r="47" spans="1:2" x14ac:dyDescent="0.15">
      <c r="A47" s="21"/>
      <c r="B47" s="21"/>
    </row>
    <row r="48" spans="1:2" x14ac:dyDescent="0.15">
      <c r="A48" s="21"/>
      <c r="B48" s="21"/>
    </row>
    <row r="49" spans="1:2" x14ac:dyDescent="0.15">
      <c r="A49" s="21"/>
      <c r="B49" s="21"/>
    </row>
    <row r="50" spans="1:2" x14ac:dyDescent="0.15">
      <c r="A50" s="21"/>
      <c r="B50" s="21"/>
    </row>
    <row r="51" spans="1:2" x14ac:dyDescent="0.15">
      <c r="A51" s="21"/>
      <c r="B51" s="21"/>
    </row>
    <row r="52" spans="1:2" x14ac:dyDescent="0.15">
      <c r="A52" s="21"/>
      <c r="B52" s="21"/>
    </row>
    <row r="53" spans="1:2" x14ac:dyDescent="0.15">
      <c r="A53" s="21"/>
      <c r="B53" s="21"/>
    </row>
  </sheetData>
  <mergeCells count="31">
    <mergeCell ref="A30:B30"/>
    <mergeCell ref="A31:B31"/>
    <mergeCell ref="A32:B32"/>
    <mergeCell ref="A33:B33"/>
    <mergeCell ref="A24:B24"/>
    <mergeCell ref="A25:B25"/>
    <mergeCell ref="A26:B26"/>
    <mergeCell ref="A27:B27"/>
    <mergeCell ref="A28:B28"/>
    <mergeCell ref="A53:B53"/>
    <mergeCell ref="A44:B44"/>
    <mergeCell ref="A45:B45"/>
    <mergeCell ref="A46:B46"/>
    <mergeCell ref="A47:B47"/>
    <mergeCell ref="A48:B48"/>
    <mergeCell ref="A6:B23"/>
    <mergeCell ref="A49:B49"/>
    <mergeCell ref="A50:B50"/>
    <mergeCell ref="A51:B51"/>
    <mergeCell ref="A52:B52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</mergeCells>
  <phoneticPr fontId="5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A199"/>
  <sheetViews>
    <sheetView tabSelected="1" workbookViewId="0">
      <pane xSplit="1" ySplit="4" topLeftCell="B5" activePane="bottomRight" state="frozenSplit"/>
      <selection pane="topRight" activeCell="C1" sqref="C1"/>
      <selection pane="bottomLeft" activeCell="A4" sqref="A4"/>
      <selection pane="bottomRight" activeCell="F11" sqref="F11"/>
    </sheetView>
  </sheetViews>
  <sheetFormatPr defaultColWidth="9" defaultRowHeight="13.5" x14ac:dyDescent="0.15"/>
  <cols>
    <col min="1" max="1" width="12.375" customWidth="1"/>
    <col min="2" max="2" width="13.375" customWidth="1"/>
    <col min="3" max="3" width="7.75" bestFit="1" customWidth="1"/>
    <col min="4" max="4" width="9.375" customWidth="1"/>
    <col min="5" max="5" width="16.625" bestFit="1" customWidth="1"/>
    <col min="6" max="6" width="25.375" customWidth="1"/>
    <col min="7" max="7" width="7.125" customWidth="1"/>
    <col min="8" max="8" width="7.25" customWidth="1"/>
    <col min="9" max="9" width="7.5" customWidth="1"/>
    <col min="10" max="10" width="7.75" customWidth="1"/>
    <col min="11" max="11" width="8.125" customWidth="1"/>
    <col min="12" max="12" width="10.375" customWidth="1"/>
    <col min="13" max="13" width="7.625" customWidth="1"/>
    <col min="14" max="14" width="5.875" customWidth="1"/>
    <col min="15" max="15" width="7" bestFit="1" customWidth="1"/>
    <col min="16" max="16" width="18.375" bestFit="1" customWidth="1"/>
  </cols>
  <sheetData>
    <row r="1" spans="1:27" s="11" customFormat="1" ht="12" customHeight="1" x14ac:dyDescent="0.15">
      <c r="A1" s="10"/>
      <c r="B1" s="11" t="s">
        <v>53</v>
      </c>
      <c r="C1" s="10"/>
      <c r="X1" s="12"/>
    </row>
    <row r="2" spans="1:27" s="15" customFormat="1" ht="12" customHeight="1" x14ac:dyDescent="0.15">
      <c r="A2" s="13" t="s">
        <v>21</v>
      </c>
      <c r="B2" s="14" t="s">
        <v>26</v>
      </c>
      <c r="C2" s="14" t="s">
        <v>17</v>
      </c>
      <c r="D2" s="14" t="s">
        <v>48</v>
      </c>
      <c r="E2" s="14" t="s">
        <v>49</v>
      </c>
      <c r="F2" s="14" t="s">
        <v>50</v>
      </c>
      <c r="G2" s="14" t="s">
        <v>37</v>
      </c>
      <c r="H2" s="14" t="s">
        <v>33</v>
      </c>
      <c r="I2" s="14" t="s">
        <v>29</v>
      </c>
      <c r="J2" s="14" t="s">
        <v>30</v>
      </c>
      <c r="K2" s="14" t="s">
        <v>31</v>
      </c>
      <c r="L2" s="14" t="s">
        <v>38</v>
      </c>
      <c r="M2" s="14" t="s">
        <v>32</v>
      </c>
      <c r="N2" s="14" t="s">
        <v>41</v>
      </c>
      <c r="O2" s="14" t="s">
        <v>45</v>
      </c>
      <c r="P2" s="14" t="s">
        <v>35</v>
      </c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</row>
    <row r="3" spans="1:27" s="18" customFormat="1" ht="12" customHeight="1" x14ac:dyDescent="0.15">
      <c r="A3" s="16" t="s">
        <v>52</v>
      </c>
      <c r="B3" s="17" t="s">
        <v>15</v>
      </c>
      <c r="C3" s="17" t="s">
        <v>18</v>
      </c>
      <c r="D3" s="17" t="s">
        <v>12</v>
      </c>
      <c r="E3" s="17" t="s">
        <v>46</v>
      </c>
      <c r="F3" s="17" t="s">
        <v>46</v>
      </c>
      <c r="G3" s="17" t="s">
        <v>14</v>
      </c>
      <c r="H3" s="17" t="s">
        <v>18</v>
      </c>
      <c r="I3" s="17" t="s">
        <v>36</v>
      </c>
      <c r="J3" s="17" t="s">
        <v>14</v>
      </c>
      <c r="K3" s="17" t="s">
        <v>14</v>
      </c>
      <c r="L3" s="17" t="s">
        <v>14</v>
      </c>
      <c r="M3" s="17" t="s">
        <v>14</v>
      </c>
      <c r="N3" s="17" t="s">
        <v>36</v>
      </c>
      <c r="O3" s="17" t="s">
        <v>16</v>
      </c>
      <c r="P3" s="17" t="s">
        <v>24</v>
      </c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</row>
    <row r="4" spans="1:27" ht="24" x14ac:dyDescent="0.15">
      <c r="A4" s="7" t="s">
        <v>25</v>
      </c>
      <c r="B4" s="7" t="s">
        <v>20</v>
      </c>
      <c r="C4" s="8" t="s">
        <v>19</v>
      </c>
      <c r="D4" s="8" t="s">
        <v>47</v>
      </c>
      <c r="E4" s="8" t="s">
        <v>13</v>
      </c>
      <c r="F4" s="8" t="s">
        <v>22</v>
      </c>
      <c r="G4" s="8" t="s">
        <v>23</v>
      </c>
      <c r="H4" s="8" t="s">
        <v>42</v>
      </c>
      <c r="I4" s="8" t="s">
        <v>43</v>
      </c>
      <c r="J4" s="8" t="s">
        <v>27</v>
      </c>
      <c r="K4" s="8" t="s">
        <v>28</v>
      </c>
      <c r="L4" s="8" t="s">
        <v>40</v>
      </c>
      <c r="M4" s="8" t="s">
        <v>39</v>
      </c>
      <c r="N4" s="8" t="s">
        <v>51</v>
      </c>
      <c r="O4" s="8" t="s">
        <v>44</v>
      </c>
      <c r="P4" s="8" t="s">
        <v>34</v>
      </c>
    </row>
    <row r="5" spans="1:27" x14ac:dyDescent="0.15">
      <c r="A5" s="3">
        <v>1</v>
      </c>
      <c r="B5" s="3">
        <v>0</v>
      </c>
      <c r="C5" s="3">
        <v>0</v>
      </c>
      <c r="D5" s="3">
        <f>表3_3[[#This Row],[星级]]^2*20000+20000*表3_3[[#This Row],[星级]]</f>
        <v>0</v>
      </c>
      <c r="E5" s="3" t="str">
        <f>"["&amp;IF(表3_3[[#This Row],[星级]]=0,"","""w"&amp;500+表3_3[[#This Row],[皮肤id]]&amp;""","&amp;VLOOKUP(表3_3[[#This Row],[星级]],description!$C$1:$D$13,2,FALSE))&amp;"]"</f>
        <v>[]</v>
      </c>
      <c r="F5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["","",""]</v>
      </c>
      <c r="G5" s="3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M5" s="3">
        <v>0</v>
      </c>
      <c r="N5" s="3">
        <v>0</v>
      </c>
      <c r="O5" s="3">
        <v>0</v>
      </c>
      <c r="P5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6" spans="1:27" x14ac:dyDescent="0.15">
      <c r="A6" s="3">
        <v>1</v>
      </c>
      <c r="B6" s="3">
        <v>1</v>
      </c>
      <c r="C6" s="3">
        <v>30</v>
      </c>
      <c r="D6" s="3">
        <v>50000</v>
      </c>
      <c r="E6" s="3" t="str">
        <f>"["&amp;IF(表3_3[[#This Row],[星级]]=0,"","""w"&amp;500+表3_3[[#This Row],[皮肤id]]&amp;""","&amp;VLOOKUP(表3_3[[#This Row],[星级]],description!$C$1:$D$13,2,FALSE))&amp;"]"</f>
        <v>["w501",5]</v>
      </c>
      <c r="F6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["","",""]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M6" s="3">
        <v>0</v>
      </c>
      <c r="N6" s="3">
        <v>1</v>
      </c>
      <c r="O6" s="3">
        <v>4.0000000000000001E-3</v>
      </c>
      <c r="P6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7" spans="1:27" x14ac:dyDescent="0.15">
      <c r="A7" s="3">
        <v>1</v>
      </c>
      <c r="B7" s="3">
        <v>2</v>
      </c>
      <c r="C7" s="3">
        <v>60</v>
      </c>
      <c r="D7" s="3">
        <v>200000</v>
      </c>
      <c r="E7" s="3" t="str">
        <f>"["&amp;IF(表3_3[[#This Row],[星级]]=0,"","""w"&amp;500+表3_3[[#This Row],[皮肤id]]&amp;""","&amp;VLOOKUP(表3_3[[#This Row],[星级]],description!$C$1:$D$13,2,FALSE))&amp;"]"</f>
        <v>["w501",10]</v>
      </c>
      <c r="F7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["01z1","",""]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M7" s="3">
        <v>0</v>
      </c>
      <c r="N7" s="3">
        <v>1</v>
      </c>
      <c r="O7" s="3">
        <v>4.0000000000000001E-3</v>
      </c>
      <c r="P7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weapons_effect_a_1</v>
      </c>
    </row>
    <row r="8" spans="1:27" x14ac:dyDescent="0.15">
      <c r="A8" s="3">
        <v>1</v>
      </c>
      <c r="B8" s="3">
        <v>3</v>
      </c>
      <c r="C8" s="3">
        <v>90</v>
      </c>
      <c r="D8" s="3">
        <v>400000</v>
      </c>
      <c r="E8" s="3" t="str">
        <f>"["&amp;IF(表3_3[[#This Row],[星级]]=0,"","""w"&amp;500+表3_3[[#This Row],[皮肤id]]&amp;""","&amp;VLOOKUP(表3_3[[#This Row],[星级]],description!$C$1:$D$13,2,FALSE))&amp;"]"</f>
        <v>["w501",20]</v>
      </c>
      <c r="F8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["01z1","",""]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M8" s="3">
        <v>0</v>
      </c>
      <c r="N8" s="3">
        <v>1</v>
      </c>
      <c r="O8" s="3">
        <v>4.0000000000000001E-3</v>
      </c>
      <c r="P8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weapons_effect_a_1</v>
      </c>
    </row>
    <row r="9" spans="1:27" x14ac:dyDescent="0.15">
      <c r="A9" s="3">
        <v>1</v>
      </c>
      <c r="B9" s="3">
        <v>4</v>
      </c>
      <c r="C9" s="3">
        <v>120</v>
      </c>
      <c r="D9" s="3">
        <v>600000</v>
      </c>
      <c r="E9" s="3" t="str">
        <f>"["&amp;IF(表3_3[[#This Row],[星级]]=0,"","""w"&amp;500+表3_3[[#This Row],[皮肤id]]&amp;""","&amp;VLOOKUP(表3_3[[#This Row],[星级]],description!$C$1:$D$13,2,FALSE))&amp;"]"</f>
        <v>["w501",30]</v>
      </c>
      <c r="F9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["01z1","",""]</v>
      </c>
      <c r="G9" s="3">
        <v>0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M9" s="3">
        <v>0</v>
      </c>
      <c r="N9" s="3">
        <v>2</v>
      </c>
      <c r="O9" s="3">
        <v>5.0000000000000001E-3</v>
      </c>
      <c r="P9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weapons_effect_a_1</v>
      </c>
    </row>
    <row r="10" spans="1:27" x14ac:dyDescent="0.15">
      <c r="A10" s="3">
        <v>1</v>
      </c>
      <c r="B10" s="3">
        <v>5</v>
      </c>
      <c r="C10" s="3">
        <v>150</v>
      </c>
      <c r="D10" s="3">
        <v>800000</v>
      </c>
      <c r="E10" s="3" t="str">
        <f>"["&amp;IF(表3_3[[#This Row],[星级]]=0,"","""w"&amp;500+表3_3[[#This Row],[皮肤id]]&amp;""","&amp;VLOOKUP(表3_3[[#This Row],[星级]],description!$C$1:$D$13,2,FALSE))&amp;"]"</f>
        <v>["w501",60]</v>
      </c>
      <c r="F10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["01z1","wp_star_01",""]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0</v>
      </c>
      <c r="N10" s="3">
        <v>2</v>
      </c>
      <c r="O10" s="3">
        <v>5.0000000000000001E-3</v>
      </c>
      <c r="P10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weapons_effect_b_1</v>
      </c>
    </row>
    <row r="11" spans="1:27" x14ac:dyDescent="0.15">
      <c r="A11" s="3">
        <v>1</v>
      </c>
      <c r="B11" s="3">
        <v>6</v>
      </c>
      <c r="C11" s="3">
        <v>180</v>
      </c>
      <c r="D11" s="3">
        <v>1000000</v>
      </c>
      <c r="E11" s="3" t="str">
        <f>"["&amp;IF(表3_3[[#This Row],[星级]]=0,"","""w"&amp;500+表3_3[[#This Row],[皮肤id]]&amp;""","&amp;VLOOKUP(表3_3[[#This Row],[星级]],description!$C$1:$D$13,2,FALSE))&amp;"]"</f>
        <v>["w501",100]</v>
      </c>
      <c r="F11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["01z1","wp_star_01",""]</v>
      </c>
      <c r="G11" s="3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M11" s="3">
        <v>0</v>
      </c>
      <c r="N11" s="3">
        <v>2</v>
      </c>
      <c r="O11" s="3">
        <v>5.0000000000000001E-3</v>
      </c>
      <c r="P11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weapons_effect_b_1</v>
      </c>
    </row>
    <row r="12" spans="1:27" x14ac:dyDescent="0.15">
      <c r="A12" s="3">
        <v>1</v>
      </c>
      <c r="B12" s="3">
        <v>7</v>
      </c>
      <c r="C12" s="3">
        <v>210</v>
      </c>
      <c r="D12" s="3">
        <v>1500000</v>
      </c>
      <c r="E12" s="3" t="str">
        <f>"["&amp;IF(表3_3[[#This Row],[星级]]=0,"","""w"&amp;500+表3_3[[#This Row],[皮肤id]]&amp;""","&amp;VLOOKUP(表3_3[[#This Row],[星级]],description!$C$1:$D$13,2,FALSE))&amp;"]"</f>
        <v>["w501",150]</v>
      </c>
      <c r="F12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["01z1","wp_star_01",""]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0</v>
      </c>
      <c r="N12" s="3">
        <v>3</v>
      </c>
      <c r="O12" s="3">
        <v>6.0000000000000001E-3</v>
      </c>
      <c r="P12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weapons_effect_b_1</v>
      </c>
    </row>
    <row r="13" spans="1:27" x14ac:dyDescent="0.15">
      <c r="A13" s="3">
        <v>1</v>
      </c>
      <c r="B13" s="3">
        <v>8</v>
      </c>
      <c r="C13" s="3">
        <v>240</v>
      </c>
      <c r="D13" s="3">
        <v>2000000</v>
      </c>
      <c r="E13" s="3" t="str">
        <f>"["&amp;IF(表3_3[[#This Row],[星级]]=0,"","""w"&amp;500+表3_3[[#This Row],[皮肤id]]&amp;""","&amp;VLOOKUP(表3_3[[#This Row],[星级]],description!$C$1:$D$13,2,FALSE))&amp;"]"</f>
        <v>["w501",200]</v>
      </c>
      <c r="F13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["01z1","wp_star_01","3jie"]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3</v>
      </c>
      <c r="O13" s="3">
        <v>6.0000000000000001E-3</v>
      </c>
      <c r="P13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14" spans="1:27" x14ac:dyDescent="0.15">
      <c r="A14" s="3">
        <v>1</v>
      </c>
      <c r="B14" s="3">
        <v>9</v>
      </c>
      <c r="C14" s="3">
        <v>300</v>
      </c>
      <c r="D14" s="3">
        <v>2500000</v>
      </c>
      <c r="E14" s="3" t="str">
        <f>"["&amp;IF(表3_3[[#This Row],[星级]]=0,"","""w"&amp;500+表3_3[[#This Row],[皮肤id]]&amp;""","&amp;VLOOKUP(表3_3[[#This Row],[星级]],description!$C$1:$D$13,2,FALSE))&amp;"]"</f>
        <v>["w501",300]</v>
      </c>
      <c r="F14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["01z1","wp_star_01","3jie"]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0</v>
      </c>
      <c r="N14" s="3">
        <v>4</v>
      </c>
      <c r="O14" s="3">
        <v>8.0000000000000002E-3</v>
      </c>
      <c r="P14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15" spans="1:27" x14ac:dyDescent="0.15">
      <c r="A15" s="3">
        <v>1</v>
      </c>
      <c r="B15" s="3">
        <v>10</v>
      </c>
      <c r="C15" s="3">
        <v>360</v>
      </c>
      <c r="D15" s="3">
        <v>3000000</v>
      </c>
      <c r="E15" s="3" t="str">
        <f>"["&amp;IF(表3_3[[#This Row],[星级]]=0,"","""w"&amp;500+表3_3[[#This Row],[皮肤id]]&amp;""","&amp;VLOOKUP(表3_3[[#This Row],[星级]],description!$C$1:$D$13,2,FALSE))&amp;"]"</f>
        <v>["w501",400]</v>
      </c>
      <c r="F15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["01z1","wp_star_01","3jie"]</v>
      </c>
      <c r="G15" s="3">
        <v>0</v>
      </c>
      <c r="H15" s="3">
        <v>0</v>
      </c>
      <c r="I15" s="3">
        <v>0</v>
      </c>
      <c r="J15" s="3">
        <v>0</v>
      </c>
      <c r="K15" s="3">
        <v>0</v>
      </c>
      <c r="L15" s="3">
        <v>0</v>
      </c>
      <c r="M15" s="3">
        <v>0</v>
      </c>
      <c r="N15" s="3">
        <v>4</v>
      </c>
      <c r="O15" s="3">
        <v>8.0000000000000002E-3</v>
      </c>
      <c r="P15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16" spans="1:27" x14ac:dyDescent="0.15">
      <c r="A16" s="3">
        <v>1</v>
      </c>
      <c r="B16" s="3">
        <v>11</v>
      </c>
      <c r="C16" s="3">
        <v>420</v>
      </c>
      <c r="D16" s="3">
        <v>4000000</v>
      </c>
      <c r="E16" s="3" t="str">
        <f>"["&amp;IF(表3_3[[#This Row],[星级]]=0,"","""w"&amp;500+表3_3[[#This Row],[皮肤id]]&amp;""","&amp;VLOOKUP(表3_3[[#This Row],[星级]],description!$C$1:$D$13,2,FALSE))&amp;"]"</f>
        <v>["w501",600]</v>
      </c>
      <c r="F16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["01z1","wp_star_01","3jie"]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5</v>
      </c>
      <c r="O16" s="3">
        <v>0.01</v>
      </c>
      <c r="P16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17" spans="1:16" x14ac:dyDescent="0.15">
      <c r="A17" s="3">
        <v>1</v>
      </c>
      <c r="B17" s="3">
        <v>12</v>
      </c>
      <c r="C17" s="3">
        <v>480</v>
      </c>
      <c r="D17" s="3">
        <v>5000000</v>
      </c>
      <c r="E17" s="3" t="str">
        <f>"["&amp;IF(表3_3[[#This Row],[星级]]=0,"","""w"&amp;500+表3_3[[#This Row],[皮肤id]]&amp;""","&amp;VLOOKUP(表3_3[[#This Row],[星级]],description!$C$1:$D$13,2,FALSE))&amp;"]"</f>
        <v>["w501",800]</v>
      </c>
      <c r="F17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["01z1","wp_star_01","3jie"]</v>
      </c>
      <c r="G17" s="3">
        <v>0</v>
      </c>
      <c r="H17" s="3">
        <v>0</v>
      </c>
      <c r="I17" s="3">
        <v>0</v>
      </c>
      <c r="J17" s="3">
        <v>0</v>
      </c>
      <c r="K17" s="3">
        <v>0</v>
      </c>
      <c r="L17" s="3">
        <v>0</v>
      </c>
      <c r="M17" s="3">
        <v>0</v>
      </c>
      <c r="N17" s="3">
        <v>5</v>
      </c>
      <c r="O17" s="3">
        <v>0.01</v>
      </c>
      <c r="P17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18" spans="1:16" x14ac:dyDescent="0.15">
      <c r="A18" s="3">
        <f>A5+1</f>
        <v>2</v>
      </c>
      <c r="B18" s="3">
        <v>0</v>
      </c>
      <c r="C18" s="3">
        <v>0</v>
      </c>
      <c r="D18" s="3">
        <f>表3_3[[#This Row],[星级]]^2*20000+20000*表3_3[[#This Row],[星级]]</f>
        <v>0</v>
      </c>
      <c r="E18" s="3" t="str">
        <f>"["&amp;IF(表3_3[[#This Row],[星级]]=0,"","""w"&amp;500+表3_3[[#This Row],[皮肤id]]&amp;""","&amp;VLOOKUP(表3_3[[#This Row],[星级]],description!$C$1:$D$13,2,FALSE))&amp;"]"</f>
        <v>[]</v>
      </c>
      <c r="F18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["","",""]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0</v>
      </c>
      <c r="N18" s="3">
        <v>0</v>
      </c>
      <c r="O18" s="3">
        <v>0</v>
      </c>
      <c r="P18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19" spans="1:16" x14ac:dyDescent="0.15">
      <c r="A19" s="3">
        <f t="shared" ref="A19:A84" si="0">A6+1</f>
        <v>2</v>
      </c>
      <c r="B19" s="3">
        <v>1</v>
      </c>
      <c r="C19" s="3">
        <v>75</v>
      </c>
      <c r="D19" s="3">
        <v>50000</v>
      </c>
      <c r="E19" s="3" t="str">
        <f>"["&amp;IF(表3_3[[#This Row],[星级]]=0,"","""w"&amp;500+表3_3[[#This Row],[皮肤id]]&amp;""","&amp;VLOOKUP(表3_3[[#This Row],[星级]],description!$C$1:$D$13,2,FALSE))&amp;"]"</f>
        <v>["w502",5]</v>
      </c>
      <c r="F19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["","",""]</v>
      </c>
      <c r="G19" s="3">
        <v>0</v>
      </c>
      <c r="H19" s="3">
        <v>0</v>
      </c>
      <c r="I19" s="3">
        <v>0</v>
      </c>
      <c r="J19" s="3">
        <v>0</v>
      </c>
      <c r="K19" s="3">
        <v>0</v>
      </c>
      <c r="L19" s="3">
        <v>0</v>
      </c>
      <c r="M19" s="3">
        <v>0</v>
      </c>
      <c r="N19" s="3">
        <v>1</v>
      </c>
      <c r="O19" s="3">
        <v>0</v>
      </c>
      <c r="P19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20" spans="1:16" x14ac:dyDescent="0.15">
      <c r="A20" s="3">
        <f t="shared" si="0"/>
        <v>2</v>
      </c>
      <c r="B20" s="3">
        <v>2</v>
      </c>
      <c r="C20" s="3">
        <v>150</v>
      </c>
      <c r="D20" s="3">
        <v>200000</v>
      </c>
      <c r="E20" s="3" t="str">
        <f>"["&amp;IF(表3_3[[#This Row],[星级]]=0,"","""w"&amp;500+表3_3[[#This Row],[皮肤id]]&amp;""","&amp;VLOOKUP(表3_3[[#This Row],[星级]],description!$C$1:$D$13,2,FALSE))&amp;"]"</f>
        <v>["w502",10]</v>
      </c>
      <c r="F20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["02z1","",""]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0</v>
      </c>
      <c r="N20" s="3">
        <v>1</v>
      </c>
      <c r="O20" s="3">
        <v>0</v>
      </c>
      <c r="P20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weapons_effect_a_2</v>
      </c>
    </row>
    <row r="21" spans="1:16" x14ac:dyDescent="0.15">
      <c r="A21" s="3">
        <f t="shared" si="0"/>
        <v>2</v>
      </c>
      <c r="B21" s="3">
        <v>3</v>
      </c>
      <c r="C21" s="3">
        <v>225</v>
      </c>
      <c r="D21" s="3">
        <v>400000</v>
      </c>
      <c r="E21" s="3" t="str">
        <f>"["&amp;IF(表3_3[[#This Row],[星级]]=0,"","""w"&amp;500+表3_3[[#This Row],[皮肤id]]&amp;""","&amp;VLOOKUP(表3_3[[#This Row],[星级]],description!$C$1:$D$13,2,FALSE))&amp;"]"</f>
        <v>["w502",20]</v>
      </c>
      <c r="F21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["02z1","",""]</v>
      </c>
      <c r="G21" s="3">
        <v>0</v>
      </c>
      <c r="H21" s="3">
        <v>0</v>
      </c>
      <c r="I21" s="3">
        <v>0</v>
      </c>
      <c r="J21" s="3">
        <v>0</v>
      </c>
      <c r="K21" s="3">
        <v>0.01</v>
      </c>
      <c r="L21" s="3">
        <v>0</v>
      </c>
      <c r="M21" s="3">
        <v>0</v>
      </c>
      <c r="N21" s="3">
        <v>1</v>
      </c>
      <c r="O21" s="3">
        <v>0</v>
      </c>
      <c r="P21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weapons_effect_a_2</v>
      </c>
    </row>
    <row r="22" spans="1:16" x14ac:dyDescent="0.15">
      <c r="A22" s="3">
        <f t="shared" si="0"/>
        <v>2</v>
      </c>
      <c r="B22" s="3">
        <v>4</v>
      </c>
      <c r="C22" s="3">
        <v>300</v>
      </c>
      <c r="D22" s="3">
        <v>600000</v>
      </c>
      <c r="E22" s="3" t="str">
        <f>"["&amp;IF(表3_3[[#This Row],[星级]]=0,"","""w"&amp;500+表3_3[[#This Row],[皮肤id]]&amp;""","&amp;VLOOKUP(表3_3[[#This Row],[星级]],description!$C$1:$D$13,2,FALSE))&amp;"]"</f>
        <v>["w502",30]</v>
      </c>
      <c r="F22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["02z1","",""]</v>
      </c>
      <c r="G22" s="3">
        <v>0</v>
      </c>
      <c r="H22" s="3">
        <v>0</v>
      </c>
      <c r="I22" s="3">
        <v>0</v>
      </c>
      <c r="J22" s="3">
        <v>0</v>
      </c>
      <c r="K22" s="3">
        <v>0.01</v>
      </c>
      <c r="L22" s="3">
        <v>0</v>
      </c>
      <c r="M22" s="3">
        <v>0</v>
      </c>
      <c r="N22" s="3">
        <v>2</v>
      </c>
      <c r="O22" s="3">
        <v>0</v>
      </c>
      <c r="P22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weapons_effect_a_2</v>
      </c>
    </row>
    <row r="23" spans="1:16" x14ac:dyDescent="0.15">
      <c r="A23" s="3">
        <f t="shared" si="0"/>
        <v>2</v>
      </c>
      <c r="B23" s="3">
        <v>5</v>
      </c>
      <c r="C23" s="3">
        <v>375</v>
      </c>
      <c r="D23" s="3">
        <v>800000</v>
      </c>
      <c r="E23" s="3" t="str">
        <f>"["&amp;IF(表3_3[[#This Row],[星级]]=0,"","""w"&amp;500+表3_3[[#This Row],[皮肤id]]&amp;""","&amp;VLOOKUP(表3_3[[#This Row],[星级]],description!$C$1:$D$13,2,FALSE))&amp;"]"</f>
        <v>["w502",60]</v>
      </c>
      <c r="F23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["02z1","wp_star_02",""]</v>
      </c>
      <c r="G23" s="3">
        <v>0</v>
      </c>
      <c r="H23" s="3">
        <v>0</v>
      </c>
      <c r="I23" s="3">
        <v>0</v>
      </c>
      <c r="J23" s="3">
        <v>0</v>
      </c>
      <c r="K23" s="3">
        <v>0.01</v>
      </c>
      <c r="L23" s="3">
        <v>0</v>
      </c>
      <c r="M23" s="3">
        <v>0</v>
      </c>
      <c r="N23" s="3">
        <v>2</v>
      </c>
      <c r="O23" s="3">
        <v>0</v>
      </c>
      <c r="P23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weapons_effect_b_2</v>
      </c>
    </row>
    <row r="24" spans="1:16" x14ac:dyDescent="0.15">
      <c r="A24" s="3">
        <f t="shared" si="0"/>
        <v>2</v>
      </c>
      <c r="B24" s="3">
        <v>6</v>
      </c>
      <c r="C24" s="3">
        <v>450</v>
      </c>
      <c r="D24" s="3">
        <v>1000000</v>
      </c>
      <c r="E24" s="3" t="str">
        <f>"["&amp;IF(表3_3[[#This Row],[星级]]=0,"","""w"&amp;500+表3_3[[#This Row],[皮肤id]]&amp;""","&amp;VLOOKUP(表3_3[[#This Row],[星级]],description!$C$1:$D$13,2,FALSE))&amp;"]"</f>
        <v>["w502",100]</v>
      </c>
      <c r="F24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["02z1","wp_star_02",""]</v>
      </c>
      <c r="G24" s="3">
        <v>0</v>
      </c>
      <c r="H24" s="3">
        <v>0</v>
      </c>
      <c r="I24" s="3">
        <v>0</v>
      </c>
      <c r="J24" s="3">
        <v>0</v>
      </c>
      <c r="K24" s="3">
        <v>0.02</v>
      </c>
      <c r="L24" s="3">
        <v>0</v>
      </c>
      <c r="M24" s="3">
        <v>0</v>
      </c>
      <c r="N24" s="3">
        <v>2</v>
      </c>
      <c r="O24" s="3">
        <v>0</v>
      </c>
      <c r="P24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weapons_effect_b_2</v>
      </c>
    </row>
    <row r="25" spans="1:16" x14ac:dyDescent="0.15">
      <c r="A25" s="3">
        <f t="shared" si="0"/>
        <v>2</v>
      </c>
      <c r="B25" s="3">
        <v>7</v>
      </c>
      <c r="C25" s="3">
        <v>525</v>
      </c>
      <c r="D25" s="3">
        <v>1500000</v>
      </c>
      <c r="E25" s="3" t="str">
        <f>"["&amp;IF(表3_3[[#This Row],[星级]]=0,"","""w"&amp;500+表3_3[[#This Row],[皮肤id]]&amp;""","&amp;VLOOKUP(表3_3[[#This Row],[星级]],description!$C$1:$D$13,2,FALSE))&amp;"]"</f>
        <v>["w502",150]</v>
      </c>
      <c r="F25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["02z1","wp_star_02",""]</v>
      </c>
      <c r="G25" s="3">
        <v>0</v>
      </c>
      <c r="H25" s="3">
        <v>0</v>
      </c>
      <c r="I25" s="3">
        <v>0</v>
      </c>
      <c r="J25" s="3">
        <v>0</v>
      </c>
      <c r="K25" s="3">
        <v>0.02</v>
      </c>
      <c r="L25" s="3">
        <v>0</v>
      </c>
      <c r="M25" s="3">
        <v>0</v>
      </c>
      <c r="N25" s="3">
        <v>3</v>
      </c>
      <c r="O25" s="3">
        <v>0</v>
      </c>
      <c r="P25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weapons_effect_b_2</v>
      </c>
    </row>
    <row r="26" spans="1:16" x14ac:dyDescent="0.15">
      <c r="A26" s="3">
        <f t="shared" si="0"/>
        <v>2</v>
      </c>
      <c r="B26" s="3">
        <v>8</v>
      </c>
      <c r="C26" s="3">
        <v>600</v>
      </c>
      <c r="D26" s="3">
        <v>2000000</v>
      </c>
      <c r="E26" s="3" t="str">
        <f>"["&amp;IF(表3_3[[#This Row],[星级]]=0,"","""w"&amp;500+表3_3[[#This Row],[皮肤id]]&amp;""","&amp;VLOOKUP(表3_3[[#This Row],[星级]],description!$C$1:$D$13,2,FALSE))&amp;"]"</f>
        <v>["w502",200]</v>
      </c>
      <c r="F26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["02z1","wp_star_02","3jie"]</v>
      </c>
      <c r="G26" s="3">
        <v>0</v>
      </c>
      <c r="H26" s="3">
        <v>0</v>
      </c>
      <c r="I26" s="3">
        <v>0</v>
      </c>
      <c r="J26" s="3">
        <v>0</v>
      </c>
      <c r="K26" s="3">
        <v>0.02</v>
      </c>
      <c r="L26" s="3">
        <v>0</v>
      </c>
      <c r="M26" s="3">
        <v>0</v>
      </c>
      <c r="N26" s="3">
        <v>3</v>
      </c>
      <c r="O26" s="3">
        <v>0</v>
      </c>
      <c r="P26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27" spans="1:16" x14ac:dyDescent="0.15">
      <c r="A27" s="3">
        <v>2</v>
      </c>
      <c r="B27" s="3">
        <v>9</v>
      </c>
      <c r="C27" s="3">
        <v>750</v>
      </c>
      <c r="D27" s="3">
        <v>2500000</v>
      </c>
      <c r="E27" s="3" t="str">
        <f>"["&amp;IF(表3_3[[#This Row],[星级]]=0,"","""w"&amp;500+表3_3[[#This Row],[皮肤id]]&amp;""","&amp;VLOOKUP(表3_3[[#This Row],[星级]],description!$C$1:$D$13,2,FALSE))&amp;"]"</f>
        <v>["w502",300]</v>
      </c>
      <c r="F27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["02z1","wp_star_02","3jie"]</v>
      </c>
      <c r="G27" s="3">
        <v>0</v>
      </c>
      <c r="H27" s="3">
        <v>0</v>
      </c>
      <c r="I27" s="3">
        <v>0</v>
      </c>
      <c r="J27" s="3">
        <v>0</v>
      </c>
      <c r="K27" s="3">
        <v>0.02</v>
      </c>
      <c r="L27" s="3">
        <v>0</v>
      </c>
      <c r="M27" s="3">
        <v>0</v>
      </c>
      <c r="N27" s="3">
        <v>4</v>
      </c>
      <c r="O27" s="3">
        <v>0</v>
      </c>
      <c r="P27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28" spans="1:16" x14ac:dyDescent="0.15">
      <c r="A28" s="3">
        <f t="shared" si="0"/>
        <v>2</v>
      </c>
      <c r="B28" s="3">
        <v>10</v>
      </c>
      <c r="C28" s="3">
        <v>900</v>
      </c>
      <c r="D28" s="3">
        <v>3000000</v>
      </c>
      <c r="E28" s="3" t="str">
        <f>"["&amp;IF(表3_3[[#This Row],[星级]]=0,"","""w"&amp;500+表3_3[[#This Row],[皮肤id]]&amp;""","&amp;VLOOKUP(表3_3[[#This Row],[星级]],description!$C$1:$D$13,2,FALSE))&amp;"]"</f>
        <v>["w502",400]</v>
      </c>
      <c r="F28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["02z1","wp_star_02","3jie"]</v>
      </c>
      <c r="G28" s="3">
        <v>0</v>
      </c>
      <c r="H28" s="3">
        <v>0</v>
      </c>
      <c r="I28" s="3">
        <v>0</v>
      </c>
      <c r="J28" s="3">
        <v>0</v>
      </c>
      <c r="K28" s="3">
        <v>0.02</v>
      </c>
      <c r="L28" s="3">
        <v>0</v>
      </c>
      <c r="M28" s="3">
        <v>0</v>
      </c>
      <c r="N28" s="3">
        <v>4</v>
      </c>
      <c r="O28" s="3">
        <v>0</v>
      </c>
      <c r="P28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29" spans="1:16" x14ac:dyDescent="0.15">
      <c r="A29" s="3">
        <v>2</v>
      </c>
      <c r="B29" s="3">
        <v>11</v>
      </c>
      <c r="C29" s="3">
        <v>1050</v>
      </c>
      <c r="D29" s="3">
        <v>4000000</v>
      </c>
      <c r="E29" s="3" t="str">
        <f>"["&amp;IF(表3_3[[#This Row],[星级]]=0,"","""w"&amp;500+表3_3[[#This Row],[皮肤id]]&amp;""","&amp;VLOOKUP(表3_3[[#This Row],[星级]],description!$C$1:$D$13,2,FALSE))&amp;"]"</f>
        <v>["w502",600]</v>
      </c>
      <c r="F29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["02z1","wp_star_02","3jie"]</v>
      </c>
      <c r="G29" s="3">
        <v>0</v>
      </c>
      <c r="H29" s="3">
        <v>0</v>
      </c>
      <c r="I29" s="3">
        <v>0</v>
      </c>
      <c r="J29" s="3">
        <v>0</v>
      </c>
      <c r="K29" s="3">
        <v>0.02</v>
      </c>
      <c r="L29" s="3">
        <v>0</v>
      </c>
      <c r="M29" s="3">
        <v>0</v>
      </c>
      <c r="N29" s="3">
        <v>5</v>
      </c>
      <c r="O29" s="3">
        <v>0</v>
      </c>
      <c r="P29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30" spans="1:16" x14ac:dyDescent="0.15">
      <c r="A30" s="3">
        <f t="shared" si="0"/>
        <v>2</v>
      </c>
      <c r="B30" s="3">
        <v>12</v>
      </c>
      <c r="C30" s="3">
        <v>1200</v>
      </c>
      <c r="D30" s="3">
        <v>5000000</v>
      </c>
      <c r="E30" s="3" t="str">
        <f>"["&amp;IF(表3_3[[#This Row],[星级]]=0,"","""w"&amp;500+表3_3[[#This Row],[皮肤id]]&amp;""","&amp;VLOOKUP(表3_3[[#This Row],[星级]],description!$C$1:$D$13,2,FALSE))&amp;"]"</f>
        <v>["w502",800]</v>
      </c>
      <c r="F30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["02z1","wp_star_02","3jie"]</v>
      </c>
      <c r="G30" s="3">
        <v>0</v>
      </c>
      <c r="H30" s="3">
        <v>0</v>
      </c>
      <c r="I30" s="3">
        <v>0</v>
      </c>
      <c r="J30" s="3">
        <v>0</v>
      </c>
      <c r="K30" s="3">
        <v>0.03</v>
      </c>
      <c r="L30" s="3">
        <v>0</v>
      </c>
      <c r="M30" s="3">
        <v>0</v>
      </c>
      <c r="N30" s="3">
        <v>5</v>
      </c>
      <c r="O30" s="3">
        <v>0</v>
      </c>
      <c r="P30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31" spans="1:16" x14ac:dyDescent="0.15">
      <c r="A31" s="3">
        <f>A18+1</f>
        <v>3</v>
      </c>
      <c r="B31" s="3">
        <v>0</v>
      </c>
      <c r="C31" s="3">
        <v>0</v>
      </c>
      <c r="D31" s="3">
        <f>表3_3[[#This Row],[星级]]^2*20000+20000*表3_3[[#This Row],[星级]]</f>
        <v>0</v>
      </c>
      <c r="E31" s="3" t="str">
        <f>"["&amp;IF(表3_3[[#This Row],[星级]]=0,"","""w"&amp;500+表3_3[[#This Row],[皮肤id]]&amp;""","&amp;VLOOKUP(表3_3[[#This Row],[星级]],description!$C$1:$D$13,2,FALSE))&amp;"]"</f>
        <v>[]</v>
      </c>
      <c r="F31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["","",""]</v>
      </c>
      <c r="G31" s="3">
        <v>0</v>
      </c>
      <c r="H31" s="3">
        <v>0</v>
      </c>
      <c r="I31" s="3">
        <v>0</v>
      </c>
      <c r="J31" s="3">
        <v>0</v>
      </c>
      <c r="K31" s="3">
        <v>0</v>
      </c>
      <c r="L31" s="3">
        <v>0</v>
      </c>
      <c r="M31" s="3">
        <v>0</v>
      </c>
      <c r="N31" s="3">
        <v>0</v>
      </c>
      <c r="O31" s="3">
        <v>0</v>
      </c>
      <c r="P31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32" spans="1:16" x14ac:dyDescent="0.15">
      <c r="A32" s="3">
        <f t="shared" si="0"/>
        <v>3</v>
      </c>
      <c r="B32" s="3">
        <v>1</v>
      </c>
      <c r="C32" s="3">
        <v>300</v>
      </c>
      <c r="D32" s="3">
        <v>50000</v>
      </c>
      <c r="E32" s="3" t="str">
        <f>"["&amp;IF(表3_3[[#This Row],[星级]]=0,"","""w"&amp;500+表3_3[[#This Row],[皮肤id]]&amp;""","&amp;VLOOKUP(表3_3[[#This Row],[星级]],description!$C$1:$D$13,2,FALSE))&amp;"]"</f>
        <v>["w503",5]</v>
      </c>
      <c r="F32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["","",""]</v>
      </c>
      <c r="G32" s="3">
        <v>0</v>
      </c>
      <c r="H32" s="3">
        <v>0</v>
      </c>
      <c r="I32" s="3">
        <v>0</v>
      </c>
      <c r="J32" s="3">
        <v>0</v>
      </c>
      <c r="K32" s="3">
        <v>0</v>
      </c>
      <c r="L32" s="3">
        <v>0</v>
      </c>
      <c r="M32" s="3">
        <v>0</v>
      </c>
      <c r="N32" s="3">
        <v>0</v>
      </c>
      <c r="O32" s="3">
        <v>4.0000000000000001E-3</v>
      </c>
      <c r="P32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33" spans="1:16" x14ac:dyDescent="0.15">
      <c r="A33" s="3">
        <f t="shared" si="0"/>
        <v>3</v>
      </c>
      <c r="B33" s="3">
        <v>2</v>
      </c>
      <c r="C33" s="3">
        <v>600</v>
      </c>
      <c r="D33" s="3">
        <v>200000</v>
      </c>
      <c r="E33" s="3" t="str">
        <f>"["&amp;IF(表3_3[[#This Row],[星级]]=0,"","""w"&amp;500+表3_3[[#This Row],[皮肤id]]&amp;""","&amp;VLOOKUP(表3_3[[#This Row],[星级]],description!$C$1:$D$13,2,FALSE))&amp;"]"</f>
        <v>["w503",10]</v>
      </c>
      <c r="F33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["03z1","",""]</v>
      </c>
      <c r="G33" s="3">
        <v>0</v>
      </c>
      <c r="H33" s="3">
        <v>0</v>
      </c>
      <c r="I33" s="3">
        <v>0</v>
      </c>
      <c r="J33" s="3">
        <v>0</v>
      </c>
      <c r="K33" s="3">
        <v>0</v>
      </c>
      <c r="L33" s="3">
        <v>0</v>
      </c>
      <c r="M33" s="3">
        <v>0</v>
      </c>
      <c r="N33" s="3">
        <v>0</v>
      </c>
      <c r="O33" s="3">
        <v>4.0000000000000001E-3</v>
      </c>
      <c r="P33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weapons_effect_a_3</v>
      </c>
    </row>
    <row r="34" spans="1:16" x14ac:dyDescent="0.15">
      <c r="A34" s="3">
        <f t="shared" si="0"/>
        <v>3</v>
      </c>
      <c r="B34" s="3">
        <v>3</v>
      </c>
      <c r="C34" s="3">
        <v>900</v>
      </c>
      <c r="D34" s="3">
        <v>400000</v>
      </c>
      <c r="E34" s="3" t="str">
        <f>"["&amp;IF(表3_3[[#This Row],[星级]]=0,"","""w"&amp;500+表3_3[[#This Row],[皮肤id]]&amp;""","&amp;VLOOKUP(表3_3[[#This Row],[星级]],description!$C$1:$D$13,2,FALSE))&amp;"]"</f>
        <v>["w503",20]</v>
      </c>
      <c r="F34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["03z1","",""]</v>
      </c>
      <c r="G34" s="3">
        <v>0</v>
      </c>
      <c r="H34" s="3">
        <v>0</v>
      </c>
      <c r="I34" s="3">
        <v>0</v>
      </c>
      <c r="J34" s="3">
        <v>0</v>
      </c>
      <c r="K34" s="3">
        <v>0.01</v>
      </c>
      <c r="L34" s="3">
        <v>0</v>
      </c>
      <c r="M34" s="3">
        <v>0</v>
      </c>
      <c r="N34" s="3">
        <v>0</v>
      </c>
      <c r="O34" s="3">
        <v>4.0000000000000001E-3</v>
      </c>
      <c r="P34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weapons_effect_a_3</v>
      </c>
    </row>
    <row r="35" spans="1:16" x14ac:dyDescent="0.15">
      <c r="A35" s="3">
        <f t="shared" si="0"/>
        <v>3</v>
      </c>
      <c r="B35" s="3">
        <v>4</v>
      </c>
      <c r="C35" s="3">
        <v>1200</v>
      </c>
      <c r="D35" s="3">
        <v>600000</v>
      </c>
      <c r="E35" s="3" t="str">
        <f>"["&amp;IF(表3_3[[#This Row],[星级]]=0,"","""w"&amp;500+表3_3[[#This Row],[皮肤id]]&amp;""","&amp;VLOOKUP(表3_3[[#This Row],[星级]],description!$C$1:$D$13,2,FALSE))&amp;"]"</f>
        <v>["w503",30]</v>
      </c>
      <c r="F35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["03z1","",""]</v>
      </c>
      <c r="G35" s="3">
        <v>0</v>
      </c>
      <c r="H35" s="3">
        <v>0</v>
      </c>
      <c r="I35" s="3">
        <v>0</v>
      </c>
      <c r="J35" s="3">
        <v>0</v>
      </c>
      <c r="K35" s="3">
        <v>0.01</v>
      </c>
      <c r="L35" s="3">
        <v>0</v>
      </c>
      <c r="M35" s="3">
        <v>0</v>
      </c>
      <c r="N35" s="3">
        <v>0</v>
      </c>
      <c r="O35" s="3">
        <v>5.0000000000000001E-3</v>
      </c>
      <c r="P35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weapons_effect_a_3</v>
      </c>
    </row>
    <row r="36" spans="1:16" x14ac:dyDescent="0.15">
      <c r="A36" s="3">
        <f t="shared" si="0"/>
        <v>3</v>
      </c>
      <c r="B36" s="3">
        <v>5</v>
      </c>
      <c r="C36" s="3">
        <v>1500</v>
      </c>
      <c r="D36" s="3">
        <v>800000</v>
      </c>
      <c r="E36" s="3" t="str">
        <f>"["&amp;IF(表3_3[[#This Row],[星级]]=0,"","""w"&amp;500+表3_3[[#This Row],[皮肤id]]&amp;""","&amp;VLOOKUP(表3_3[[#This Row],[星级]],description!$C$1:$D$13,2,FALSE))&amp;"]"</f>
        <v>["w503",60]</v>
      </c>
      <c r="F36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["03z1","wp_star_03",""]</v>
      </c>
      <c r="G36" s="3">
        <v>0</v>
      </c>
      <c r="H36" s="3">
        <v>0</v>
      </c>
      <c r="I36" s="3">
        <v>0</v>
      </c>
      <c r="J36" s="3">
        <v>0</v>
      </c>
      <c r="K36" s="3">
        <v>0.01</v>
      </c>
      <c r="L36" s="3">
        <v>0</v>
      </c>
      <c r="M36" s="3">
        <v>0</v>
      </c>
      <c r="N36" s="3">
        <v>0</v>
      </c>
      <c r="O36" s="3">
        <v>5.0000000000000001E-3</v>
      </c>
      <c r="P36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weapons_effect_b_3</v>
      </c>
    </row>
    <row r="37" spans="1:16" x14ac:dyDescent="0.15">
      <c r="A37" s="3">
        <f t="shared" si="0"/>
        <v>3</v>
      </c>
      <c r="B37" s="3">
        <v>6</v>
      </c>
      <c r="C37" s="3">
        <v>1800</v>
      </c>
      <c r="D37" s="3">
        <v>1000000</v>
      </c>
      <c r="E37" s="3" t="str">
        <f>"["&amp;IF(表3_3[[#This Row],[星级]]=0,"","""w"&amp;500+表3_3[[#This Row],[皮肤id]]&amp;""","&amp;VLOOKUP(表3_3[[#This Row],[星级]],description!$C$1:$D$13,2,FALSE))&amp;"]"</f>
        <v>["w503",100]</v>
      </c>
      <c r="F37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["03z1","wp_star_03",""]</v>
      </c>
      <c r="G37" s="3">
        <v>0</v>
      </c>
      <c r="H37" s="3">
        <v>0</v>
      </c>
      <c r="I37" s="3">
        <v>0</v>
      </c>
      <c r="J37" s="3">
        <v>0</v>
      </c>
      <c r="K37" s="3">
        <v>0.02</v>
      </c>
      <c r="L37" s="3">
        <v>0</v>
      </c>
      <c r="M37" s="3">
        <v>0</v>
      </c>
      <c r="N37" s="3">
        <v>0</v>
      </c>
      <c r="O37" s="3">
        <v>5.0000000000000001E-3</v>
      </c>
      <c r="P37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weapons_effect_b_3</v>
      </c>
    </row>
    <row r="38" spans="1:16" x14ac:dyDescent="0.15">
      <c r="A38" s="3">
        <f t="shared" si="0"/>
        <v>3</v>
      </c>
      <c r="B38" s="3">
        <v>7</v>
      </c>
      <c r="C38" s="3">
        <v>2100</v>
      </c>
      <c r="D38" s="3">
        <v>1500000</v>
      </c>
      <c r="E38" s="3" t="str">
        <f>"["&amp;IF(表3_3[[#This Row],[星级]]=0,"","""w"&amp;500+表3_3[[#This Row],[皮肤id]]&amp;""","&amp;VLOOKUP(表3_3[[#This Row],[星级]],description!$C$1:$D$13,2,FALSE))&amp;"]"</f>
        <v>["w503",150]</v>
      </c>
      <c r="F38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["03z1","wp_star_03",""]</v>
      </c>
      <c r="G38" s="3">
        <v>0</v>
      </c>
      <c r="H38" s="3">
        <v>0</v>
      </c>
      <c r="I38" s="3">
        <v>0</v>
      </c>
      <c r="J38" s="3">
        <v>0</v>
      </c>
      <c r="K38" s="3">
        <v>0.02</v>
      </c>
      <c r="L38" s="3">
        <v>0</v>
      </c>
      <c r="M38" s="3">
        <v>0</v>
      </c>
      <c r="N38" s="3">
        <v>0</v>
      </c>
      <c r="O38" s="3">
        <v>6.0000000000000001E-3</v>
      </c>
      <c r="P38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weapons_effect_b_3</v>
      </c>
    </row>
    <row r="39" spans="1:16" x14ac:dyDescent="0.15">
      <c r="A39" s="3">
        <f t="shared" si="0"/>
        <v>3</v>
      </c>
      <c r="B39" s="3">
        <v>8</v>
      </c>
      <c r="C39" s="3">
        <v>2400</v>
      </c>
      <c r="D39" s="3">
        <v>2000000</v>
      </c>
      <c r="E39" s="3" t="str">
        <f>"["&amp;IF(表3_3[[#This Row],[星级]]=0,"","""w"&amp;500+表3_3[[#This Row],[皮肤id]]&amp;""","&amp;VLOOKUP(表3_3[[#This Row],[星级]],description!$C$1:$D$13,2,FALSE))&amp;"]"</f>
        <v>["w503",200]</v>
      </c>
      <c r="F39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["03z1","wp_star_03","3jie"]</v>
      </c>
      <c r="G39" s="3">
        <v>0</v>
      </c>
      <c r="H39" s="3">
        <v>0</v>
      </c>
      <c r="I39" s="3">
        <v>0</v>
      </c>
      <c r="J39" s="3">
        <v>0</v>
      </c>
      <c r="K39" s="3">
        <v>0.02</v>
      </c>
      <c r="L39" s="3">
        <v>0</v>
      </c>
      <c r="M39" s="3">
        <v>0</v>
      </c>
      <c r="N39" s="3">
        <v>0</v>
      </c>
      <c r="O39" s="3">
        <v>6.0000000000000001E-3</v>
      </c>
      <c r="P39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40" spans="1:16" x14ac:dyDescent="0.15">
      <c r="A40" s="3">
        <f t="shared" si="0"/>
        <v>3</v>
      </c>
      <c r="B40" s="3">
        <v>9</v>
      </c>
      <c r="C40" s="3">
        <v>3000</v>
      </c>
      <c r="D40" s="3">
        <v>2500000</v>
      </c>
      <c r="E40" s="3" t="str">
        <f>"["&amp;IF(表3_3[[#This Row],[星级]]=0,"","""w"&amp;500+表3_3[[#This Row],[皮肤id]]&amp;""","&amp;VLOOKUP(表3_3[[#This Row],[星级]],description!$C$1:$D$13,2,FALSE))&amp;"]"</f>
        <v>["w503",300]</v>
      </c>
      <c r="F40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["03z1","wp_star_03","3jie"]</v>
      </c>
      <c r="G40" s="3">
        <v>0</v>
      </c>
      <c r="H40" s="3">
        <v>0</v>
      </c>
      <c r="I40" s="3">
        <v>0</v>
      </c>
      <c r="J40" s="3">
        <v>0</v>
      </c>
      <c r="K40" s="3">
        <v>0.02</v>
      </c>
      <c r="L40" s="3">
        <v>0</v>
      </c>
      <c r="M40" s="3">
        <v>0</v>
      </c>
      <c r="N40" s="3">
        <v>0</v>
      </c>
      <c r="O40" s="3">
        <v>8.0000000000000002E-3</v>
      </c>
      <c r="P40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41" spans="1:16" x14ac:dyDescent="0.15">
      <c r="A41" s="3">
        <f t="shared" si="0"/>
        <v>3</v>
      </c>
      <c r="B41" s="3">
        <v>10</v>
      </c>
      <c r="C41" s="3">
        <v>3600</v>
      </c>
      <c r="D41" s="3">
        <v>3000000</v>
      </c>
      <c r="E41" s="3" t="str">
        <f>"["&amp;IF(表3_3[[#This Row],[星级]]=0,"","""w"&amp;500+表3_3[[#This Row],[皮肤id]]&amp;""","&amp;VLOOKUP(表3_3[[#This Row],[星级]],description!$C$1:$D$13,2,FALSE))&amp;"]"</f>
        <v>["w503",400]</v>
      </c>
      <c r="F41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["03z1","wp_star_03","3jie"]</v>
      </c>
      <c r="G41" s="3">
        <v>0</v>
      </c>
      <c r="H41" s="3">
        <v>0</v>
      </c>
      <c r="I41" s="3">
        <v>0</v>
      </c>
      <c r="J41" s="3">
        <v>0</v>
      </c>
      <c r="K41" s="3">
        <v>0.02</v>
      </c>
      <c r="L41" s="3">
        <v>0</v>
      </c>
      <c r="M41" s="3">
        <v>0</v>
      </c>
      <c r="N41" s="3">
        <v>0</v>
      </c>
      <c r="O41" s="3">
        <v>8.0000000000000002E-3</v>
      </c>
      <c r="P41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42" spans="1:16" x14ac:dyDescent="0.15">
      <c r="A42" s="3">
        <f t="shared" si="0"/>
        <v>3</v>
      </c>
      <c r="B42" s="3">
        <v>11</v>
      </c>
      <c r="C42" s="3">
        <v>4200</v>
      </c>
      <c r="D42" s="3">
        <v>4000000</v>
      </c>
      <c r="E42" s="3" t="str">
        <f>"["&amp;IF(表3_3[[#This Row],[星级]]=0,"","""w"&amp;500+表3_3[[#This Row],[皮肤id]]&amp;""","&amp;VLOOKUP(表3_3[[#This Row],[星级]],description!$C$1:$D$13,2,FALSE))&amp;"]"</f>
        <v>["w503",600]</v>
      </c>
      <c r="F42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["03z1","wp_star_03","3jie"]</v>
      </c>
      <c r="G42" s="3">
        <v>0</v>
      </c>
      <c r="H42" s="3">
        <v>0</v>
      </c>
      <c r="I42" s="3">
        <v>0</v>
      </c>
      <c r="J42" s="3">
        <v>0</v>
      </c>
      <c r="K42" s="3">
        <v>0.02</v>
      </c>
      <c r="L42" s="3">
        <v>0</v>
      </c>
      <c r="M42" s="3">
        <v>0</v>
      </c>
      <c r="N42" s="3">
        <v>0</v>
      </c>
      <c r="O42" s="3">
        <v>0.01</v>
      </c>
      <c r="P42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43" spans="1:16" x14ac:dyDescent="0.15">
      <c r="A43" s="3">
        <f t="shared" si="0"/>
        <v>3</v>
      </c>
      <c r="B43" s="3">
        <v>12</v>
      </c>
      <c r="C43" s="3">
        <v>4800</v>
      </c>
      <c r="D43" s="3">
        <v>5000000</v>
      </c>
      <c r="E43" s="3" t="str">
        <f>"["&amp;IF(表3_3[[#This Row],[星级]]=0,"","""w"&amp;500+表3_3[[#This Row],[皮肤id]]&amp;""","&amp;VLOOKUP(表3_3[[#This Row],[星级]],description!$C$1:$D$13,2,FALSE))&amp;"]"</f>
        <v>["w503",800]</v>
      </c>
      <c r="F43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["03z1","wp_star_03","3jie"]</v>
      </c>
      <c r="G43" s="3">
        <v>0</v>
      </c>
      <c r="H43" s="3">
        <v>0</v>
      </c>
      <c r="I43" s="3">
        <v>0</v>
      </c>
      <c r="J43" s="3">
        <v>0</v>
      </c>
      <c r="K43" s="3">
        <v>0.03</v>
      </c>
      <c r="L43" s="3">
        <v>0</v>
      </c>
      <c r="M43" s="3">
        <v>0</v>
      </c>
      <c r="N43" s="3">
        <v>0</v>
      </c>
      <c r="O43" s="3">
        <v>0.01</v>
      </c>
      <c r="P43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44" spans="1:16" x14ac:dyDescent="0.15">
      <c r="A44" s="3">
        <f>A31+1</f>
        <v>4</v>
      </c>
      <c r="B44" s="3">
        <v>0</v>
      </c>
      <c r="C44" s="3">
        <v>0</v>
      </c>
      <c r="D44" s="3">
        <f>表3_3[[#This Row],[星级]]^2*20000+20000*表3_3[[#This Row],[星级]]</f>
        <v>0</v>
      </c>
      <c r="E44" s="3" t="str">
        <f>"["&amp;IF(表3_3[[#This Row],[星级]]=0,"","""w"&amp;500+表3_3[[#This Row],[皮肤id]]&amp;""","&amp;VLOOKUP(表3_3[[#This Row],[星级]],description!$C$1:$D$13,2,FALSE))&amp;"]"</f>
        <v>[]</v>
      </c>
      <c r="F44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["","",""]</v>
      </c>
      <c r="G44" s="3">
        <v>0</v>
      </c>
      <c r="H44" s="3">
        <v>0</v>
      </c>
      <c r="I44" s="3">
        <v>0</v>
      </c>
      <c r="J44" s="3">
        <v>0</v>
      </c>
      <c r="K44" s="3">
        <v>0</v>
      </c>
      <c r="L44" s="3">
        <v>0</v>
      </c>
      <c r="M44" s="3">
        <v>0</v>
      </c>
      <c r="N44" s="3">
        <v>0</v>
      </c>
      <c r="O44" s="3">
        <v>0</v>
      </c>
      <c r="P44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45" spans="1:16" x14ac:dyDescent="0.15">
      <c r="A45" s="3">
        <f t="shared" si="0"/>
        <v>4</v>
      </c>
      <c r="B45" s="3">
        <v>1</v>
      </c>
      <c r="C45" s="3">
        <v>120</v>
      </c>
      <c r="D45" s="3">
        <v>50000</v>
      </c>
      <c r="E45" s="3" t="str">
        <f>"["&amp;IF(表3_3[[#This Row],[星级]]=0,"","""w"&amp;500+表3_3[[#This Row],[皮肤id]]&amp;""","&amp;VLOOKUP(表3_3[[#This Row],[星级]],description!$C$1:$D$13,2,FALSE))&amp;"]"</f>
        <v>["w504",5]</v>
      </c>
      <c r="F45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["","",""]</v>
      </c>
      <c r="G45" s="3">
        <v>0</v>
      </c>
      <c r="H45" s="3">
        <v>0</v>
      </c>
      <c r="I45" s="3">
        <v>0</v>
      </c>
      <c r="J45" s="3">
        <v>0</v>
      </c>
      <c r="K45" s="3">
        <v>0</v>
      </c>
      <c r="L45" s="3">
        <v>0</v>
      </c>
      <c r="M45" s="3">
        <v>0</v>
      </c>
      <c r="N45" s="3">
        <v>1</v>
      </c>
      <c r="O45" s="3">
        <v>0</v>
      </c>
      <c r="P45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46" spans="1:16" x14ac:dyDescent="0.15">
      <c r="A46" s="3">
        <f t="shared" si="0"/>
        <v>4</v>
      </c>
      <c r="B46" s="3">
        <v>2</v>
      </c>
      <c r="C46" s="3">
        <v>240</v>
      </c>
      <c r="D46" s="3">
        <v>200000</v>
      </c>
      <c r="E46" s="3" t="str">
        <f>"["&amp;IF(表3_3[[#This Row],[星级]]=0,"","""w"&amp;500+表3_3[[#This Row],[皮肤id]]&amp;""","&amp;VLOOKUP(表3_3[[#This Row],[星级]],description!$C$1:$D$13,2,FALSE))&amp;"]"</f>
        <v>["w504",10]</v>
      </c>
      <c r="F46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["04z1","",""]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1</v>
      </c>
      <c r="O46" s="3">
        <v>0</v>
      </c>
      <c r="P46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weapons_effect_a_4</v>
      </c>
    </row>
    <row r="47" spans="1:16" x14ac:dyDescent="0.15">
      <c r="A47" s="3">
        <f t="shared" si="0"/>
        <v>4</v>
      </c>
      <c r="B47" s="3">
        <v>3</v>
      </c>
      <c r="C47" s="3">
        <v>360</v>
      </c>
      <c r="D47" s="3">
        <v>400000</v>
      </c>
      <c r="E47" s="3" t="str">
        <f>"["&amp;IF(表3_3[[#This Row],[星级]]=0,"","""w"&amp;500+表3_3[[#This Row],[皮肤id]]&amp;""","&amp;VLOOKUP(表3_3[[#This Row],[星级]],description!$C$1:$D$13,2,FALSE))&amp;"]"</f>
        <v>["w504",20]</v>
      </c>
      <c r="F47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["04z1","",""]</v>
      </c>
      <c r="G47" s="3">
        <v>0</v>
      </c>
      <c r="H47" s="3">
        <v>0</v>
      </c>
      <c r="I47" s="3">
        <v>0</v>
      </c>
      <c r="J47" s="3">
        <v>0</v>
      </c>
      <c r="K47" s="3">
        <v>0</v>
      </c>
      <c r="L47" s="3">
        <v>0.01</v>
      </c>
      <c r="M47" s="3">
        <v>0</v>
      </c>
      <c r="N47" s="3">
        <v>1</v>
      </c>
      <c r="O47" s="3">
        <v>0</v>
      </c>
      <c r="P47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weapons_effect_a_4</v>
      </c>
    </row>
    <row r="48" spans="1:16" x14ac:dyDescent="0.15">
      <c r="A48" s="3">
        <f t="shared" si="0"/>
        <v>4</v>
      </c>
      <c r="B48" s="3">
        <v>4</v>
      </c>
      <c r="C48" s="3">
        <v>480</v>
      </c>
      <c r="D48" s="3">
        <v>600000</v>
      </c>
      <c r="E48" s="3" t="str">
        <f>"["&amp;IF(表3_3[[#This Row],[星级]]=0,"","""w"&amp;500+表3_3[[#This Row],[皮肤id]]&amp;""","&amp;VLOOKUP(表3_3[[#This Row],[星级]],description!$C$1:$D$13,2,FALSE))&amp;"]"</f>
        <v>["w504",30]</v>
      </c>
      <c r="F48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["04z1","",""]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0.01</v>
      </c>
      <c r="M48" s="3">
        <v>0</v>
      </c>
      <c r="N48" s="3">
        <v>2</v>
      </c>
      <c r="O48" s="3">
        <v>0</v>
      </c>
      <c r="P48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weapons_effect_a_4</v>
      </c>
    </row>
    <row r="49" spans="1:16" x14ac:dyDescent="0.15">
      <c r="A49" s="3">
        <f t="shared" si="0"/>
        <v>4</v>
      </c>
      <c r="B49" s="3">
        <v>5</v>
      </c>
      <c r="C49" s="3">
        <v>600</v>
      </c>
      <c r="D49" s="3">
        <v>800000</v>
      </c>
      <c r="E49" s="3" t="str">
        <f>"["&amp;IF(表3_3[[#This Row],[星级]]=0,"","""w"&amp;500+表3_3[[#This Row],[皮肤id]]&amp;""","&amp;VLOOKUP(表3_3[[#This Row],[星级]],description!$C$1:$D$13,2,FALSE))&amp;"]"</f>
        <v>["w504",60]</v>
      </c>
      <c r="F49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["04z1","wp_star_04",""]</v>
      </c>
      <c r="G49" s="3">
        <v>0</v>
      </c>
      <c r="H49" s="3">
        <v>0</v>
      </c>
      <c r="I49" s="3">
        <v>0</v>
      </c>
      <c r="J49" s="3">
        <v>0</v>
      </c>
      <c r="K49" s="3">
        <v>0</v>
      </c>
      <c r="L49" s="3">
        <v>0.01</v>
      </c>
      <c r="M49" s="3">
        <v>0</v>
      </c>
      <c r="N49" s="3">
        <v>2</v>
      </c>
      <c r="O49" s="3">
        <v>0</v>
      </c>
      <c r="P49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weapons_effect_b_4</v>
      </c>
    </row>
    <row r="50" spans="1:16" x14ac:dyDescent="0.15">
      <c r="A50" s="3">
        <f t="shared" si="0"/>
        <v>4</v>
      </c>
      <c r="B50" s="3">
        <v>6</v>
      </c>
      <c r="C50" s="3">
        <v>720</v>
      </c>
      <c r="D50" s="3">
        <v>1000000</v>
      </c>
      <c r="E50" s="3" t="str">
        <f>"["&amp;IF(表3_3[[#This Row],[星级]]=0,"","""w"&amp;500+表3_3[[#This Row],[皮肤id]]&amp;""","&amp;VLOOKUP(表3_3[[#This Row],[星级]],description!$C$1:$D$13,2,FALSE))&amp;"]"</f>
        <v>["w504",100]</v>
      </c>
      <c r="F50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["04z1","wp_star_04",""]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0.02</v>
      </c>
      <c r="M50" s="3">
        <v>0</v>
      </c>
      <c r="N50" s="3">
        <v>2</v>
      </c>
      <c r="O50" s="3">
        <v>0</v>
      </c>
      <c r="P50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weapons_effect_b_4</v>
      </c>
    </row>
    <row r="51" spans="1:16" x14ac:dyDescent="0.15">
      <c r="A51" s="3">
        <f t="shared" si="0"/>
        <v>4</v>
      </c>
      <c r="B51" s="3">
        <v>7</v>
      </c>
      <c r="C51" s="3">
        <v>840</v>
      </c>
      <c r="D51" s="3">
        <v>1500000</v>
      </c>
      <c r="E51" s="3" t="str">
        <f>"["&amp;IF(表3_3[[#This Row],[星级]]=0,"","""w"&amp;500+表3_3[[#This Row],[皮肤id]]&amp;""","&amp;VLOOKUP(表3_3[[#This Row],[星级]],description!$C$1:$D$13,2,FALSE))&amp;"]"</f>
        <v>["w504",150]</v>
      </c>
      <c r="F51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["04z1","wp_star_04",""]</v>
      </c>
      <c r="G51" s="3">
        <v>0</v>
      </c>
      <c r="H51" s="3">
        <v>0</v>
      </c>
      <c r="I51" s="3">
        <v>0</v>
      </c>
      <c r="J51" s="3">
        <v>0</v>
      </c>
      <c r="K51" s="3">
        <v>0</v>
      </c>
      <c r="L51" s="3">
        <v>0.02</v>
      </c>
      <c r="M51" s="3">
        <v>0</v>
      </c>
      <c r="N51" s="3">
        <v>3</v>
      </c>
      <c r="O51" s="3">
        <v>0</v>
      </c>
      <c r="P51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weapons_effect_b_4</v>
      </c>
    </row>
    <row r="52" spans="1:16" x14ac:dyDescent="0.15">
      <c r="A52" s="3">
        <f t="shared" si="0"/>
        <v>4</v>
      </c>
      <c r="B52" s="3">
        <v>8</v>
      </c>
      <c r="C52" s="3">
        <v>960</v>
      </c>
      <c r="D52" s="3">
        <v>2000000</v>
      </c>
      <c r="E52" s="3" t="str">
        <f>"["&amp;IF(表3_3[[#This Row],[星级]]=0,"","""w"&amp;500+表3_3[[#This Row],[皮肤id]]&amp;""","&amp;VLOOKUP(表3_3[[#This Row],[星级]],description!$C$1:$D$13,2,FALSE))&amp;"]"</f>
        <v>["w504",200]</v>
      </c>
      <c r="F52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["04z1","wp_star_04","3jie"]</v>
      </c>
      <c r="G52" s="3">
        <v>0</v>
      </c>
      <c r="H52" s="3">
        <v>0</v>
      </c>
      <c r="I52" s="3">
        <v>0</v>
      </c>
      <c r="J52" s="3">
        <v>0</v>
      </c>
      <c r="K52" s="3">
        <v>0</v>
      </c>
      <c r="L52" s="3">
        <v>0.02</v>
      </c>
      <c r="M52" s="3">
        <v>0</v>
      </c>
      <c r="N52" s="3">
        <v>3</v>
      </c>
      <c r="O52" s="3">
        <v>0</v>
      </c>
      <c r="P52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53" spans="1:16" x14ac:dyDescent="0.15">
      <c r="A53" s="3">
        <f t="shared" si="0"/>
        <v>4</v>
      </c>
      <c r="B53" s="3">
        <v>9</v>
      </c>
      <c r="C53" s="3">
        <v>1200</v>
      </c>
      <c r="D53" s="3">
        <v>2500000</v>
      </c>
      <c r="E53" s="3" t="str">
        <f>"["&amp;IF(表3_3[[#This Row],[星级]]=0,"","""w"&amp;500+表3_3[[#This Row],[皮肤id]]&amp;""","&amp;VLOOKUP(表3_3[[#This Row],[星级]],description!$C$1:$D$13,2,FALSE))&amp;"]"</f>
        <v>["w504",300]</v>
      </c>
      <c r="F53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["04z1","wp_star_04","3jie"]</v>
      </c>
      <c r="G53" s="3">
        <v>0</v>
      </c>
      <c r="H53" s="3">
        <v>0</v>
      </c>
      <c r="I53" s="3">
        <v>0</v>
      </c>
      <c r="J53" s="3">
        <v>0</v>
      </c>
      <c r="K53" s="3">
        <v>0</v>
      </c>
      <c r="L53" s="3">
        <v>0.02</v>
      </c>
      <c r="M53" s="3">
        <v>0</v>
      </c>
      <c r="N53" s="3">
        <v>4</v>
      </c>
      <c r="O53" s="3">
        <v>0</v>
      </c>
      <c r="P53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54" spans="1:16" x14ac:dyDescent="0.15">
      <c r="A54" s="3">
        <f t="shared" si="0"/>
        <v>4</v>
      </c>
      <c r="B54" s="3">
        <v>10</v>
      </c>
      <c r="C54" s="3">
        <v>1440</v>
      </c>
      <c r="D54" s="3">
        <v>3000000</v>
      </c>
      <c r="E54" s="3" t="str">
        <f>"["&amp;IF(表3_3[[#This Row],[星级]]=0,"","""w"&amp;500+表3_3[[#This Row],[皮肤id]]&amp;""","&amp;VLOOKUP(表3_3[[#This Row],[星级]],description!$C$1:$D$13,2,FALSE))&amp;"]"</f>
        <v>["w504",400]</v>
      </c>
      <c r="F54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["04z1","wp_star_04","3jie"]</v>
      </c>
      <c r="G54" s="3">
        <v>0</v>
      </c>
      <c r="H54" s="3">
        <v>0</v>
      </c>
      <c r="I54" s="3">
        <v>0</v>
      </c>
      <c r="J54" s="3">
        <v>0</v>
      </c>
      <c r="K54" s="3">
        <v>0</v>
      </c>
      <c r="L54" s="3">
        <v>0.02</v>
      </c>
      <c r="M54" s="3">
        <v>0</v>
      </c>
      <c r="N54" s="3">
        <v>4</v>
      </c>
      <c r="O54" s="3">
        <v>0</v>
      </c>
      <c r="P54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55" spans="1:16" x14ac:dyDescent="0.15">
      <c r="A55" s="3">
        <f t="shared" si="0"/>
        <v>4</v>
      </c>
      <c r="B55" s="3">
        <v>11</v>
      </c>
      <c r="C55" s="3">
        <v>1680</v>
      </c>
      <c r="D55" s="3">
        <v>4000000</v>
      </c>
      <c r="E55" s="3" t="str">
        <f>"["&amp;IF(表3_3[[#This Row],[星级]]=0,"","""w"&amp;500+表3_3[[#This Row],[皮肤id]]&amp;""","&amp;VLOOKUP(表3_3[[#This Row],[星级]],description!$C$1:$D$13,2,FALSE))&amp;"]"</f>
        <v>["w504",600]</v>
      </c>
      <c r="F55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["04z1","wp_star_04","3jie"]</v>
      </c>
      <c r="G55" s="3">
        <v>0</v>
      </c>
      <c r="H55" s="3">
        <v>0</v>
      </c>
      <c r="I55" s="3">
        <v>0</v>
      </c>
      <c r="J55" s="3">
        <v>0</v>
      </c>
      <c r="K55" s="3">
        <v>0</v>
      </c>
      <c r="L55" s="3">
        <v>0.02</v>
      </c>
      <c r="M55" s="3">
        <v>0</v>
      </c>
      <c r="N55" s="3">
        <v>5</v>
      </c>
      <c r="O55" s="3">
        <v>0</v>
      </c>
      <c r="P55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56" spans="1:16" x14ac:dyDescent="0.15">
      <c r="A56" s="3">
        <f t="shared" si="0"/>
        <v>4</v>
      </c>
      <c r="B56" s="3">
        <v>12</v>
      </c>
      <c r="C56" s="3">
        <v>1920</v>
      </c>
      <c r="D56" s="3">
        <v>5000000</v>
      </c>
      <c r="E56" s="3" t="str">
        <f>"["&amp;IF(表3_3[[#This Row],[星级]]=0,"","""w"&amp;500+表3_3[[#This Row],[皮肤id]]&amp;""","&amp;VLOOKUP(表3_3[[#This Row],[星级]],description!$C$1:$D$13,2,FALSE))&amp;"]"</f>
        <v>["w504",800]</v>
      </c>
      <c r="F56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["04z1","wp_star_04","3jie"]</v>
      </c>
      <c r="G56" s="3">
        <v>0</v>
      </c>
      <c r="H56" s="3">
        <v>0</v>
      </c>
      <c r="I56" s="3">
        <v>0</v>
      </c>
      <c r="J56" s="3">
        <v>0</v>
      </c>
      <c r="K56" s="3">
        <v>0</v>
      </c>
      <c r="L56" s="3">
        <v>0.03</v>
      </c>
      <c r="M56" s="3">
        <v>0</v>
      </c>
      <c r="N56" s="3">
        <v>5</v>
      </c>
      <c r="O56" s="3">
        <v>0</v>
      </c>
      <c r="P56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57" spans="1:16" x14ac:dyDescent="0.15">
      <c r="A57" s="3">
        <f>A44+1</f>
        <v>5</v>
      </c>
      <c r="B57" s="3">
        <v>0</v>
      </c>
      <c r="C57" s="3">
        <v>0</v>
      </c>
      <c r="D57" s="3">
        <f>表3_3[[#This Row],[星级]]^2*20000+20000*表3_3[[#This Row],[星级]]</f>
        <v>0</v>
      </c>
      <c r="E57" s="3" t="str">
        <f>"["&amp;IF(表3_3[[#This Row],[星级]]=0,"","""w"&amp;500+表3_3[[#This Row],[皮肤id]]&amp;""","&amp;VLOOKUP(表3_3[[#This Row],[星级]],description!$C$1:$D$13,2,FALSE))&amp;"]"</f>
        <v>[]</v>
      </c>
      <c r="F57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["","",""]</v>
      </c>
      <c r="G57" s="3">
        <v>0</v>
      </c>
      <c r="H57" s="3">
        <v>0</v>
      </c>
      <c r="I57" s="3">
        <v>0</v>
      </c>
      <c r="J57" s="3">
        <v>0</v>
      </c>
      <c r="K57" s="3">
        <v>0</v>
      </c>
      <c r="L57" s="3">
        <v>0</v>
      </c>
      <c r="M57" s="3">
        <v>0</v>
      </c>
      <c r="N57" s="3">
        <v>0</v>
      </c>
      <c r="O57" s="3">
        <v>0</v>
      </c>
      <c r="P57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58" spans="1:16" x14ac:dyDescent="0.15">
      <c r="A58" s="3">
        <f t="shared" si="0"/>
        <v>5</v>
      </c>
      <c r="B58" s="3">
        <v>1</v>
      </c>
      <c r="C58" s="3">
        <v>45</v>
      </c>
      <c r="D58" s="3">
        <v>50000</v>
      </c>
      <c r="E58" s="3" t="str">
        <f>"["&amp;IF(表3_3[[#This Row],[星级]]=0,"","""w"&amp;500+表3_3[[#This Row],[皮肤id]]&amp;""","&amp;VLOOKUP(表3_3[[#This Row],[星级]],description!$C$1:$D$13,2,FALSE))&amp;"]"</f>
        <v>["w505",5]</v>
      </c>
      <c r="F58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["","",""]</v>
      </c>
      <c r="G58" s="3">
        <v>0</v>
      </c>
      <c r="H58" s="3">
        <v>0</v>
      </c>
      <c r="I58" s="3">
        <v>0</v>
      </c>
      <c r="J58" s="3">
        <v>0</v>
      </c>
      <c r="K58" s="3">
        <v>0</v>
      </c>
      <c r="L58" s="3">
        <v>0</v>
      </c>
      <c r="M58" s="3">
        <v>0</v>
      </c>
      <c r="N58" s="3">
        <v>1</v>
      </c>
      <c r="O58" s="3">
        <v>0</v>
      </c>
      <c r="P58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59" spans="1:16" x14ac:dyDescent="0.15">
      <c r="A59" s="3">
        <f t="shared" si="0"/>
        <v>5</v>
      </c>
      <c r="B59" s="3">
        <v>2</v>
      </c>
      <c r="C59" s="3">
        <v>90</v>
      </c>
      <c r="D59" s="3">
        <v>200000</v>
      </c>
      <c r="E59" s="3" t="str">
        <f>"["&amp;IF(表3_3[[#This Row],[星级]]=0,"","""w"&amp;500+表3_3[[#This Row],[皮肤id]]&amp;""","&amp;VLOOKUP(表3_3[[#This Row],[星级]],description!$C$1:$D$13,2,FALSE))&amp;"]"</f>
        <v>["w505",10]</v>
      </c>
      <c r="F59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["05z1","",""]</v>
      </c>
      <c r="G59" s="3">
        <v>0</v>
      </c>
      <c r="H59" s="3">
        <v>0</v>
      </c>
      <c r="I59" s="3">
        <v>0</v>
      </c>
      <c r="J59" s="3">
        <v>0</v>
      </c>
      <c r="K59" s="3">
        <v>0</v>
      </c>
      <c r="L59" s="3">
        <v>0</v>
      </c>
      <c r="M59" s="3">
        <v>0</v>
      </c>
      <c r="N59" s="3">
        <v>1</v>
      </c>
      <c r="O59" s="3">
        <v>0</v>
      </c>
      <c r="P59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weapons_effect_a_5</v>
      </c>
    </row>
    <row r="60" spans="1:16" x14ac:dyDescent="0.15">
      <c r="A60" s="3">
        <f t="shared" si="0"/>
        <v>5</v>
      </c>
      <c r="B60" s="3">
        <v>3</v>
      </c>
      <c r="C60" s="3">
        <v>135</v>
      </c>
      <c r="D60" s="3">
        <v>400000</v>
      </c>
      <c r="E60" s="3" t="str">
        <f>"["&amp;IF(表3_3[[#This Row],[星级]]=0,"","""w"&amp;500+表3_3[[#This Row],[皮肤id]]&amp;""","&amp;VLOOKUP(表3_3[[#This Row],[星级]],description!$C$1:$D$13,2,FALSE))&amp;"]"</f>
        <v>["w505",20]</v>
      </c>
      <c r="F60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["05z1","",""]</v>
      </c>
      <c r="G60" s="3">
        <v>0</v>
      </c>
      <c r="H60" s="3">
        <v>0</v>
      </c>
      <c r="I60" s="3">
        <v>0</v>
      </c>
      <c r="J60" s="3">
        <v>0.01</v>
      </c>
      <c r="K60" s="3">
        <v>0</v>
      </c>
      <c r="L60" s="3">
        <v>0</v>
      </c>
      <c r="M60" s="3">
        <v>0</v>
      </c>
      <c r="N60" s="3">
        <v>1</v>
      </c>
      <c r="O60" s="3">
        <v>0</v>
      </c>
      <c r="P60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weapons_effect_a_5</v>
      </c>
    </row>
    <row r="61" spans="1:16" x14ac:dyDescent="0.15">
      <c r="A61" s="3">
        <f t="shared" si="0"/>
        <v>5</v>
      </c>
      <c r="B61" s="3">
        <v>4</v>
      </c>
      <c r="C61" s="3">
        <v>180</v>
      </c>
      <c r="D61" s="3">
        <v>600000</v>
      </c>
      <c r="E61" s="3" t="str">
        <f>"["&amp;IF(表3_3[[#This Row],[星级]]=0,"","""w"&amp;500+表3_3[[#This Row],[皮肤id]]&amp;""","&amp;VLOOKUP(表3_3[[#This Row],[星级]],description!$C$1:$D$13,2,FALSE))&amp;"]"</f>
        <v>["w505",30]</v>
      </c>
      <c r="F61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["05z1","",""]</v>
      </c>
      <c r="G61" s="3">
        <v>0</v>
      </c>
      <c r="H61" s="3">
        <v>0</v>
      </c>
      <c r="I61" s="3">
        <v>0</v>
      </c>
      <c r="J61" s="3">
        <v>0.01</v>
      </c>
      <c r="K61" s="3">
        <v>0</v>
      </c>
      <c r="L61" s="3">
        <v>0</v>
      </c>
      <c r="M61" s="3">
        <v>0</v>
      </c>
      <c r="N61" s="3">
        <v>2</v>
      </c>
      <c r="O61" s="3">
        <v>0</v>
      </c>
      <c r="P61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weapons_effect_a_5</v>
      </c>
    </row>
    <row r="62" spans="1:16" x14ac:dyDescent="0.15">
      <c r="A62" s="3">
        <f t="shared" si="0"/>
        <v>5</v>
      </c>
      <c r="B62" s="3">
        <v>5</v>
      </c>
      <c r="C62" s="3">
        <v>225</v>
      </c>
      <c r="D62" s="3">
        <v>800000</v>
      </c>
      <c r="E62" s="3" t="str">
        <f>"["&amp;IF(表3_3[[#This Row],[星级]]=0,"","""w"&amp;500+表3_3[[#This Row],[皮肤id]]&amp;""","&amp;VLOOKUP(表3_3[[#This Row],[星级]],description!$C$1:$D$13,2,FALSE))&amp;"]"</f>
        <v>["w505",60]</v>
      </c>
      <c r="F62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["05z1","wp_star_05",""]</v>
      </c>
      <c r="G62" s="3">
        <v>0</v>
      </c>
      <c r="H62" s="3">
        <v>0</v>
      </c>
      <c r="I62" s="3">
        <v>0</v>
      </c>
      <c r="J62" s="3">
        <v>0.01</v>
      </c>
      <c r="K62" s="3">
        <v>0</v>
      </c>
      <c r="L62" s="3">
        <v>0</v>
      </c>
      <c r="M62" s="3">
        <v>0</v>
      </c>
      <c r="N62" s="3">
        <v>2</v>
      </c>
      <c r="O62" s="3">
        <v>0</v>
      </c>
      <c r="P62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weapons_effect_b_5</v>
      </c>
    </row>
    <row r="63" spans="1:16" x14ac:dyDescent="0.15">
      <c r="A63" s="3">
        <f t="shared" si="0"/>
        <v>5</v>
      </c>
      <c r="B63" s="3">
        <v>6</v>
      </c>
      <c r="C63" s="3">
        <v>270</v>
      </c>
      <c r="D63" s="3">
        <v>1000000</v>
      </c>
      <c r="E63" s="3" t="str">
        <f>"["&amp;IF(表3_3[[#This Row],[星级]]=0,"","""w"&amp;500+表3_3[[#This Row],[皮肤id]]&amp;""","&amp;VLOOKUP(表3_3[[#This Row],[星级]],description!$C$1:$D$13,2,FALSE))&amp;"]"</f>
        <v>["w505",100]</v>
      </c>
      <c r="F63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["05z1","wp_star_05",""]</v>
      </c>
      <c r="G63" s="3">
        <v>0</v>
      </c>
      <c r="H63" s="3">
        <v>0</v>
      </c>
      <c r="I63" s="3">
        <v>0</v>
      </c>
      <c r="J63" s="3">
        <v>0.02</v>
      </c>
      <c r="K63" s="3">
        <v>0</v>
      </c>
      <c r="L63" s="3">
        <v>0</v>
      </c>
      <c r="M63" s="3">
        <v>0</v>
      </c>
      <c r="N63" s="3">
        <v>2</v>
      </c>
      <c r="O63" s="3">
        <v>0</v>
      </c>
      <c r="P63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weapons_effect_b_5</v>
      </c>
    </row>
    <row r="64" spans="1:16" x14ac:dyDescent="0.15">
      <c r="A64" s="3">
        <f t="shared" si="0"/>
        <v>5</v>
      </c>
      <c r="B64" s="3">
        <v>7</v>
      </c>
      <c r="C64" s="3">
        <v>315</v>
      </c>
      <c r="D64" s="3">
        <v>1500000</v>
      </c>
      <c r="E64" s="3" t="str">
        <f>"["&amp;IF(表3_3[[#This Row],[星级]]=0,"","""w"&amp;500+表3_3[[#This Row],[皮肤id]]&amp;""","&amp;VLOOKUP(表3_3[[#This Row],[星级]],description!$C$1:$D$13,2,FALSE))&amp;"]"</f>
        <v>["w505",150]</v>
      </c>
      <c r="F64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["05z1","wp_star_05",""]</v>
      </c>
      <c r="G64" s="3">
        <v>0</v>
      </c>
      <c r="H64" s="3">
        <v>0</v>
      </c>
      <c r="I64" s="3">
        <v>0</v>
      </c>
      <c r="J64" s="3">
        <v>0.02</v>
      </c>
      <c r="K64" s="3">
        <v>0</v>
      </c>
      <c r="L64" s="3">
        <v>0</v>
      </c>
      <c r="M64" s="3">
        <v>0</v>
      </c>
      <c r="N64" s="3">
        <v>3</v>
      </c>
      <c r="O64" s="3">
        <v>0</v>
      </c>
      <c r="P64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weapons_effect_b_5</v>
      </c>
    </row>
    <row r="65" spans="1:16" x14ac:dyDescent="0.15">
      <c r="A65" s="3">
        <f t="shared" si="0"/>
        <v>5</v>
      </c>
      <c r="B65" s="3">
        <v>8</v>
      </c>
      <c r="C65" s="3">
        <v>360</v>
      </c>
      <c r="D65" s="3">
        <v>2000000</v>
      </c>
      <c r="E65" s="3" t="str">
        <f>"["&amp;IF(表3_3[[#This Row],[星级]]=0,"","""w"&amp;500+表3_3[[#This Row],[皮肤id]]&amp;""","&amp;VLOOKUP(表3_3[[#This Row],[星级]],description!$C$1:$D$13,2,FALSE))&amp;"]"</f>
        <v>["w505",200]</v>
      </c>
      <c r="F65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["05z1","wp_star_05","3jie"]</v>
      </c>
      <c r="G65" s="3">
        <v>0</v>
      </c>
      <c r="H65" s="3">
        <v>0</v>
      </c>
      <c r="I65" s="3">
        <v>0</v>
      </c>
      <c r="J65" s="3">
        <v>0.02</v>
      </c>
      <c r="K65" s="3">
        <v>0</v>
      </c>
      <c r="L65" s="3">
        <v>0</v>
      </c>
      <c r="M65" s="3">
        <v>0</v>
      </c>
      <c r="N65" s="3">
        <v>3</v>
      </c>
      <c r="O65" s="3">
        <v>0</v>
      </c>
      <c r="P65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66" spans="1:16" x14ac:dyDescent="0.15">
      <c r="A66" s="3">
        <f t="shared" si="0"/>
        <v>5</v>
      </c>
      <c r="B66" s="3">
        <v>9</v>
      </c>
      <c r="C66" s="3">
        <v>450</v>
      </c>
      <c r="D66" s="3">
        <v>2500000</v>
      </c>
      <c r="E66" s="3" t="str">
        <f>"["&amp;IF(表3_3[[#This Row],[星级]]=0,"","""w"&amp;500+表3_3[[#This Row],[皮肤id]]&amp;""","&amp;VLOOKUP(表3_3[[#This Row],[星级]],description!$C$1:$D$13,2,FALSE))&amp;"]"</f>
        <v>["w505",300]</v>
      </c>
      <c r="F66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["05z1","wp_star_05","3jie"]</v>
      </c>
      <c r="G66" s="3">
        <v>0</v>
      </c>
      <c r="H66" s="3">
        <v>0</v>
      </c>
      <c r="I66" s="3">
        <v>0</v>
      </c>
      <c r="J66" s="3">
        <v>0.02</v>
      </c>
      <c r="K66" s="3">
        <v>0</v>
      </c>
      <c r="L66" s="3">
        <v>0</v>
      </c>
      <c r="M66" s="3">
        <v>0</v>
      </c>
      <c r="N66" s="3">
        <v>4</v>
      </c>
      <c r="O66" s="3">
        <v>0</v>
      </c>
      <c r="P66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67" spans="1:16" x14ac:dyDescent="0.15">
      <c r="A67" s="3">
        <f t="shared" si="0"/>
        <v>5</v>
      </c>
      <c r="B67" s="3">
        <v>10</v>
      </c>
      <c r="C67" s="3">
        <v>540</v>
      </c>
      <c r="D67" s="3">
        <v>3000000</v>
      </c>
      <c r="E67" s="3" t="str">
        <f>"["&amp;IF(表3_3[[#This Row],[星级]]=0,"","""w"&amp;500+表3_3[[#This Row],[皮肤id]]&amp;""","&amp;VLOOKUP(表3_3[[#This Row],[星级]],description!$C$1:$D$13,2,FALSE))&amp;"]"</f>
        <v>["w505",400]</v>
      </c>
      <c r="F67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["05z1","wp_star_05","3jie"]</v>
      </c>
      <c r="G67" s="3">
        <v>0</v>
      </c>
      <c r="H67" s="3">
        <v>0</v>
      </c>
      <c r="I67" s="3">
        <v>0</v>
      </c>
      <c r="J67" s="3">
        <v>0.02</v>
      </c>
      <c r="K67" s="3">
        <v>0</v>
      </c>
      <c r="L67" s="3">
        <v>0</v>
      </c>
      <c r="M67" s="3">
        <v>0</v>
      </c>
      <c r="N67" s="3">
        <v>4</v>
      </c>
      <c r="O67" s="3">
        <v>0</v>
      </c>
      <c r="P67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68" spans="1:16" x14ac:dyDescent="0.15">
      <c r="A68" s="3">
        <f t="shared" si="0"/>
        <v>5</v>
      </c>
      <c r="B68" s="3">
        <v>11</v>
      </c>
      <c r="C68" s="3">
        <v>630</v>
      </c>
      <c r="D68" s="3">
        <v>4000000</v>
      </c>
      <c r="E68" s="3" t="str">
        <f>"["&amp;IF(表3_3[[#This Row],[星级]]=0,"","""w"&amp;500+表3_3[[#This Row],[皮肤id]]&amp;""","&amp;VLOOKUP(表3_3[[#This Row],[星级]],description!$C$1:$D$13,2,FALSE))&amp;"]"</f>
        <v>["w505",600]</v>
      </c>
      <c r="F68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["05z1","wp_star_05","3jie"]</v>
      </c>
      <c r="G68" s="3">
        <v>0</v>
      </c>
      <c r="H68" s="3">
        <v>0</v>
      </c>
      <c r="I68" s="3">
        <v>0</v>
      </c>
      <c r="J68" s="3">
        <v>0.02</v>
      </c>
      <c r="K68" s="3">
        <v>0</v>
      </c>
      <c r="L68" s="3">
        <v>0</v>
      </c>
      <c r="M68" s="3">
        <v>0</v>
      </c>
      <c r="N68" s="3">
        <v>5</v>
      </c>
      <c r="O68" s="3">
        <v>0</v>
      </c>
      <c r="P68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69" spans="1:16" x14ac:dyDescent="0.15">
      <c r="A69" s="3">
        <f t="shared" si="0"/>
        <v>5</v>
      </c>
      <c r="B69" s="3">
        <v>12</v>
      </c>
      <c r="C69" s="3">
        <v>720</v>
      </c>
      <c r="D69" s="3">
        <v>5000000</v>
      </c>
      <c r="E69" s="3" t="str">
        <f>"["&amp;IF(表3_3[[#This Row],[星级]]=0,"","""w"&amp;500+表3_3[[#This Row],[皮肤id]]&amp;""","&amp;VLOOKUP(表3_3[[#This Row],[星级]],description!$C$1:$D$13,2,FALSE))&amp;"]"</f>
        <v>["w505",800]</v>
      </c>
      <c r="F69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["05z1","wp_star_05","3jie"]</v>
      </c>
      <c r="G69" s="3">
        <v>0</v>
      </c>
      <c r="H69" s="3">
        <v>0</v>
      </c>
      <c r="I69" s="3">
        <v>0</v>
      </c>
      <c r="J69" s="3">
        <v>0.03</v>
      </c>
      <c r="K69" s="3">
        <v>0</v>
      </c>
      <c r="L69" s="3">
        <v>0</v>
      </c>
      <c r="M69" s="3">
        <v>0</v>
      </c>
      <c r="N69" s="3">
        <v>5</v>
      </c>
      <c r="O69" s="3">
        <v>0</v>
      </c>
      <c r="P69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70" spans="1:16" x14ac:dyDescent="0.15">
      <c r="A70" s="3">
        <f>A57+1</f>
        <v>6</v>
      </c>
      <c r="B70" s="3">
        <v>0</v>
      </c>
      <c r="C70" s="3">
        <v>0</v>
      </c>
      <c r="D70" s="3">
        <f>表3_3[[#This Row],[星级]]^2*20000+20000*表3_3[[#This Row],[星级]]</f>
        <v>0</v>
      </c>
      <c r="E70" s="3" t="str">
        <f>"["&amp;IF(表3_3[[#This Row],[星级]]=0,"","""w"&amp;500+表3_3[[#This Row],[皮肤id]]&amp;""","&amp;VLOOKUP(表3_3[[#This Row],[星级]],description!$C$1:$D$13,2,FALSE))&amp;"]"</f>
        <v>[]</v>
      </c>
      <c r="F70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["","",""]</v>
      </c>
      <c r="G70" s="3">
        <v>0</v>
      </c>
      <c r="H70" s="3">
        <v>0</v>
      </c>
      <c r="I70" s="3">
        <v>0</v>
      </c>
      <c r="J70" s="3">
        <v>0</v>
      </c>
      <c r="K70" s="3">
        <v>0</v>
      </c>
      <c r="L70" s="3">
        <v>0</v>
      </c>
      <c r="M70" s="3">
        <v>0</v>
      </c>
      <c r="N70" s="3">
        <v>0</v>
      </c>
      <c r="O70" s="3">
        <v>0</v>
      </c>
      <c r="P70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71" spans="1:16" x14ac:dyDescent="0.15">
      <c r="A71" s="3">
        <f t="shared" si="0"/>
        <v>6</v>
      </c>
      <c r="B71" s="3">
        <v>1</v>
      </c>
      <c r="C71" s="3">
        <v>315</v>
      </c>
      <c r="D71" s="3">
        <v>50000</v>
      </c>
      <c r="E71" s="3" t="str">
        <f>"["&amp;IF(表3_3[[#This Row],[星级]]=0,"","""w"&amp;500+表3_3[[#This Row],[皮肤id]]&amp;""","&amp;VLOOKUP(表3_3[[#This Row],[星级]],description!$C$1:$D$13,2,FALSE))&amp;"]"</f>
        <v>["w506",5]</v>
      </c>
      <c r="F71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["","",""]</v>
      </c>
      <c r="G71" s="3">
        <v>0</v>
      </c>
      <c r="H71" s="3">
        <v>0</v>
      </c>
      <c r="I71" s="3">
        <v>1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72" spans="1:16" x14ac:dyDescent="0.15">
      <c r="A72" s="3">
        <f t="shared" si="0"/>
        <v>6</v>
      </c>
      <c r="B72" s="3">
        <v>2</v>
      </c>
      <c r="C72" s="3">
        <v>630</v>
      </c>
      <c r="D72" s="3">
        <v>200000</v>
      </c>
      <c r="E72" s="3" t="str">
        <f>"["&amp;IF(表3_3[[#This Row],[星级]]=0,"","""w"&amp;500+表3_3[[#This Row],[皮肤id]]&amp;""","&amp;VLOOKUP(表3_3[[#This Row],[星级]],description!$C$1:$D$13,2,FALSE))&amp;"]"</f>
        <v>["w506",10]</v>
      </c>
      <c r="F72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["06z1","",""]</v>
      </c>
      <c r="G72" s="3">
        <v>0</v>
      </c>
      <c r="H72" s="3">
        <v>0</v>
      </c>
      <c r="I72" s="3">
        <v>1</v>
      </c>
      <c r="J72" s="3">
        <v>0</v>
      </c>
      <c r="K72" s="3">
        <v>0</v>
      </c>
      <c r="L72" s="3">
        <v>0</v>
      </c>
      <c r="M72" s="3">
        <v>0</v>
      </c>
      <c r="N72" s="3">
        <v>0</v>
      </c>
      <c r="O72" s="3">
        <v>0</v>
      </c>
      <c r="P72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weapons_effect_a_6</v>
      </c>
    </row>
    <row r="73" spans="1:16" x14ac:dyDescent="0.15">
      <c r="A73" s="3">
        <f t="shared" si="0"/>
        <v>6</v>
      </c>
      <c r="B73" s="3">
        <v>3</v>
      </c>
      <c r="C73" s="3">
        <v>945</v>
      </c>
      <c r="D73" s="3">
        <v>400000</v>
      </c>
      <c r="E73" s="3" t="str">
        <f>"["&amp;IF(表3_3[[#This Row],[星级]]=0,"","""w"&amp;500+表3_3[[#This Row],[皮肤id]]&amp;""","&amp;VLOOKUP(表3_3[[#This Row],[星级]],description!$C$1:$D$13,2,FALSE))&amp;"]"</f>
        <v>["w506",20]</v>
      </c>
      <c r="F73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["06z1","",""]</v>
      </c>
      <c r="G73" s="3">
        <v>0</v>
      </c>
      <c r="H73" s="3">
        <v>0</v>
      </c>
      <c r="I73" s="3">
        <v>1</v>
      </c>
      <c r="J73" s="3">
        <v>0</v>
      </c>
      <c r="K73" s="3">
        <v>0.01</v>
      </c>
      <c r="L73" s="3">
        <v>0</v>
      </c>
      <c r="M73" s="3">
        <v>0</v>
      </c>
      <c r="N73" s="3">
        <v>0</v>
      </c>
      <c r="O73" s="3">
        <v>0</v>
      </c>
      <c r="P73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weapons_effect_a_6</v>
      </c>
    </row>
    <row r="74" spans="1:16" x14ac:dyDescent="0.15">
      <c r="A74" s="3">
        <f t="shared" si="0"/>
        <v>6</v>
      </c>
      <c r="B74" s="3">
        <v>4</v>
      </c>
      <c r="C74" s="3">
        <v>1260</v>
      </c>
      <c r="D74" s="3">
        <v>600000</v>
      </c>
      <c r="E74" s="3" t="str">
        <f>"["&amp;IF(表3_3[[#This Row],[星级]]=0,"","""w"&amp;500+表3_3[[#This Row],[皮肤id]]&amp;""","&amp;VLOOKUP(表3_3[[#This Row],[星级]],description!$C$1:$D$13,2,FALSE))&amp;"]"</f>
        <v>["w506",30]</v>
      </c>
      <c r="F74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["06z1","",""]</v>
      </c>
      <c r="G74" s="3">
        <v>0</v>
      </c>
      <c r="H74" s="3">
        <v>0</v>
      </c>
      <c r="I74" s="3">
        <v>2</v>
      </c>
      <c r="J74" s="3">
        <v>0</v>
      </c>
      <c r="K74" s="3">
        <v>0.01</v>
      </c>
      <c r="L74" s="3">
        <v>0</v>
      </c>
      <c r="M74" s="3">
        <v>0</v>
      </c>
      <c r="N74" s="3">
        <v>0</v>
      </c>
      <c r="O74" s="3">
        <v>0</v>
      </c>
      <c r="P74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weapons_effect_a_6</v>
      </c>
    </row>
    <row r="75" spans="1:16" x14ac:dyDescent="0.15">
      <c r="A75" s="3">
        <f t="shared" si="0"/>
        <v>6</v>
      </c>
      <c r="B75" s="3">
        <v>5</v>
      </c>
      <c r="C75" s="3">
        <v>1575</v>
      </c>
      <c r="D75" s="3">
        <v>800000</v>
      </c>
      <c r="E75" s="3" t="str">
        <f>"["&amp;IF(表3_3[[#This Row],[星级]]=0,"","""w"&amp;500+表3_3[[#This Row],[皮肤id]]&amp;""","&amp;VLOOKUP(表3_3[[#This Row],[星级]],description!$C$1:$D$13,2,FALSE))&amp;"]"</f>
        <v>["w506",60]</v>
      </c>
      <c r="F75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["06z1","wp_star_06",""]</v>
      </c>
      <c r="G75" s="3">
        <v>0</v>
      </c>
      <c r="H75" s="3">
        <v>0</v>
      </c>
      <c r="I75" s="3">
        <v>2</v>
      </c>
      <c r="J75" s="3">
        <v>0</v>
      </c>
      <c r="K75" s="3">
        <v>0.01</v>
      </c>
      <c r="L75" s="3">
        <v>0</v>
      </c>
      <c r="M75" s="3">
        <v>0</v>
      </c>
      <c r="N75" s="3">
        <v>0</v>
      </c>
      <c r="O75" s="3">
        <v>0</v>
      </c>
      <c r="P75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weapons_effect_b_6</v>
      </c>
    </row>
    <row r="76" spans="1:16" x14ac:dyDescent="0.15">
      <c r="A76" s="3">
        <f t="shared" si="0"/>
        <v>6</v>
      </c>
      <c r="B76" s="3">
        <v>6</v>
      </c>
      <c r="C76" s="3">
        <v>1890</v>
      </c>
      <c r="D76" s="3">
        <v>1000000</v>
      </c>
      <c r="E76" s="3" t="str">
        <f>"["&amp;IF(表3_3[[#This Row],[星级]]=0,"","""w"&amp;500+表3_3[[#This Row],[皮肤id]]&amp;""","&amp;VLOOKUP(表3_3[[#This Row],[星级]],description!$C$1:$D$13,2,FALSE))&amp;"]"</f>
        <v>["w506",100]</v>
      </c>
      <c r="F76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["06z1","wp_star_06",""]</v>
      </c>
      <c r="G76" s="3">
        <v>0</v>
      </c>
      <c r="H76" s="3">
        <v>0</v>
      </c>
      <c r="I76" s="3">
        <v>2</v>
      </c>
      <c r="J76" s="3">
        <v>0</v>
      </c>
      <c r="K76" s="3">
        <v>0.02</v>
      </c>
      <c r="L76" s="3">
        <v>0</v>
      </c>
      <c r="M76" s="3">
        <v>0</v>
      </c>
      <c r="N76" s="3">
        <v>0</v>
      </c>
      <c r="O76" s="3">
        <v>0</v>
      </c>
      <c r="P76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weapons_effect_b_6</v>
      </c>
    </row>
    <row r="77" spans="1:16" x14ac:dyDescent="0.15">
      <c r="A77" s="3">
        <f t="shared" si="0"/>
        <v>6</v>
      </c>
      <c r="B77" s="3">
        <v>7</v>
      </c>
      <c r="C77" s="3">
        <v>2205</v>
      </c>
      <c r="D77" s="3">
        <v>1500000</v>
      </c>
      <c r="E77" s="3" t="str">
        <f>"["&amp;IF(表3_3[[#This Row],[星级]]=0,"","""w"&amp;500+表3_3[[#This Row],[皮肤id]]&amp;""","&amp;VLOOKUP(表3_3[[#This Row],[星级]],description!$C$1:$D$13,2,FALSE))&amp;"]"</f>
        <v>["w506",150]</v>
      </c>
      <c r="F77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["06z1","wp_star_06",""]</v>
      </c>
      <c r="G77" s="3">
        <v>0</v>
      </c>
      <c r="H77" s="3">
        <v>0</v>
      </c>
      <c r="I77" s="3">
        <v>3</v>
      </c>
      <c r="J77" s="3">
        <v>0</v>
      </c>
      <c r="K77" s="3">
        <v>0.02</v>
      </c>
      <c r="L77" s="3">
        <v>0</v>
      </c>
      <c r="M77" s="3">
        <v>0</v>
      </c>
      <c r="N77" s="3">
        <v>0</v>
      </c>
      <c r="O77" s="3">
        <v>0</v>
      </c>
      <c r="P77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weapons_effect_b_6</v>
      </c>
    </row>
    <row r="78" spans="1:16" x14ac:dyDescent="0.15">
      <c r="A78" s="3">
        <f t="shared" si="0"/>
        <v>6</v>
      </c>
      <c r="B78" s="3">
        <v>8</v>
      </c>
      <c r="C78" s="3">
        <v>2520</v>
      </c>
      <c r="D78" s="3">
        <v>2000000</v>
      </c>
      <c r="E78" s="3" t="str">
        <f>"["&amp;IF(表3_3[[#This Row],[星级]]=0,"","""w"&amp;500+表3_3[[#This Row],[皮肤id]]&amp;""","&amp;VLOOKUP(表3_3[[#This Row],[星级]],description!$C$1:$D$13,2,FALSE))&amp;"]"</f>
        <v>["w506",200]</v>
      </c>
      <c r="F78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["06z1","wp_star_06","3jie"]</v>
      </c>
      <c r="G78" s="3">
        <v>0</v>
      </c>
      <c r="H78" s="3">
        <v>0</v>
      </c>
      <c r="I78" s="3">
        <v>3</v>
      </c>
      <c r="J78" s="3">
        <v>0</v>
      </c>
      <c r="K78" s="3">
        <v>0.02</v>
      </c>
      <c r="L78" s="3">
        <v>0</v>
      </c>
      <c r="M78" s="3">
        <v>0</v>
      </c>
      <c r="N78" s="3">
        <v>0</v>
      </c>
      <c r="O78" s="3">
        <v>0</v>
      </c>
      <c r="P78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79" spans="1:16" x14ac:dyDescent="0.15">
      <c r="A79" s="3">
        <f t="shared" si="0"/>
        <v>6</v>
      </c>
      <c r="B79" s="3">
        <v>9</v>
      </c>
      <c r="C79" s="3">
        <v>3150</v>
      </c>
      <c r="D79" s="3">
        <v>2500000</v>
      </c>
      <c r="E79" s="3" t="str">
        <f>"["&amp;IF(表3_3[[#This Row],[星级]]=0,"","""w"&amp;500+表3_3[[#This Row],[皮肤id]]&amp;""","&amp;VLOOKUP(表3_3[[#This Row],[星级]],description!$C$1:$D$13,2,FALSE))&amp;"]"</f>
        <v>["w506",300]</v>
      </c>
      <c r="F79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["06z1","wp_star_06","3jie"]</v>
      </c>
      <c r="G79" s="3">
        <v>0</v>
      </c>
      <c r="H79" s="3">
        <v>0</v>
      </c>
      <c r="I79" s="3">
        <v>4</v>
      </c>
      <c r="J79" s="3">
        <v>0</v>
      </c>
      <c r="K79" s="3">
        <v>0.02</v>
      </c>
      <c r="L79" s="3">
        <v>0</v>
      </c>
      <c r="M79" s="3">
        <v>0</v>
      </c>
      <c r="N79" s="3">
        <v>0</v>
      </c>
      <c r="O79" s="3">
        <v>0</v>
      </c>
      <c r="P79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80" spans="1:16" x14ac:dyDescent="0.15">
      <c r="A80" s="3">
        <f t="shared" si="0"/>
        <v>6</v>
      </c>
      <c r="B80" s="3">
        <v>10</v>
      </c>
      <c r="C80" s="3">
        <v>3780</v>
      </c>
      <c r="D80" s="3">
        <v>3000000</v>
      </c>
      <c r="E80" s="3" t="str">
        <f>"["&amp;IF(表3_3[[#This Row],[星级]]=0,"","""w"&amp;500+表3_3[[#This Row],[皮肤id]]&amp;""","&amp;VLOOKUP(表3_3[[#This Row],[星级]],description!$C$1:$D$13,2,FALSE))&amp;"]"</f>
        <v>["w506",400]</v>
      </c>
      <c r="F80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["06z1","wp_star_06","3jie"]</v>
      </c>
      <c r="G80" s="3">
        <v>0</v>
      </c>
      <c r="H80" s="3">
        <v>0</v>
      </c>
      <c r="I80" s="3">
        <v>4</v>
      </c>
      <c r="J80" s="3">
        <v>0</v>
      </c>
      <c r="K80" s="3">
        <v>0.02</v>
      </c>
      <c r="L80" s="3">
        <v>0</v>
      </c>
      <c r="M80" s="3">
        <v>0</v>
      </c>
      <c r="N80" s="3">
        <v>0</v>
      </c>
      <c r="O80" s="3">
        <v>0</v>
      </c>
      <c r="P80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81" spans="1:16" x14ac:dyDescent="0.15">
      <c r="A81" s="3">
        <f t="shared" si="0"/>
        <v>6</v>
      </c>
      <c r="B81" s="3">
        <v>11</v>
      </c>
      <c r="C81" s="3">
        <v>4410</v>
      </c>
      <c r="D81" s="3">
        <v>4000000</v>
      </c>
      <c r="E81" s="3" t="str">
        <f>"["&amp;IF(表3_3[[#This Row],[星级]]=0,"","""w"&amp;500+表3_3[[#This Row],[皮肤id]]&amp;""","&amp;VLOOKUP(表3_3[[#This Row],[星级]],description!$C$1:$D$13,2,FALSE))&amp;"]"</f>
        <v>["w506",600]</v>
      </c>
      <c r="F81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["06z1","wp_star_06","3jie"]</v>
      </c>
      <c r="G81" s="3">
        <v>0</v>
      </c>
      <c r="H81" s="3">
        <v>0</v>
      </c>
      <c r="I81" s="3">
        <v>5</v>
      </c>
      <c r="J81" s="3">
        <v>0</v>
      </c>
      <c r="K81" s="3">
        <v>0.02</v>
      </c>
      <c r="L81" s="3">
        <v>0</v>
      </c>
      <c r="M81" s="3">
        <v>0</v>
      </c>
      <c r="N81" s="3">
        <v>0</v>
      </c>
      <c r="O81" s="3">
        <v>0</v>
      </c>
      <c r="P81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82" spans="1:16" x14ac:dyDescent="0.15">
      <c r="A82" s="3">
        <f t="shared" si="0"/>
        <v>6</v>
      </c>
      <c r="B82" s="3">
        <v>12</v>
      </c>
      <c r="C82" s="3">
        <v>5040</v>
      </c>
      <c r="D82" s="3">
        <v>5000000</v>
      </c>
      <c r="E82" s="3" t="str">
        <f>"["&amp;IF(表3_3[[#This Row],[星级]]=0,"","""w"&amp;500+表3_3[[#This Row],[皮肤id]]&amp;""","&amp;VLOOKUP(表3_3[[#This Row],[星级]],description!$C$1:$D$13,2,FALSE))&amp;"]"</f>
        <v>["w506",800]</v>
      </c>
      <c r="F82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["06z1","wp_star_06","3jie"]</v>
      </c>
      <c r="G82" s="3">
        <v>0</v>
      </c>
      <c r="H82" s="3">
        <v>0</v>
      </c>
      <c r="I82" s="3">
        <v>5</v>
      </c>
      <c r="J82" s="3">
        <v>0</v>
      </c>
      <c r="K82" s="3">
        <v>0.03</v>
      </c>
      <c r="L82" s="3">
        <v>0</v>
      </c>
      <c r="M82" s="3">
        <v>0</v>
      </c>
      <c r="N82" s="3">
        <v>0</v>
      </c>
      <c r="O82" s="3">
        <v>0</v>
      </c>
      <c r="P82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83" spans="1:16" x14ac:dyDescent="0.15">
      <c r="A83" s="3">
        <f>A70+1</f>
        <v>7</v>
      </c>
      <c r="B83" s="3">
        <v>0</v>
      </c>
      <c r="C83" s="3">
        <v>0</v>
      </c>
      <c r="D83" s="3">
        <f>表3_3[[#This Row],[星级]]^2*20000+20000*表3_3[[#This Row],[星级]]</f>
        <v>0</v>
      </c>
      <c r="E83" s="3" t="str">
        <f>"["&amp;IF(表3_3[[#This Row],[星级]]=0,"","""w"&amp;500+表3_3[[#This Row],[皮肤id]]&amp;""","&amp;VLOOKUP(表3_3[[#This Row],[星级]],description!$C$1:$D$13,2,FALSE))&amp;"]"</f>
        <v>[]</v>
      </c>
      <c r="F83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["","",""]</v>
      </c>
      <c r="G83" s="3">
        <v>0</v>
      </c>
      <c r="H83" s="3">
        <v>0</v>
      </c>
      <c r="I83" s="3">
        <v>0</v>
      </c>
      <c r="J83" s="3">
        <v>0</v>
      </c>
      <c r="K83" s="3">
        <v>0</v>
      </c>
      <c r="L83" s="3">
        <v>0</v>
      </c>
      <c r="M83" s="3">
        <v>0</v>
      </c>
      <c r="N83" s="3">
        <v>0</v>
      </c>
      <c r="O83" s="3">
        <v>0</v>
      </c>
      <c r="P83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84" spans="1:16" x14ac:dyDescent="0.15">
      <c r="A84" s="3">
        <f t="shared" si="0"/>
        <v>7</v>
      </c>
      <c r="B84" s="3">
        <v>1</v>
      </c>
      <c r="C84" s="3">
        <v>345</v>
      </c>
      <c r="D84" s="3">
        <v>50000</v>
      </c>
      <c r="E84" s="3" t="str">
        <f>"["&amp;IF(表3_3[[#This Row],[星级]]=0,"","""w"&amp;500+表3_3[[#This Row],[皮肤id]]&amp;""","&amp;VLOOKUP(表3_3[[#This Row],[星级]],description!$C$1:$D$13,2,FALSE))&amp;"]"</f>
        <v>["w507",5]</v>
      </c>
      <c r="F84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["","",""]</v>
      </c>
      <c r="G84" s="3">
        <v>0</v>
      </c>
      <c r="H84" s="3">
        <v>3</v>
      </c>
      <c r="I84" s="3">
        <v>0</v>
      </c>
      <c r="J84" s="3">
        <v>0</v>
      </c>
      <c r="K84" s="3">
        <v>0</v>
      </c>
      <c r="L84" s="3">
        <v>0</v>
      </c>
      <c r="M84" s="3">
        <v>0</v>
      </c>
      <c r="N84" s="3">
        <v>0</v>
      </c>
      <c r="O84" s="3">
        <v>0</v>
      </c>
      <c r="P84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85" spans="1:16" x14ac:dyDescent="0.15">
      <c r="A85" s="3">
        <f t="shared" ref="A85:A95" si="1">A72+1</f>
        <v>7</v>
      </c>
      <c r="B85" s="3">
        <v>2</v>
      </c>
      <c r="C85" s="3">
        <v>690</v>
      </c>
      <c r="D85" s="3">
        <v>200000</v>
      </c>
      <c r="E85" s="3" t="str">
        <f>"["&amp;IF(表3_3[[#This Row],[星级]]=0,"","""w"&amp;500+表3_3[[#This Row],[皮肤id]]&amp;""","&amp;VLOOKUP(表3_3[[#This Row],[星级]],description!$C$1:$D$13,2,FALSE))&amp;"]"</f>
        <v>["w507",10]</v>
      </c>
      <c r="F85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["07z1","",""]</v>
      </c>
      <c r="G85" s="3">
        <v>0</v>
      </c>
      <c r="H85" s="3">
        <v>3</v>
      </c>
      <c r="I85" s="3">
        <v>0</v>
      </c>
      <c r="J85" s="3">
        <v>0</v>
      </c>
      <c r="K85" s="3">
        <v>0</v>
      </c>
      <c r="L85" s="3">
        <v>0</v>
      </c>
      <c r="M85" s="3">
        <v>0</v>
      </c>
      <c r="N85" s="3">
        <v>0</v>
      </c>
      <c r="O85" s="3">
        <v>0</v>
      </c>
      <c r="P85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weapons_effect_a_7</v>
      </c>
    </row>
    <row r="86" spans="1:16" x14ac:dyDescent="0.15">
      <c r="A86" s="3">
        <f t="shared" si="1"/>
        <v>7</v>
      </c>
      <c r="B86" s="3">
        <v>3</v>
      </c>
      <c r="C86" s="3">
        <v>1035</v>
      </c>
      <c r="D86" s="3">
        <v>400000</v>
      </c>
      <c r="E86" s="3" t="str">
        <f>"["&amp;IF(表3_3[[#This Row],[星级]]=0,"","""w"&amp;500+表3_3[[#This Row],[皮肤id]]&amp;""","&amp;VLOOKUP(表3_3[[#This Row],[星级]],description!$C$1:$D$13,2,FALSE))&amp;"]"</f>
        <v>["w507",20]</v>
      </c>
      <c r="F86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["07z1","",""]</v>
      </c>
      <c r="G86" s="3">
        <v>0</v>
      </c>
      <c r="H86" s="3">
        <v>3</v>
      </c>
      <c r="I86" s="3">
        <v>0</v>
      </c>
      <c r="J86" s="3">
        <v>0</v>
      </c>
      <c r="K86" s="3">
        <v>0.01</v>
      </c>
      <c r="L86" s="3">
        <v>0</v>
      </c>
      <c r="M86" s="3">
        <v>0</v>
      </c>
      <c r="N86" s="3">
        <v>0</v>
      </c>
      <c r="O86" s="3">
        <v>0</v>
      </c>
      <c r="P86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weapons_effect_a_7</v>
      </c>
    </row>
    <row r="87" spans="1:16" x14ac:dyDescent="0.15">
      <c r="A87" s="3">
        <f t="shared" si="1"/>
        <v>7</v>
      </c>
      <c r="B87" s="3">
        <v>4</v>
      </c>
      <c r="C87" s="3">
        <v>1380</v>
      </c>
      <c r="D87" s="3">
        <v>600000</v>
      </c>
      <c r="E87" s="3" t="str">
        <f>"["&amp;IF(表3_3[[#This Row],[星级]]=0,"","""w"&amp;500+表3_3[[#This Row],[皮肤id]]&amp;""","&amp;VLOOKUP(表3_3[[#This Row],[星级]],description!$C$1:$D$13,2,FALSE))&amp;"]"</f>
        <v>["w507",30]</v>
      </c>
      <c r="F87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["07z1","",""]</v>
      </c>
      <c r="G87" s="3">
        <v>0</v>
      </c>
      <c r="H87" s="3">
        <v>4</v>
      </c>
      <c r="I87" s="3">
        <v>0</v>
      </c>
      <c r="J87" s="3">
        <v>0</v>
      </c>
      <c r="K87" s="3">
        <v>0.01</v>
      </c>
      <c r="L87" s="3">
        <v>0</v>
      </c>
      <c r="M87" s="3">
        <v>0</v>
      </c>
      <c r="N87" s="3">
        <v>0</v>
      </c>
      <c r="O87" s="3">
        <v>0</v>
      </c>
      <c r="P87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weapons_effect_a_7</v>
      </c>
    </row>
    <row r="88" spans="1:16" x14ac:dyDescent="0.15">
      <c r="A88" s="3">
        <f t="shared" si="1"/>
        <v>7</v>
      </c>
      <c r="B88" s="3">
        <v>5</v>
      </c>
      <c r="C88" s="3">
        <v>1725</v>
      </c>
      <c r="D88" s="3">
        <v>800000</v>
      </c>
      <c r="E88" s="3" t="str">
        <f>"["&amp;IF(表3_3[[#This Row],[星级]]=0,"","""w"&amp;500+表3_3[[#This Row],[皮肤id]]&amp;""","&amp;VLOOKUP(表3_3[[#This Row],[星级]],description!$C$1:$D$13,2,FALSE))&amp;"]"</f>
        <v>["w507",60]</v>
      </c>
      <c r="F88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["07z1","wp_star_07",""]</v>
      </c>
      <c r="G88" s="3">
        <v>0</v>
      </c>
      <c r="H88" s="3">
        <v>4</v>
      </c>
      <c r="I88" s="3">
        <v>0</v>
      </c>
      <c r="J88" s="3">
        <v>0</v>
      </c>
      <c r="K88" s="3">
        <v>0.01</v>
      </c>
      <c r="L88" s="3">
        <v>0</v>
      </c>
      <c r="M88" s="3">
        <v>0</v>
      </c>
      <c r="N88" s="3">
        <v>0</v>
      </c>
      <c r="O88" s="3">
        <v>0</v>
      </c>
      <c r="P88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weapons_effect_b_7</v>
      </c>
    </row>
    <row r="89" spans="1:16" x14ac:dyDescent="0.15">
      <c r="A89" s="3">
        <f t="shared" si="1"/>
        <v>7</v>
      </c>
      <c r="B89" s="3">
        <v>6</v>
      </c>
      <c r="C89" s="3">
        <v>2070</v>
      </c>
      <c r="D89" s="3">
        <v>1000000</v>
      </c>
      <c r="E89" s="3" t="str">
        <f>"["&amp;IF(表3_3[[#This Row],[星级]]=0,"","""w"&amp;500+表3_3[[#This Row],[皮肤id]]&amp;""","&amp;VLOOKUP(表3_3[[#This Row],[星级]],description!$C$1:$D$13,2,FALSE))&amp;"]"</f>
        <v>["w507",100]</v>
      </c>
      <c r="F89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["07z1","wp_star_07",""]</v>
      </c>
      <c r="G89" s="3">
        <v>0</v>
      </c>
      <c r="H89" s="3">
        <v>4</v>
      </c>
      <c r="I89" s="3">
        <v>0</v>
      </c>
      <c r="J89" s="3">
        <v>0</v>
      </c>
      <c r="K89" s="3">
        <v>0.02</v>
      </c>
      <c r="L89" s="3">
        <v>0</v>
      </c>
      <c r="M89" s="3">
        <v>0</v>
      </c>
      <c r="N89" s="3">
        <v>0</v>
      </c>
      <c r="O89" s="3">
        <v>0</v>
      </c>
      <c r="P89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weapons_effect_b_7</v>
      </c>
    </row>
    <row r="90" spans="1:16" x14ac:dyDescent="0.15">
      <c r="A90" s="3">
        <f t="shared" si="1"/>
        <v>7</v>
      </c>
      <c r="B90" s="3">
        <v>7</v>
      </c>
      <c r="C90" s="3">
        <v>2415</v>
      </c>
      <c r="D90" s="3">
        <v>1500000</v>
      </c>
      <c r="E90" s="3" t="str">
        <f>"["&amp;IF(表3_3[[#This Row],[星级]]=0,"","""w"&amp;500+表3_3[[#This Row],[皮肤id]]&amp;""","&amp;VLOOKUP(表3_3[[#This Row],[星级]],description!$C$1:$D$13,2,FALSE))&amp;"]"</f>
        <v>["w507",150]</v>
      </c>
      <c r="F90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["07z1","wp_star_07",""]</v>
      </c>
      <c r="G90" s="3">
        <v>0</v>
      </c>
      <c r="H90" s="3">
        <v>5</v>
      </c>
      <c r="I90" s="3">
        <v>0</v>
      </c>
      <c r="J90" s="3">
        <v>0</v>
      </c>
      <c r="K90" s="3">
        <v>0.02</v>
      </c>
      <c r="L90" s="3">
        <v>0</v>
      </c>
      <c r="M90" s="3">
        <v>0</v>
      </c>
      <c r="N90" s="3">
        <v>0</v>
      </c>
      <c r="O90" s="3">
        <v>0</v>
      </c>
      <c r="P90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weapons_effect_b_7</v>
      </c>
    </row>
    <row r="91" spans="1:16" x14ac:dyDescent="0.15">
      <c r="A91" s="3">
        <f t="shared" si="1"/>
        <v>7</v>
      </c>
      <c r="B91" s="3">
        <v>8</v>
      </c>
      <c r="C91" s="3">
        <v>2760</v>
      </c>
      <c r="D91" s="3">
        <v>2000000</v>
      </c>
      <c r="E91" s="3" t="str">
        <f>"["&amp;IF(表3_3[[#This Row],[星级]]=0,"","""w"&amp;500+表3_3[[#This Row],[皮肤id]]&amp;""","&amp;VLOOKUP(表3_3[[#This Row],[星级]],description!$C$1:$D$13,2,FALSE))&amp;"]"</f>
        <v>["w507",200]</v>
      </c>
      <c r="F91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["07z1","wp_star_07","3jie"]</v>
      </c>
      <c r="G91" s="3">
        <v>0</v>
      </c>
      <c r="H91" s="3">
        <v>5</v>
      </c>
      <c r="I91" s="3">
        <v>0</v>
      </c>
      <c r="J91" s="3">
        <v>0</v>
      </c>
      <c r="K91" s="3">
        <v>0.02</v>
      </c>
      <c r="L91" s="3">
        <v>0</v>
      </c>
      <c r="M91" s="3">
        <v>0</v>
      </c>
      <c r="N91" s="3">
        <v>0</v>
      </c>
      <c r="O91" s="3">
        <v>0</v>
      </c>
      <c r="P91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92" spans="1:16" x14ac:dyDescent="0.15">
      <c r="A92" s="3">
        <f t="shared" si="1"/>
        <v>7</v>
      </c>
      <c r="B92" s="3">
        <v>9</v>
      </c>
      <c r="C92" s="3">
        <v>3450</v>
      </c>
      <c r="D92" s="3">
        <v>2500000</v>
      </c>
      <c r="E92" s="3" t="str">
        <f>"["&amp;IF(表3_3[[#This Row],[星级]]=0,"","""w"&amp;500+表3_3[[#This Row],[皮肤id]]&amp;""","&amp;VLOOKUP(表3_3[[#This Row],[星级]],description!$C$1:$D$13,2,FALSE))&amp;"]"</f>
        <v>["w507",300]</v>
      </c>
      <c r="F92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["07z1","wp_star_07","3jie"]</v>
      </c>
      <c r="G92" s="3">
        <v>0</v>
      </c>
      <c r="H92" s="3">
        <v>6</v>
      </c>
      <c r="I92" s="3">
        <v>0</v>
      </c>
      <c r="J92" s="3">
        <v>0</v>
      </c>
      <c r="K92" s="3">
        <v>0.02</v>
      </c>
      <c r="L92" s="3">
        <v>0</v>
      </c>
      <c r="M92" s="3">
        <v>0</v>
      </c>
      <c r="N92" s="3">
        <v>0</v>
      </c>
      <c r="O92" s="3">
        <v>0</v>
      </c>
      <c r="P92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93" spans="1:16" x14ac:dyDescent="0.15">
      <c r="A93" s="3">
        <f t="shared" si="1"/>
        <v>7</v>
      </c>
      <c r="B93" s="3">
        <v>10</v>
      </c>
      <c r="C93" s="3">
        <v>4140</v>
      </c>
      <c r="D93" s="3">
        <v>3000000</v>
      </c>
      <c r="E93" s="3" t="str">
        <f>"["&amp;IF(表3_3[[#This Row],[星级]]=0,"","""w"&amp;500+表3_3[[#This Row],[皮肤id]]&amp;""","&amp;VLOOKUP(表3_3[[#This Row],[星级]],description!$C$1:$D$13,2,FALSE))&amp;"]"</f>
        <v>["w507",400]</v>
      </c>
      <c r="F93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["07z1","wp_star_07","3jie"]</v>
      </c>
      <c r="G93" s="3">
        <v>0</v>
      </c>
      <c r="H93" s="3">
        <v>6</v>
      </c>
      <c r="I93" s="3">
        <v>0</v>
      </c>
      <c r="J93" s="3">
        <v>0</v>
      </c>
      <c r="K93" s="3">
        <v>0.02</v>
      </c>
      <c r="L93" s="3">
        <v>0</v>
      </c>
      <c r="M93" s="3">
        <v>0</v>
      </c>
      <c r="N93" s="3">
        <v>0</v>
      </c>
      <c r="O93" s="3">
        <v>0</v>
      </c>
      <c r="P93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94" spans="1:16" x14ac:dyDescent="0.15">
      <c r="A94" s="3">
        <f t="shared" si="1"/>
        <v>7</v>
      </c>
      <c r="B94" s="3">
        <v>11</v>
      </c>
      <c r="C94" s="3">
        <v>4830</v>
      </c>
      <c r="D94" s="3">
        <v>4000000</v>
      </c>
      <c r="E94" s="3" t="str">
        <f>"["&amp;IF(表3_3[[#This Row],[星级]]=0,"","""w"&amp;500+表3_3[[#This Row],[皮肤id]]&amp;""","&amp;VLOOKUP(表3_3[[#This Row],[星级]],description!$C$1:$D$13,2,FALSE))&amp;"]"</f>
        <v>["w507",600]</v>
      </c>
      <c r="F94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["07z1","wp_star_07","3jie"]</v>
      </c>
      <c r="G94" s="3">
        <v>0</v>
      </c>
      <c r="H94" s="3">
        <v>8</v>
      </c>
      <c r="I94" s="3">
        <v>0</v>
      </c>
      <c r="J94" s="3">
        <v>0</v>
      </c>
      <c r="K94" s="3">
        <v>0.02</v>
      </c>
      <c r="L94" s="3">
        <v>0</v>
      </c>
      <c r="M94" s="3">
        <v>0</v>
      </c>
      <c r="N94" s="3">
        <v>0</v>
      </c>
      <c r="O94" s="3">
        <v>0</v>
      </c>
      <c r="P94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95" spans="1:16" x14ac:dyDescent="0.15">
      <c r="A95" s="3">
        <f t="shared" si="1"/>
        <v>7</v>
      </c>
      <c r="B95" s="3">
        <v>12</v>
      </c>
      <c r="C95" s="3">
        <v>5520</v>
      </c>
      <c r="D95" s="3">
        <v>5000000</v>
      </c>
      <c r="E95" s="3" t="str">
        <f>"["&amp;IF(表3_3[[#This Row],[星级]]=0,"","""w"&amp;500+表3_3[[#This Row],[皮肤id]]&amp;""","&amp;VLOOKUP(表3_3[[#This Row],[星级]],description!$C$1:$D$13,2,FALSE))&amp;"]"</f>
        <v>["w507",800]</v>
      </c>
      <c r="F95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["07z1","wp_star_07","3jie"]</v>
      </c>
      <c r="G95" s="3">
        <v>0</v>
      </c>
      <c r="H95" s="3">
        <v>8</v>
      </c>
      <c r="I95" s="3">
        <v>0</v>
      </c>
      <c r="J95" s="3">
        <v>0</v>
      </c>
      <c r="K95" s="3">
        <v>0.03</v>
      </c>
      <c r="L95" s="3">
        <v>0</v>
      </c>
      <c r="M95" s="3">
        <v>0</v>
      </c>
      <c r="N95" s="3">
        <v>0</v>
      </c>
      <c r="O95" s="3">
        <v>0</v>
      </c>
      <c r="P95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96" spans="1:16" x14ac:dyDescent="0.15">
      <c r="A96" s="3">
        <f>A83+1</f>
        <v>8</v>
      </c>
      <c r="B96" s="3">
        <v>0</v>
      </c>
      <c r="C96" s="3">
        <v>0</v>
      </c>
      <c r="D96" s="3">
        <f>表3_3[[#This Row],[星级]]^2*20000+20000*表3_3[[#This Row],[星级]]</f>
        <v>0</v>
      </c>
      <c r="E96" s="3" t="str">
        <f>"["&amp;IF(表3_3[[#This Row],[星级]]=0,"","""w"&amp;500+表3_3[[#This Row],[皮肤id]]&amp;""","&amp;VLOOKUP(表3_3[[#This Row],[星级]],description!$C$1:$D$13,2,FALSE))&amp;"]"</f>
        <v>[]</v>
      </c>
      <c r="F96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["","",""]</v>
      </c>
      <c r="G96" s="3">
        <v>0</v>
      </c>
      <c r="H96" s="3">
        <v>0</v>
      </c>
      <c r="I96" s="3">
        <v>0</v>
      </c>
      <c r="J96" s="3">
        <v>0</v>
      </c>
      <c r="K96" s="3">
        <v>0</v>
      </c>
      <c r="L96" s="3">
        <v>0</v>
      </c>
      <c r="M96" s="3">
        <v>0</v>
      </c>
      <c r="N96" s="3">
        <v>0</v>
      </c>
      <c r="O96" s="3">
        <v>0</v>
      </c>
      <c r="P96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97" spans="1:16" x14ac:dyDescent="0.15">
      <c r="A97" s="3">
        <f t="shared" ref="A97:A108" si="2">A84+1</f>
        <v>8</v>
      </c>
      <c r="B97" s="3">
        <v>1</v>
      </c>
      <c r="C97" s="3">
        <v>375</v>
      </c>
      <c r="D97" s="3">
        <v>50000</v>
      </c>
      <c r="E97" s="3" t="str">
        <f>"["&amp;IF(表3_3[[#This Row],[星级]]=0,"","""w"&amp;500+表3_3[[#This Row],[皮肤id]]&amp;""","&amp;VLOOKUP(表3_3[[#This Row],[星级]],description!$C$1:$D$13,2,FALSE))&amp;"]"</f>
        <v>["w508",5]</v>
      </c>
      <c r="F97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["","",""]</v>
      </c>
      <c r="G97" s="3">
        <v>0</v>
      </c>
      <c r="H97" s="3">
        <v>0</v>
      </c>
      <c r="I97" s="3">
        <v>0</v>
      </c>
      <c r="J97" s="3">
        <v>0</v>
      </c>
      <c r="K97" s="3">
        <v>0</v>
      </c>
      <c r="L97" s="3">
        <v>0</v>
      </c>
      <c r="M97" s="3">
        <v>0</v>
      </c>
      <c r="N97" s="3">
        <v>0</v>
      </c>
      <c r="O97" s="3">
        <v>4.0000000000000001E-3</v>
      </c>
      <c r="P97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98" spans="1:16" x14ac:dyDescent="0.15">
      <c r="A98" s="3">
        <f t="shared" si="2"/>
        <v>8</v>
      </c>
      <c r="B98" s="3">
        <v>2</v>
      </c>
      <c r="C98" s="3">
        <v>750</v>
      </c>
      <c r="D98" s="3">
        <v>200000</v>
      </c>
      <c r="E98" s="3" t="str">
        <f>"["&amp;IF(表3_3[[#This Row],[星级]]=0,"","""w"&amp;500+表3_3[[#This Row],[皮肤id]]&amp;""","&amp;VLOOKUP(表3_3[[#This Row],[星级]],description!$C$1:$D$13,2,FALSE))&amp;"]"</f>
        <v>["w508",10]</v>
      </c>
      <c r="F98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["08z1","",""]</v>
      </c>
      <c r="G98" s="3">
        <v>0</v>
      </c>
      <c r="H98" s="3">
        <v>0</v>
      </c>
      <c r="I98" s="3">
        <v>0</v>
      </c>
      <c r="J98" s="3">
        <v>0</v>
      </c>
      <c r="K98" s="3">
        <v>0</v>
      </c>
      <c r="L98" s="3">
        <v>0</v>
      </c>
      <c r="M98" s="3">
        <v>0</v>
      </c>
      <c r="N98" s="3">
        <v>0</v>
      </c>
      <c r="O98" s="3">
        <v>4.0000000000000001E-3</v>
      </c>
      <c r="P98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weapons_effect_a_8</v>
      </c>
    </row>
    <row r="99" spans="1:16" x14ac:dyDescent="0.15">
      <c r="A99" s="3">
        <f t="shared" si="2"/>
        <v>8</v>
      </c>
      <c r="B99" s="3">
        <v>3</v>
      </c>
      <c r="C99" s="3">
        <v>1125</v>
      </c>
      <c r="D99" s="3">
        <v>400000</v>
      </c>
      <c r="E99" s="3" t="str">
        <f>"["&amp;IF(表3_3[[#This Row],[星级]]=0,"","""w"&amp;500+表3_3[[#This Row],[皮肤id]]&amp;""","&amp;VLOOKUP(表3_3[[#This Row],[星级]],description!$C$1:$D$13,2,FALSE))&amp;"]"</f>
        <v>["w508",20]</v>
      </c>
      <c r="F99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["08z1","",""]</v>
      </c>
      <c r="G99" s="3">
        <v>0</v>
      </c>
      <c r="H99" s="3">
        <v>0</v>
      </c>
      <c r="I99" s="3">
        <v>0</v>
      </c>
      <c r="J99" s="3">
        <v>0</v>
      </c>
      <c r="K99" s="3">
        <v>0.01</v>
      </c>
      <c r="L99" s="3">
        <v>0</v>
      </c>
      <c r="M99" s="3">
        <v>0</v>
      </c>
      <c r="N99" s="3">
        <v>0</v>
      </c>
      <c r="O99" s="3">
        <v>4.0000000000000001E-3</v>
      </c>
      <c r="P99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weapons_effect_a_8</v>
      </c>
    </row>
    <row r="100" spans="1:16" x14ac:dyDescent="0.15">
      <c r="A100" s="3">
        <f t="shared" si="2"/>
        <v>8</v>
      </c>
      <c r="B100" s="3">
        <v>4</v>
      </c>
      <c r="C100" s="3">
        <v>1500</v>
      </c>
      <c r="D100" s="3">
        <v>600000</v>
      </c>
      <c r="E100" s="3" t="str">
        <f>"["&amp;IF(表3_3[[#This Row],[星级]]=0,"","""w"&amp;500+表3_3[[#This Row],[皮肤id]]&amp;""","&amp;VLOOKUP(表3_3[[#This Row],[星级]],description!$C$1:$D$13,2,FALSE))&amp;"]"</f>
        <v>["w508",30]</v>
      </c>
      <c r="F100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["08z1","",""]</v>
      </c>
      <c r="G100" s="3">
        <v>0</v>
      </c>
      <c r="H100" s="3">
        <v>0</v>
      </c>
      <c r="I100" s="3">
        <v>0</v>
      </c>
      <c r="J100" s="3">
        <v>0</v>
      </c>
      <c r="K100" s="3">
        <v>0.01</v>
      </c>
      <c r="L100" s="3">
        <v>0</v>
      </c>
      <c r="M100" s="3">
        <v>0</v>
      </c>
      <c r="N100" s="3">
        <v>0</v>
      </c>
      <c r="O100" s="3">
        <v>5.0000000000000001E-3</v>
      </c>
      <c r="P100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weapons_effect_a_8</v>
      </c>
    </row>
    <row r="101" spans="1:16" x14ac:dyDescent="0.15">
      <c r="A101" s="3">
        <f t="shared" si="2"/>
        <v>8</v>
      </c>
      <c r="B101" s="3">
        <v>5</v>
      </c>
      <c r="C101" s="3">
        <v>1875</v>
      </c>
      <c r="D101" s="3">
        <v>800000</v>
      </c>
      <c r="E101" s="3" t="str">
        <f>"["&amp;IF(表3_3[[#This Row],[星级]]=0,"","""w"&amp;500+表3_3[[#This Row],[皮肤id]]&amp;""","&amp;VLOOKUP(表3_3[[#This Row],[星级]],description!$C$1:$D$13,2,FALSE))&amp;"]"</f>
        <v>["w508",60]</v>
      </c>
      <c r="F101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["08z1","wp_star_08",""]</v>
      </c>
      <c r="G101" s="3">
        <v>0</v>
      </c>
      <c r="H101" s="3">
        <v>0</v>
      </c>
      <c r="I101" s="3">
        <v>0</v>
      </c>
      <c r="J101" s="3">
        <v>0</v>
      </c>
      <c r="K101" s="3">
        <v>0.01</v>
      </c>
      <c r="L101" s="3">
        <v>0</v>
      </c>
      <c r="M101" s="3">
        <v>0</v>
      </c>
      <c r="N101" s="3">
        <v>0</v>
      </c>
      <c r="O101" s="3">
        <v>5.0000000000000001E-3</v>
      </c>
      <c r="P101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weapons_effect_b_8</v>
      </c>
    </row>
    <row r="102" spans="1:16" x14ac:dyDescent="0.15">
      <c r="A102" s="3">
        <f t="shared" si="2"/>
        <v>8</v>
      </c>
      <c r="B102" s="3">
        <v>6</v>
      </c>
      <c r="C102" s="3">
        <v>2250</v>
      </c>
      <c r="D102" s="3">
        <v>1000000</v>
      </c>
      <c r="E102" s="3" t="str">
        <f>"["&amp;IF(表3_3[[#This Row],[星级]]=0,"","""w"&amp;500+表3_3[[#This Row],[皮肤id]]&amp;""","&amp;VLOOKUP(表3_3[[#This Row],[星级]],description!$C$1:$D$13,2,FALSE))&amp;"]"</f>
        <v>["w508",100]</v>
      </c>
      <c r="F102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["08z1","wp_star_08",""]</v>
      </c>
      <c r="G102" s="3">
        <v>0</v>
      </c>
      <c r="H102" s="3">
        <v>0</v>
      </c>
      <c r="I102" s="3">
        <v>0</v>
      </c>
      <c r="J102" s="3">
        <v>0</v>
      </c>
      <c r="K102" s="3">
        <v>0.02</v>
      </c>
      <c r="L102" s="3">
        <v>0</v>
      </c>
      <c r="M102" s="3">
        <v>0</v>
      </c>
      <c r="N102" s="3">
        <v>0</v>
      </c>
      <c r="O102" s="3">
        <v>5.0000000000000001E-3</v>
      </c>
      <c r="P102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weapons_effect_b_8</v>
      </c>
    </row>
    <row r="103" spans="1:16" x14ac:dyDescent="0.15">
      <c r="A103" s="3">
        <f t="shared" si="2"/>
        <v>8</v>
      </c>
      <c r="B103" s="3">
        <v>7</v>
      </c>
      <c r="C103" s="3">
        <v>2625</v>
      </c>
      <c r="D103" s="3">
        <v>1500000</v>
      </c>
      <c r="E103" s="3" t="str">
        <f>"["&amp;IF(表3_3[[#This Row],[星级]]=0,"","""w"&amp;500+表3_3[[#This Row],[皮肤id]]&amp;""","&amp;VLOOKUP(表3_3[[#This Row],[星级]],description!$C$1:$D$13,2,FALSE))&amp;"]"</f>
        <v>["w508",150]</v>
      </c>
      <c r="F103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["08z1","wp_star_08",""]</v>
      </c>
      <c r="G103" s="3">
        <v>0</v>
      </c>
      <c r="H103" s="3">
        <v>0</v>
      </c>
      <c r="I103" s="3">
        <v>0</v>
      </c>
      <c r="J103" s="3">
        <v>0</v>
      </c>
      <c r="K103" s="3">
        <v>0.02</v>
      </c>
      <c r="L103" s="3">
        <v>0</v>
      </c>
      <c r="M103" s="3">
        <v>0</v>
      </c>
      <c r="N103" s="3">
        <v>0</v>
      </c>
      <c r="O103" s="3">
        <v>6.0000000000000001E-3</v>
      </c>
      <c r="P103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weapons_effect_b_8</v>
      </c>
    </row>
    <row r="104" spans="1:16" x14ac:dyDescent="0.15">
      <c r="A104" s="3">
        <f t="shared" si="2"/>
        <v>8</v>
      </c>
      <c r="B104" s="3">
        <v>8</v>
      </c>
      <c r="C104" s="3">
        <v>3000</v>
      </c>
      <c r="D104" s="3">
        <v>2000000</v>
      </c>
      <c r="E104" s="3" t="str">
        <f>"["&amp;IF(表3_3[[#This Row],[星级]]=0,"","""w"&amp;500+表3_3[[#This Row],[皮肤id]]&amp;""","&amp;VLOOKUP(表3_3[[#This Row],[星级]],description!$C$1:$D$13,2,FALSE))&amp;"]"</f>
        <v>["w508",200]</v>
      </c>
      <c r="F104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["08z1","wp_star_08","3jie"]</v>
      </c>
      <c r="G104" s="3">
        <v>0</v>
      </c>
      <c r="H104" s="3">
        <v>0</v>
      </c>
      <c r="I104" s="3">
        <v>0</v>
      </c>
      <c r="J104" s="3">
        <v>0</v>
      </c>
      <c r="K104" s="3">
        <v>0.02</v>
      </c>
      <c r="L104" s="3">
        <v>0</v>
      </c>
      <c r="M104" s="3">
        <v>0</v>
      </c>
      <c r="N104" s="3">
        <v>0</v>
      </c>
      <c r="O104" s="3">
        <v>6.0000000000000001E-3</v>
      </c>
      <c r="P104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105" spans="1:16" x14ac:dyDescent="0.15">
      <c r="A105" s="3">
        <f t="shared" si="2"/>
        <v>8</v>
      </c>
      <c r="B105" s="3">
        <v>9</v>
      </c>
      <c r="C105" s="3">
        <v>3750</v>
      </c>
      <c r="D105" s="3">
        <v>2500000</v>
      </c>
      <c r="E105" s="3" t="str">
        <f>"["&amp;IF(表3_3[[#This Row],[星级]]=0,"","""w"&amp;500+表3_3[[#This Row],[皮肤id]]&amp;""","&amp;VLOOKUP(表3_3[[#This Row],[星级]],description!$C$1:$D$13,2,FALSE))&amp;"]"</f>
        <v>["w508",300]</v>
      </c>
      <c r="F105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["08z1","wp_star_08","3jie"]</v>
      </c>
      <c r="G105" s="3">
        <v>0</v>
      </c>
      <c r="H105" s="3">
        <v>0</v>
      </c>
      <c r="I105" s="3">
        <v>0</v>
      </c>
      <c r="J105" s="3">
        <v>0</v>
      </c>
      <c r="K105" s="3">
        <v>0.02</v>
      </c>
      <c r="L105" s="3">
        <v>0</v>
      </c>
      <c r="M105" s="3">
        <v>0</v>
      </c>
      <c r="N105" s="3">
        <v>0</v>
      </c>
      <c r="O105" s="3">
        <v>8.0000000000000002E-3</v>
      </c>
      <c r="P105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106" spans="1:16" x14ac:dyDescent="0.15">
      <c r="A106" s="3">
        <f t="shared" si="2"/>
        <v>8</v>
      </c>
      <c r="B106" s="3">
        <v>10</v>
      </c>
      <c r="C106" s="3">
        <v>4500</v>
      </c>
      <c r="D106" s="3">
        <v>3000000</v>
      </c>
      <c r="E106" s="3" t="str">
        <f>"["&amp;IF(表3_3[[#This Row],[星级]]=0,"","""w"&amp;500+表3_3[[#This Row],[皮肤id]]&amp;""","&amp;VLOOKUP(表3_3[[#This Row],[星级]],description!$C$1:$D$13,2,FALSE))&amp;"]"</f>
        <v>["w508",400]</v>
      </c>
      <c r="F106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["08z1","wp_star_08","3jie"]</v>
      </c>
      <c r="G106" s="3">
        <v>0</v>
      </c>
      <c r="H106" s="3">
        <v>0</v>
      </c>
      <c r="I106" s="3">
        <v>0</v>
      </c>
      <c r="J106" s="3">
        <v>0</v>
      </c>
      <c r="K106" s="3">
        <v>0.02</v>
      </c>
      <c r="L106" s="3">
        <v>0</v>
      </c>
      <c r="M106" s="3">
        <v>0</v>
      </c>
      <c r="N106" s="3">
        <v>0</v>
      </c>
      <c r="O106" s="3">
        <v>8.0000000000000002E-3</v>
      </c>
      <c r="P106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107" spans="1:16" x14ac:dyDescent="0.15">
      <c r="A107" s="3">
        <f t="shared" si="2"/>
        <v>8</v>
      </c>
      <c r="B107" s="3">
        <v>11</v>
      </c>
      <c r="C107" s="3">
        <v>5250</v>
      </c>
      <c r="D107" s="3">
        <v>4000000</v>
      </c>
      <c r="E107" s="3" t="str">
        <f>"["&amp;IF(表3_3[[#This Row],[星级]]=0,"","""w"&amp;500+表3_3[[#This Row],[皮肤id]]&amp;""","&amp;VLOOKUP(表3_3[[#This Row],[星级]],description!$C$1:$D$13,2,FALSE))&amp;"]"</f>
        <v>["w508",600]</v>
      </c>
      <c r="F107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["08z1","wp_star_08","3jie"]</v>
      </c>
      <c r="G107" s="3">
        <v>0</v>
      </c>
      <c r="H107" s="3">
        <v>0</v>
      </c>
      <c r="I107" s="3">
        <v>0</v>
      </c>
      <c r="J107" s="3">
        <v>0</v>
      </c>
      <c r="K107" s="3">
        <v>0.02</v>
      </c>
      <c r="L107" s="3">
        <v>0</v>
      </c>
      <c r="M107" s="3">
        <v>0</v>
      </c>
      <c r="N107" s="3">
        <v>0</v>
      </c>
      <c r="O107" s="3">
        <v>0.01</v>
      </c>
      <c r="P107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108" spans="1:16" x14ac:dyDescent="0.15">
      <c r="A108" s="3">
        <f t="shared" si="2"/>
        <v>8</v>
      </c>
      <c r="B108" s="3">
        <v>12</v>
      </c>
      <c r="C108" s="3">
        <v>6000</v>
      </c>
      <c r="D108" s="3">
        <v>5000000</v>
      </c>
      <c r="E108" s="3" t="str">
        <f>"["&amp;IF(表3_3[[#This Row],[星级]]=0,"","""w"&amp;500+表3_3[[#This Row],[皮肤id]]&amp;""","&amp;VLOOKUP(表3_3[[#This Row],[星级]],description!$C$1:$D$13,2,FALSE))&amp;"]"</f>
        <v>["w508",800]</v>
      </c>
      <c r="F108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["08z1","wp_star_08","3jie"]</v>
      </c>
      <c r="G108" s="3">
        <v>0</v>
      </c>
      <c r="H108" s="3">
        <v>0</v>
      </c>
      <c r="I108" s="3">
        <v>0</v>
      </c>
      <c r="J108" s="3">
        <v>0</v>
      </c>
      <c r="K108" s="3">
        <v>0.03</v>
      </c>
      <c r="L108" s="3">
        <v>0</v>
      </c>
      <c r="M108" s="3">
        <v>0</v>
      </c>
      <c r="N108" s="3">
        <v>0</v>
      </c>
      <c r="O108" s="3">
        <v>0.01</v>
      </c>
      <c r="P108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109" spans="1:16" x14ac:dyDescent="0.15">
      <c r="A109" s="3">
        <f>A96+1</f>
        <v>9</v>
      </c>
      <c r="B109" s="3">
        <v>0</v>
      </c>
      <c r="C109" s="3">
        <v>0</v>
      </c>
      <c r="D109" s="3">
        <f>表3_3[[#This Row],[星级]]^2*20000+20000*表3_3[[#This Row],[星级]]</f>
        <v>0</v>
      </c>
      <c r="E109" s="3" t="str">
        <f>"["&amp;IF(表3_3[[#This Row],[星级]]=0,"","""w"&amp;500+表3_3[[#This Row],[皮肤id]]&amp;""","&amp;VLOOKUP(表3_3[[#This Row],[星级]],description!$C$1:$D$13,2,FALSE))&amp;"]"</f>
        <v>[]</v>
      </c>
      <c r="F109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["","",""]</v>
      </c>
      <c r="G109" s="3">
        <v>0</v>
      </c>
      <c r="H109" s="3">
        <v>0</v>
      </c>
      <c r="I109" s="3">
        <v>0</v>
      </c>
      <c r="J109" s="3">
        <v>0</v>
      </c>
      <c r="K109" s="3">
        <v>0</v>
      </c>
      <c r="L109" s="3">
        <v>0</v>
      </c>
      <c r="M109" s="3">
        <v>0</v>
      </c>
      <c r="N109" s="3">
        <v>0</v>
      </c>
      <c r="O109" s="3">
        <v>0</v>
      </c>
      <c r="P109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110" spans="1:16" x14ac:dyDescent="0.15">
      <c r="A110" s="3">
        <f t="shared" ref="A110:A121" si="3">A97+1</f>
        <v>9</v>
      </c>
      <c r="B110" s="3">
        <v>1</v>
      </c>
      <c r="C110" s="3">
        <v>315</v>
      </c>
      <c r="D110" s="3">
        <v>50000</v>
      </c>
      <c r="E110" s="3" t="str">
        <f>"["&amp;IF(表3_3[[#This Row],[星级]]=0,"","""w"&amp;500+表3_3[[#This Row],[皮肤id]]&amp;""","&amp;VLOOKUP(表3_3[[#This Row],[星级]],description!$C$1:$D$13,2,FALSE))&amp;"]"</f>
        <v>["w509",5]</v>
      </c>
      <c r="F110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["","",""]</v>
      </c>
      <c r="G110" s="3">
        <v>0</v>
      </c>
      <c r="H110" s="3">
        <v>0</v>
      </c>
      <c r="I110" s="3">
        <v>0</v>
      </c>
      <c r="J110" s="3">
        <v>0</v>
      </c>
      <c r="K110" s="3">
        <v>0</v>
      </c>
      <c r="L110" s="3">
        <v>0</v>
      </c>
      <c r="M110" s="3">
        <v>0</v>
      </c>
      <c r="N110" s="3">
        <v>0</v>
      </c>
      <c r="O110" s="3">
        <v>4.0000000000000001E-3</v>
      </c>
      <c r="P110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111" spans="1:16" x14ac:dyDescent="0.15">
      <c r="A111" s="3">
        <f t="shared" si="3"/>
        <v>9</v>
      </c>
      <c r="B111" s="3">
        <v>2</v>
      </c>
      <c r="C111" s="3">
        <v>630</v>
      </c>
      <c r="D111" s="3">
        <v>200000</v>
      </c>
      <c r="E111" s="3" t="str">
        <f>"["&amp;IF(表3_3[[#This Row],[星级]]=0,"","""w"&amp;500+表3_3[[#This Row],[皮肤id]]&amp;""","&amp;VLOOKUP(表3_3[[#This Row],[星级]],description!$C$1:$D$13,2,FALSE))&amp;"]"</f>
        <v>["w509",10]</v>
      </c>
      <c r="F111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["09z1","",""]</v>
      </c>
      <c r="G111" s="3">
        <v>0</v>
      </c>
      <c r="H111" s="3">
        <v>0</v>
      </c>
      <c r="I111" s="3">
        <v>0</v>
      </c>
      <c r="J111" s="3">
        <v>0</v>
      </c>
      <c r="K111" s="3">
        <v>0</v>
      </c>
      <c r="L111" s="3">
        <v>0</v>
      </c>
      <c r="M111" s="3">
        <v>0</v>
      </c>
      <c r="N111" s="3">
        <v>0</v>
      </c>
      <c r="O111" s="3">
        <v>4.0000000000000001E-3</v>
      </c>
      <c r="P111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weapons_effect_a_9</v>
      </c>
    </row>
    <row r="112" spans="1:16" x14ac:dyDescent="0.15">
      <c r="A112" s="3">
        <f t="shared" si="3"/>
        <v>9</v>
      </c>
      <c r="B112" s="3">
        <v>3</v>
      </c>
      <c r="C112" s="3">
        <v>945</v>
      </c>
      <c r="D112" s="3">
        <v>400000</v>
      </c>
      <c r="E112" s="3" t="str">
        <f>"["&amp;IF(表3_3[[#This Row],[星级]]=0,"","""w"&amp;500+表3_3[[#This Row],[皮肤id]]&amp;""","&amp;VLOOKUP(表3_3[[#This Row],[星级]],description!$C$1:$D$13,2,FALSE))&amp;"]"</f>
        <v>["w509",20]</v>
      </c>
      <c r="F112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["09z1","",""]</v>
      </c>
      <c r="G112" s="3">
        <v>0</v>
      </c>
      <c r="H112" s="3">
        <v>0</v>
      </c>
      <c r="I112" s="3">
        <v>0</v>
      </c>
      <c r="J112" s="3">
        <v>0</v>
      </c>
      <c r="K112" s="3">
        <v>0</v>
      </c>
      <c r="L112" s="3">
        <v>0.01</v>
      </c>
      <c r="M112" s="3">
        <v>0</v>
      </c>
      <c r="N112" s="3">
        <v>0</v>
      </c>
      <c r="O112" s="3">
        <v>4.0000000000000001E-3</v>
      </c>
      <c r="P112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weapons_effect_a_9</v>
      </c>
    </row>
    <row r="113" spans="1:16" x14ac:dyDescent="0.15">
      <c r="A113" s="3">
        <f t="shared" si="3"/>
        <v>9</v>
      </c>
      <c r="B113" s="3">
        <v>4</v>
      </c>
      <c r="C113" s="3">
        <v>1260</v>
      </c>
      <c r="D113" s="3">
        <v>600000</v>
      </c>
      <c r="E113" s="3" t="str">
        <f>"["&amp;IF(表3_3[[#This Row],[星级]]=0,"","""w"&amp;500+表3_3[[#This Row],[皮肤id]]&amp;""","&amp;VLOOKUP(表3_3[[#This Row],[星级]],description!$C$1:$D$13,2,FALSE))&amp;"]"</f>
        <v>["w509",30]</v>
      </c>
      <c r="F113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["09z1","",""]</v>
      </c>
      <c r="G113" s="3">
        <v>0</v>
      </c>
      <c r="H113" s="3">
        <v>0</v>
      </c>
      <c r="I113" s="3">
        <v>0</v>
      </c>
      <c r="J113" s="3">
        <v>0</v>
      </c>
      <c r="K113" s="3">
        <v>0</v>
      </c>
      <c r="L113" s="3">
        <v>0.01</v>
      </c>
      <c r="M113" s="3">
        <v>0</v>
      </c>
      <c r="N113" s="3">
        <v>0</v>
      </c>
      <c r="O113" s="3">
        <v>5.0000000000000001E-3</v>
      </c>
      <c r="P113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weapons_effect_a_9</v>
      </c>
    </row>
    <row r="114" spans="1:16" x14ac:dyDescent="0.15">
      <c r="A114" s="3">
        <f t="shared" si="3"/>
        <v>9</v>
      </c>
      <c r="B114" s="3">
        <v>5</v>
      </c>
      <c r="C114" s="3">
        <v>1575</v>
      </c>
      <c r="D114" s="3">
        <v>800000</v>
      </c>
      <c r="E114" s="3" t="str">
        <f>"["&amp;IF(表3_3[[#This Row],[星级]]=0,"","""w"&amp;500+表3_3[[#This Row],[皮肤id]]&amp;""","&amp;VLOOKUP(表3_3[[#This Row],[星级]],description!$C$1:$D$13,2,FALSE))&amp;"]"</f>
        <v>["w509",60]</v>
      </c>
      <c r="F114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["09z1","wp_star_09",""]</v>
      </c>
      <c r="G114" s="3">
        <v>0</v>
      </c>
      <c r="H114" s="3">
        <v>0</v>
      </c>
      <c r="I114" s="3">
        <v>0</v>
      </c>
      <c r="J114" s="3">
        <v>0</v>
      </c>
      <c r="K114" s="3">
        <v>0</v>
      </c>
      <c r="L114" s="3">
        <v>0.01</v>
      </c>
      <c r="M114" s="3">
        <v>0</v>
      </c>
      <c r="N114" s="3">
        <v>0</v>
      </c>
      <c r="O114" s="3">
        <v>5.0000000000000001E-3</v>
      </c>
      <c r="P114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weapons_effect_b_9</v>
      </c>
    </row>
    <row r="115" spans="1:16" x14ac:dyDescent="0.15">
      <c r="A115" s="3">
        <f t="shared" si="3"/>
        <v>9</v>
      </c>
      <c r="B115" s="3">
        <v>6</v>
      </c>
      <c r="C115" s="3">
        <v>1890</v>
      </c>
      <c r="D115" s="3">
        <v>1000000</v>
      </c>
      <c r="E115" s="3" t="str">
        <f>"["&amp;IF(表3_3[[#This Row],[星级]]=0,"","""w"&amp;500+表3_3[[#This Row],[皮肤id]]&amp;""","&amp;VLOOKUP(表3_3[[#This Row],[星级]],description!$C$1:$D$13,2,FALSE))&amp;"]"</f>
        <v>["w509",100]</v>
      </c>
      <c r="F115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["09z1","wp_star_09",""]</v>
      </c>
      <c r="G115" s="3">
        <v>0</v>
      </c>
      <c r="H115" s="3">
        <v>0</v>
      </c>
      <c r="I115" s="3">
        <v>0</v>
      </c>
      <c r="J115" s="3">
        <v>0</v>
      </c>
      <c r="K115" s="3">
        <v>0</v>
      </c>
      <c r="L115" s="3">
        <v>0.02</v>
      </c>
      <c r="M115" s="3">
        <v>0</v>
      </c>
      <c r="N115" s="3">
        <v>0</v>
      </c>
      <c r="O115" s="3">
        <v>5.0000000000000001E-3</v>
      </c>
      <c r="P115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weapons_effect_b_9</v>
      </c>
    </row>
    <row r="116" spans="1:16" x14ac:dyDescent="0.15">
      <c r="A116" s="3">
        <f t="shared" si="3"/>
        <v>9</v>
      </c>
      <c r="B116" s="3">
        <v>7</v>
      </c>
      <c r="C116" s="3">
        <v>2205</v>
      </c>
      <c r="D116" s="3">
        <v>1500000</v>
      </c>
      <c r="E116" s="3" t="str">
        <f>"["&amp;IF(表3_3[[#This Row],[星级]]=0,"","""w"&amp;500+表3_3[[#This Row],[皮肤id]]&amp;""","&amp;VLOOKUP(表3_3[[#This Row],[星级]],description!$C$1:$D$13,2,FALSE))&amp;"]"</f>
        <v>["w509",150]</v>
      </c>
      <c r="F116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["09z1","wp_star_09",""]</v>
      </c>
      <c r="G116" s="3">
        <v>0</v>
      </c>
      <c r="H116" s="3">
        <v>0</v>
      </c>
      <c r="I116" s="3">
        <v>0</v>
      </c>
      <c r="J116" s="3">
        <v>0</v>
      </c>
      <c r="K116" s="3">
        <v>0</v>
      </c>
      <c r="L116" s="3">
        <v>0.02</v>
      </c>
      <c r="M116" s="3">
        <v>0</v>
      </c>
      <c r="N116" s="3">
        <v>0</v>
      </c>
      <c r="O116" s="3">
        <v>6.0000000000000001E-3</v>
      </c>
      <c r="P116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weapons_effect_b_9</v>
      </c>
    </row>
    <row r="117" spans="1:16" x14ac:dyDescent="0.15">
      <c r="A117" s="3">
        <f t="shared" si="3"/>
        <v>9</v>
      </c>
      <c r="B117" s="3">
        <v>8</v>
      </c>
      <c r="C117" s="3">
        <v>2520</v>
      </c>
      <c r="D117" s="3">
        <v>2000000</v>
      </c>
      <c r="E117" s="3" t="str">
        <f>"["&amp;IF(表3_3[[#This Row],[星级]]=0,"","""w"&amp;500+表3_3[[#This Row],[皮肤id]]&amp;""","&amp;VLOOKUP(表3_3[[#This Row],[星级]],description!$C$1:$D$13,2,FALSE))&amp;"]"</f>
        <v>["w509",200]</v>
      </c>
      <c r="F117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["09z1","wp_star_09","3jie"]</v>
      </c>
      <c r="G117" s="3">
        <v>0</v>
      </c>
      <c r="H117" s="3">
        <v>0</v>
      </c>
      <c r="I117" s="3">
        <v>0</v>
      </c>
      <c r="J117" s="3">
        <v>0</v>
      </c>
      <c r="K117" s="3">
        <v>0</v>
      </c>
      <c r="L117" s="3">
        <v>0.02</v>
      </c>
      <c r="M117" s="3">
        <v>0</v>
      </c>
      <c r="N117" s="3">
        <v>0</v>
      </c>
      <c r="O117" s="3">
        <v>6.0000000000000001E-3</v>
      </c>
      <c r="P117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118" spans="1:16" x14ac:dyDescent="0.15">
      <c r="A118" s="3">
        <f t="shared" si="3"/>
        <v>9</v>
      </c>
      <c r="B118" s="3">
        <v>9</v>
      </c>
      <c r="C118" s="3">
        <v>3150</v>
      </c>
      <c r="D118" s="3">
        <v>2500000</v>
      </c>
      <c r="E118" s="3" t="str">
        <f>"["&amp;IF(表3_3[[#This Row],[星级]]=0,"","""w"&amp;500+表3_3[[#This Row],[皮肤id]]&amp;""","&amp;VLOOKUP(表3_3[[#This Row],[星级]],description!$C$1:$D$13,2,FALSE))&amp;"]"</f>
        <v>["w509",300]</v>
      </c>
      <c r="F118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["09z1","wp_star_09","3jie"]</v>
      </c>
      <c r="G118" s="3">
        <v>0</v>
      </c>
      <c r="H118" s="3">
        <v>0</v>
      </c>
      <c r="I118" s="3">
        <v>0</v>
      </c>
      <c r="J118" s="3">
        <v>0</v>
      </c>
      <c r="K118" s="3">
        <v>0</v>
      </c>
      <c r="L118" s="3">
        <v>0.02</v>
      </c>
      <c r="M118" s="3">
        <v>0</v>
      </c>
      <c r="N118" s="3">
        <v>0</v>
      </c>
      <c r="O118" s="3">
        <v>8.0000000000000002E-3</v>
      </c>
      <c r="P118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119" spans="1:16" x14ac:dyDescent="0.15">
      <c r="A119" s="3">
        <f t="shared" si="3"/>
        <v>9</v>
      </c>
      <c r="B119" s="3">
        <v>10</v>
      </c>
      <c r="C119" s="3">
        <v>3780</v>
      </c>
      <c r="D119" s="3">
        <v>3000000</v>
      </c>
      <c r="E119" s="3" t="str">
        <f>"["&amp;IF(表3_3[[#This Row],[星级]]=0,"","""w"&amp;500+表3_3[[#This Row],[皮肤id]]&amp;""","&amp;VLOOKUP(表3_3[[#This Row],[星级]],description!$C$1:$D$13,2,FALSE))&amp;"]"</f>
        <v>["w509",400]</v>
      </c>
      <c r="F119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["09z1","wp_star_09","3jie"]</v>
      </c>
      <c r="G119" s="3">
        <v>0</v>
      </c>
      <c r="H119" s="3">
        <v>0</v>
      </c>
      <c r="I119" s="3">
        <v>0</v>
      </c>
      <c r="J119" s="3">
        <v>0</v>
      </c>
      <c r="K119" s="3">
        <v>0</v>
      </c>
      <c r="L119" s="3">
        <v>0.02</v>
      </c>
      <c r="M119" s="3">
        <v>0</v>
      </c>
      <c r="N119" s="3">
        <v>0</v>
      </c>
      <c r="O119" s="3">
        <v>8.0000000000000002E-3</v>
      </c>
      <c r="P119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120" spans="1:16" x14ac:dyDescent="0.15">
      <c r="A120" s="3">
        <f t="shared" si="3"/>
        <v>9</v>
      </c>
      <c r="B120" s="3">
        <v>11</v>
      </c>
      <c r="C120" s="3">
        <v>4410</v>
      </c>
      <c r="D120" s="3">
        <v>4000000</v>
      </c>
      <c r="E120" s="3" t="str">
        <f>"["&amp;IF(表3_3[[#This Row],[星级]]=0,"","""w"&amp;500+表3_3[[#This Row],[皮肤id]]&amp;""","&amp;VLOOKUP(表3_3[[#This Row],[星级]],description!$C$1:$D$13,2,FALSE))&amp;"]"</f>
        <v>["w509",600]</v>
      </c>
      <c r="F120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["09z1","wp_star_09","3jie"]</v>
      </c>
      <c r="G120" s="3">
        <v>0</v>
      </c>
      <c r="H120" s="3">
        <v>0</v>
      </c>
      <c r="I120" s="3">
        <v>0</v>
      </c>
      <c r="J120" s="3">
        <v>0</v>
      </c>
      <c r="K120" s="3">
        <v>0</v>
      </c>
      <c r="L120" s="3">
        <v>0.02</v>
      </c>
      <c r="M120" s="3">
        <v>0</v>
      </c>
      <c r="N120" s="3">
        <v>0</v>
      </c>
      <c r="O120" s="3">
        <v>0.01</v>
      </c>
      <c r="P120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121" spans="1:16" x14ac:dyDescent="0.15">
      <c r="A121" s="3">
        <f t="shared" si="3"/>
        <v>9</v>
      </c>
      <c r="B121" s="3">
        <v>12</v>
      </c>
      <c r="C121" s="3">
        <v>5040</v>
      </c>
      <c r="D121" s="3">
        <v>5000000</v>
      </c>
      <c r="E121" s="3" t="str">
        <f>"["&amp;IF(表3_3[[#This Row],[星级]]=0,"","""w"&amp;500+表3_3[[#This Row],[皮肤id]]&amp;""","&amp;VLOOKUP(表3_3[[#This Row],[星级]],description!$C$1:$D$13,2,FALSE))&amp;"]"</f>
        <v>["w509",800]</v>
      </c>
      <c r="F121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["09z1","wp_star_09","3jie"]</v>
      </c>
      <c r="G121" s="3">
        <v>0</v>
      </c>
      <c r="H121" s="3">
        <v>0</v>
      </c>
      <c r="I121" s="3">
        <v>0</v>
      </c>
      <c r="J121" s="3">
        <v>0</v>
      </c>
      <c r="K121" s="3">
        <v>0</v>
      </c>
      <c r="L121" s="3">
        <v>0.03</v>
      </c>
      <c r="M121" s="3">
        <v>0</v>
      </c>
      <c r="N121" s="3">
        <v>0</v>
      </c>
      <c r="O121" s="3">
        <v>0.01</v>
      </c>
      <c r="P121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122" spans="1:16" x14ac:dyDescent="0.15">
      <c r="A122" s="3">
        <f>A109+1</f>
        <v>10</v>
      </c>
      <c r="B122" s="3">
        <v>0</v>
      </c>
      <c r="C122" s="3">
        <v>0</v>
      </c>
      <c r="D122" s="3">
        <f>表3_3[[#This Row],[星级]]^2*20000+20000*表3_3[[#This Row],[星级]]</f>
        <v>0</v>
      </c>
      <c r="E122" s="3" t="str">
        <f>"["&amp;IF(表3_3[[#This Row],[星级]]=0,"","""w"&amp;500+表3_3[[#This Row],[皮肤id]]&amp;""","&amp;VLOOKUP(表3_3[[#This Row],[星级]],description!$C$1:$D$13,2,FALSE))&amp;"]"</f>
        <v>[]</v>
      </c>
      <c r="F122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["","",""]</v>
      </c>
      <c r="G122" s="3">
        <v>0</v>
      </c>
      <c r="H122" s="3">
        <v>0</v>
      </c>
      <c r="I122" s="3">
        <v>0</v>
      </c>
      <c r="J122" s="3">
        <v>0</v>
      </c>
      <c r="K122" s="3">
        <v>0</v>
      </c>
      <c r="L122" s="3">
        <v>0</v>
      </c>
      <c r="M122" s="3">
        <v>0</v>
      </c>
      <c r="N122" s="3">
        <v>0</v>
      </c>
      <c r="O122" s="3">
        <v>0</v>
      </c>
      <c r="P122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123" spans="1:16" x14ac:dyDescent="0.15">
      <c r="A123" s="3">
        <f t="shared" ref="A123:A134" si="4">A110+1</f>
        <v>10</v>
      </c>
      <c r="B123" s="3">
        <v>1</v>
      </c>
      <c r="C123" s="3">
        <v>240</v>
      </c>
      <c r="D123" s="3">
        <v>50000</v>
      </c>
      <c r="E123" s="3" t="str">
        <f>"["&amp;IF(表3_3[[#This Row],[星级]]=0,"","""w"&amp;500+表3_3[[#This Row],[皮肤id]]&amp;""","&amp;VLOOKUP(表3_3[[#This Row],[星级]],description!$C$1:$D$13,2,FALSE))&amp;"]"</f>
        <v>["w510",5]</v>
      </c>
      <c r="F123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["","",""]</v>
      </c>
      <c r="G123" s="3">
        <v>0.02</v>
      </c>
      <c r="H123" s="3">
        <v>0</v>
      </c>
      <c r="I123" s="3">
        <v>0</v>
      </c>
      <c r="J123" s="3">
        <v>0</v>
      </c>
      <c r="K123" s="3">
        <v>0</v>
      </c>
      <c r="L123" s="3">
        <v>0</v>
      </c>
      <c r="M123" s="3">
        <v>0</v>
      </c>
      <c r="N123" s="3">
        <v>0</v>
      </c>
      <c r="O123" s="3">
        <v>0</v>
      </c>
      <c r="P123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124" spans="1:16" x14ac:dyDescent="0.15">
      <c r="A124" s="3">
        <f t="shared" si="4"/>
        <v>10</v>
      </c>
      <c r="B124" s="3">
        <v>2</v>
      </c>
      <c r="C124" s="3">
        <v>480</v>
      </c>
      <c r="D124" s="3">
        <v>200000</v>
      </c>
      <c r="E124" s="3" t="str">
        <f>"["&amp;IF(表3_3[[#This Row],[星级]]=0,"","""w"&amp;500+表3_3[[#This Row],[皮肤id]]&amp;""","&amp;VLOOKUP(表3_3[[#This Row],[星级]],description!$C$1:$D$13,2,FALSE))&amp;"]"</f>
        <v>["w510",10]</v>
      </c>
      <c r="F124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["10z1","",""]</v>
      </c>
      <c r="G124" s="3">
        <v>0.02</v>
      </c>
      <c r="H124" s="3">
        <v>0</v>
      </c>
      <c r="I124" s="3">
        <v>0</v>
      </c>
      <c r="J124" s="3">
        <v>0</v>
      </c>
      <c r="K124" s="3">
        <v>0</v>
      </c>
      <c r="L124" s="3">
        <v>0</v>
      </c>
      <c r="M124" s="3">
        <v>0</v>
      </c>
      <c r="N124" s="3">
        <v>0</v>
      </c>
      <c r="O124" s="3">
        <v>0</v>
      </c>
      <c r="P124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weapons_effect_a_10</v>
      </c>
    </row>
    <row r="125" spans="1:16" x14ac:dyDescent="0.15">
      <c r="A125" s="3">
        <f t="shared" si="4"/>
        <v>10</v>
      </c>
      <c r="B125" s="3">
        <v>3</v>
      </c>
      <c r="C125" s="3">
        <v>720</v>
      </c>
      <c r="D125" s="3">
        <v>400000</v>
      </c>
      <c r="E125" s="3" t="str">
        <f>"["&amp;IF(表3_3[[#This Row],[星级]]=0,"","""w"&amp;500+表3_3[[#This Row],[皮肤id]]&amp;""","&amp;VLOOKUP(表3_3[[#This Row],[星级]],description!$C$1:$D$13,2,FALSE))&amp;"]"</f>
        <v>["w510",20]</v>
      </c>
      <c r="F125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["10z1","",""]</v>
      </c>
      <c r="G125" s="3">
        <v>0.02</v>
      </c>
      <c r="H125" s="3">
        <v>0</v>
      </c>
      <c r="I125" s="3">
        <v>0</v>
      </c>
      <c r="J125" s="3">
        <v>0</v>
      </c>
      <c r="K125" s="3">
        <v>0.01</v>
      </c>
      <c r="L125" s="3">
        <v>0</v>
      </c>
      <c r="M125" s="3">
        <v>0</v>
      </c>
      <c r="N125" s="3">
        <v>0</v>
      </c>
      <c r="O125" s="3">
        <v>0</v>
      </c>
      <c r="P125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weapons_effect_a_10</v>
      </c>
    </row>
    <row r="126" spans="1:16" x14ac:dyDescent="0.15">
      <c r="A126" s="3">
        <f t="shared" si="4"/>
        <v>10</v>
      </c>
      <c r="B126" s="3">
        <v>4</v>
      </c>
      <c r="C126" s="3">
        <v>960</v>
      </c>
      <c r="D126" s="3">
        <v>600000</v>
      </c>
      <c r="E126" s="3" t="str">
        <f>"["&amp;IF(表3_3[[#This Row],[星级]]=0,"","""w"&amp;500+表3_3[[#This Row],[皮肤id]]&amp;""","&amp;VLOOKUP(表3_3[[#This Row],[星级]],description!$C$1:$D$13,2,FALSE))&amp;"]"</f>
        <v>["w510",30]</v>
      </c>
      <c r="F126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["10z1","",""]</v>
      </c>
      <c r="G126" s="3">
        <v>0.04</v>
      </c>
      <c r="H126" s="3">
        <v>0</v>
      </c>
      <c r="I126" s="3">
        <v>0</v>
      </c>
      <c r="J126" s="3">
        <v>0</v>
      </c>
      <c r="K126" s="3">
        <v>0.01</v>
      </c>
      <c r="L126" s="3">
        <v>0</v>
      </c>
      <c r="M126" s="3">
        <v>0</v>
      </c>
      <c r="N126" s="3">
        <v>0</v>
      </c>
      <c r="O126" s="3">
        <v>0</v>
      </c>
      <c r="P126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weapons_effect_a_10</v>
      </c>
    </row>
    <row r="127" spans="1:16" x14ac:dyDescent="0.15">
      <c r="A127" s="3">
        <f t="shared" si="4"/>
        <v>10</v>
      </c>
      <c r="B127" s="3">
        <v>5</v>
      </c>
      <c r="C127" s="3">
        <v>1200</v>
      </c>
      <c r="D127" s="3">
        <v>800000</v>
      </c>
      <c r="E127" s="3" t="str">
        <f>"["&amp;IF(表3_3[[#This Row],[星级]]=0,"","""w"&amp;500+表3_3[[#This Row],[皮肤id]]&amp;""","&amp;VLOOKUP(表3_3[[#This Row],[星级]],description!$C$1:$D$13,2,FALSE))&amp;"]"</f>
        <v>["w510",60]</v>
      </c>
      <c r="F127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["10z1","wp_star_10",""]</v>
      </c>
      <c r="G127" s="3">
        <v>0.04</v>
      </c>
      <c r="H127" s="3">
        <v>0</v>
      </c>
      <c r="I127" s="3">
        <v>0</v>
      </c>
      <c r="J127" s="3">
        <v>0</v>
      </c>
      <c r="K127" s="3">
        <v>0.01</v>
      </c>
      <c r="L127" s="3">
        <v>0</v>
      </c>
      <c r="M127" s="3">
        <v>0</v>
      </c>
      <c r="N127" s="3">
        <v>0</v>
      </c>
      <c r="O127" s="3">
        <v>0</v>
      </c>
      <c r="P127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weapons_effect_b_10</v>
      </c>
    </row>
    <row r="128" spans="1:16" x14ac:dyDescent="0.15">
      <c r="A128" s="3">
        <f t="shared" si="4"/>
        <v>10</v>
      </c>
      <c r="B128" s="3">
        <v>6</v>
      </c>
      <c r="C128" s="3">
        <v>1440</v>
      </c>
      <c r="D128" s="3">
        <v>1000000</v>
      </c>
      <c r="E128" s="3" t="str">
        <f>"["&amp;IF(表3_3[[#This Row],[星级]]=0,"","""w"&amp;500+表3_3[[#This Row],[皮肤id]]&amp;""","&amp;VLOOKUP(表3_3[[#This Row],[星级]],description!$C$1:$D$13,2,FALSE))&amp;"]"</f>
        <v>["w510",100]</v>
      </c>
      <c r="F128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["10z1","wp_star_10",""]</v>
      </c>
      <c r="G128" s="3">
        <v>0.04</v>
      </c>
      <c r="H128" s="3">
        <v>0</v>
      </c>
      <c r="I128" s="3">
        <v>0</v>
      </c>
      <c r="J128" s="3">
        <v>0</v>
      </c>
      <c r="K128" s="3">
        <v>0.02</v>
      </c>
      <c r="L128" s="3">
        <v>0</v>
      </c>
      <c r="M128" s="3">
        <v>0</v>
      </c>
      <c r="N128" s="3">
        <v>0</v>
      </c>
      <c r="O128" s="3">
        <v>0</v>
      </c>
      <c r="P128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weapons_effect_b_10</v>
      </c>
    </row>
    <row r="129" spans="1:16" x14ac:dyDescent="0.15">
      <c r="A129" s="3">
        <f t="shared" si="4"/>
        <v>10</v>
      </c>
      <c r="B129" s="3">
        <v>7</v>
      </c>
      <c r="C129" s="3">
        <v>1680</v>
      </c>
      <c r="D129" s="3">
        <v>1500000</v>
      </c>
      <c r="E129" s="3" t="str">
        <f>"["&amp;IF(表3_3[[#This Row],[星级]]=0,"","""w"&amp;500+表3_3[[#This Row],[皮肤id]]&amp;""","&amp;VLOOKUP(表3_3[[#This Row],[星级]],description!$C$1:$D$13,2,FALSE))&amp;"]"</f>
        <v>["w510",150]</v>
      </c>
      <c r="F129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["10z1","wp_star_10",""]</v>
      </c>
      <c r="G129" s="3">
        <v>0.06</v>
      </c>
      <c r="H129" s="3">
        <v>0</v>
      </c>
      <c r="I129" s="3">
        <v>0</v>
      </c>
      <c r="J129" s="3">
        <v>0</v>
      </c>
      <c r="K129" s="3">
        <v>0.02</v>
      </c>
      <c r="L129" s="3">
        <v>0</v>
      </c>
      <c r="M129" s="3">
        <v>0</v>
      </c>
      <c r="N129" s="3">
        <v>0</v>
      </c>
      <c r="O129" s="3">
        <v>0</v>
      </c>
      <c r="P129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weapons_effect_b_10</v>
      </c>
    </row>
    <row r="130" spans="1:16" x14ac:dyDescent="0.15">
      <c r="A130" s="3">
        <f t="shared" si="4"/>
        <v>10</v>
      </c>
      <c r="B130" s="3">
        <v>8</v>
      </c>
      <c r="C130" s="3">
        <v>1920</v>
      </c>
      <c r="D130" s="3">
        <v>2000000</v>
      </c>
      <c r="E130" s="3" t="str">
        <f>"["&amp;IF(表3_3[[#This Row],[星级]]=0,"","""w"&amp;500+表3_3[[#This Row],[皮肤id]]&amp;""","&amp;VLOOKUP(表3_3[[#This Row],[星级]],description!$C$1:$D$13,2,FALSE))&amp;"]"</f>
        <v>["w510",200]</v>
      </c>
      <c r="F130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["10z1","wp_star_10","3jie"]</v>
      </c>
      <c r="G130" s="3">
        <v>0.06</v>
      </c>
      <c r="H130" s="3">
        <v>0</v>
      </c>
      <c r="I130" s="3">
        <v>0</v>
      </c>
      <c r="J130" s="3">
        <v>0</v>
      </c>
      <c r="K130" s="3">
        <v>0.02</v>
      </c>
      <c r="L130" s="3">
        <v>0</v>
      </c>
      <c r="M130" s="3">
        <v>0</v>
      </c>
      <c r="N130" s="3">
        <v>0</v>
      </c>
      <c r="O130" s="3">
        <v>0</v>
      </c>
      <c r="P130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131" spans="1:16" x14ac:dyDescent="0.15">
      <c r="A131" s="3">
        <f t="shared" si="4"/>
        <v>10</v>
      </c>
      <c r="B131" s="3">
        <v>9</v>
      </c>
      <c r="C131" s="3">
        <v>2400</v>
      </c>
      <c r="D131" s="3">
        <v>2500000</v>
      </c>
      <c r="E131" s="3" t="str">
        <f>"["&amp;IF(表3_3[[#This Row],[星级]]=0,"","""w"&amp;500+表3_3[[#This Row],[皮肤id]]&amp;""","&amp;VLOOKUP(表3_3[[#This Row],[星级]],description!$C$1:$D$13,2,FALSE))&amp;"]"</f>
        <v>["w510",300]</v>
      </c>
      <c r="F131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["10z1","wp_star_10","3jie"]</v>
      </c>
      <c r="G131" s="3">
        <v>0.08</v>
      </c>
      <c r="H131" s="3">
        <v>0</v>
      </c>
      <c r="I131" s="3">
        <v>0</v>
      </c>
      <c r="J131" s="3">
        <v>0</v>
      </c>
      <c r="K131" s="3">
        <v>0.02</v>
      </c>
      <c r="L131" s="3">
        <v>0</v>
      </c>
      <c r="M131" s="3">
        <v>0</v>
      </c>
      <c r="N131" s="3">
        <v>0</v>
      </c>
      <c r="O131" s="3">
        <v>0</v>
      </c>
      <c r="P131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132" spans="1:16" x14ac:dyDescent="0.15">
      <c r="A132" s="3">
        <f t="shared" si="4"/>
        <v>10</v>
      </c>
      <c r="B132" s="3">
        <v>10</v>
      </c>
      <c r="C132" s="3">
        <v>2880</v>
      </c>
      <c r="D132" s="3">
        <v>3000000</v>
      </c>
      <c r="E132" s="3" t="str">
        <f>"["&amp;IF(表3_3[[#This Row],[星级]]=0,"","""w"&amp;500+表3_3[[#This Row],[皮肤id]]&amp;""","&amp;VLOOKUP(表3_3[[#This Row],[星级]],description!$C$1:$D$13,2,FALSE))&amp;"]"</f>
        <v>["w510",400]</v>
      </c>
      <c r="F132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["10z1","wp_star_10","3jie"]</v>
      </c>
      <c r="G132" s="3">
        <v>0.08</v>
      </c>
      <c r="H132" s="3">
        <v>0</v>
      </c>
      <c r="I132" s="3">
        <v>0</v>
      </c>
      <c r="J132" s="3">
        <v>0</v>
      </c>
      <c r="K132" s="3">
        <v>0.02</v>
      </c>
      <c r="L132" s="3">
        <v>0</v>
      </c>
      <c r="M132" s="3">
        <v>0</v>
      </c>
      <c r="N132" s="3">
        <v>0</v>
      </c>
      <c r="O132" s="3">
        <v>0</v>
      </c>
      <c r="P132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133" spans="1:16" x14ac:dyDescent="0.15">
      <c r="A133" s="3">
        <f t="shared" si="4"/>
        <v>10</v>
      </c>
      <c r="B133" s="3">
        <v>11</v>
      </c>
      <c r="C133" s="3">
        <v>3360</v>
      </c>
      <c r="D133" s="3">
        <v>4000000</v>
      </c>
      <c r="E133" s="3" t="str">
        <f>"["&amp;IF(表3_3[[#This Row],[星级]]=0,"","""w"&amp;500+表3_3[[#This Row],[皮肤id]]&amp;""","&amp;VLOOKUP(表3_3[[#This Row],[星级]],description!$C$1:$D$13,2,FALSE))&amp;"]"</f>
        <v>["w510",600]</v>
      </c>
      <c r="F133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["10z1","wp_star_10","3jie"]</v>
      </c>
      <c r="G133" s="3">
        <v>0.1</v>
      </c>
      <c r="H133" s="3">
        <v>0</v>
      </c>
      <c r="I133" s="3">
        <v>0</v>
      </c>
      <c r="J133" s="3">
        <v>0</v>
      </c>
      <c r="K133" s="3">
        <v>0.02</v>
      </c>
      <c r="L133" s="3">
        <v>0</v>
      </c>
      <c r="M133" s="3">
        <v>0</v>
      </c>
      <c r="N133" s="3">
        <v>0</v>
      </c>
      <c r="O133" s="3">
        <v>0</v>
      </c>
      <c r="P133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134" spans="1:16" x14ac:dyDescent="0.15">
      <c r="A134" s="3">
        <f t="shared" si="4"/>
        <v>10</v>
      </c>
      <c r="B134" s="3">
        <v>12</v>
      </c>
      <c r="C134" s="3">
        <v>3840</v>
      </c>
      <c r="D134" s="3">
        <v>5000000</v>
      </c>
      <c r="E134" s="3" t="str">
        <f>"["&amp;IF(表3_3[[#This Row],[星级]]=0,"","""w"&amp;500+表3_3[[#This Row],[皮肤id]]&amp;""","&amp;VLOOKUP(表3_3[[#This Row],[星级]],description!$C$1:$D$13,2,FALSE))&amp;"]"</f>
        <v>["w510",800]</v>
      </c>
      <c r="F134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["10z1","wp_star_10","3jie"]</v>
      </c>
      <c r="G134" s="3">
        <v>0.1</v>
      </c>
      <c r="H134" s="3">
        <v>0</v>
      </c>
      <c r="I134" s="3">
        <v>0</v>
      </c>
      <c r="J134" s="3">
        <v>0</v>
      </c>
      <c r="K134" s="3">
        <v>0.03</v>
      </c>
      <c r="L134" s="3">
        <v>0</v>
      </c>
      <c r="M134" s="3">
        <v>0</v>
      </c>
      <c r="N134" s="3">
        <v>0</v>
      </c>
      <c r="O134" s="3">
        <v>0</v>
      </c>
      <c r="P134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135" spans="1:16" x14ac:dyDescent="0.15">
      <c r="A135" s="3">
        <f>A122+1</f>
        <v>11</v>
      </c>
      <c r="B135" s="3">
        <v>0</v>
      </c>
      <c r="C135" s="3">
        <v>0</v>
      </c>
      <c r="D135" s="3">
        <f>表3_3[[#This Row],[星级]]^2*20000+20000*表3_3[[#This Row],[星级]]</f>
        <v>0</v>
      </c>
      <c r="E135" s="3" t="str">
        <f>"["&amp;IF(表3_3[[#This Row],[星级]]=0,"","""w"&amp;500+表3_3[[#This Row],[皮肤id]]&amp;""","&amp;VLOOKUP(表3_3[[#This Row],[星级]],description!$C$1:$D$13,2,FALSE))&amp;"]"</f>
        <v>[]</v>
      </c>
      <c r="F135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["","",""]</v>
      </c>
      <c r="G135" s="3">
        <v>0</v>
      </c>
      <c r="H135" s="3">
        <v>0</v>
      </c>
      <c r="I135" s="3">
        <v>0</v>
      </c>
      <c r="J135" s="3">
        <v>0</v>
      </c>
      <c r="K135" s="3">
        <v>0</v>
      </c>
      <c r="L135" s="3">
        <v>0</v>
      </c>
      <c r="M135" s="3">
        <v>0</v>
      </c>
      <c r="N135" s="3">
        <v>0</v>
      </c>
      <c r="O135" s="3">
        <v>0</v>
      </c>
      <c r="P135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136" spans="1:16" x14ac:dyDescent="0.15">
      <c r="A136" s="3">
        <f t="shared" ref="A136:A147" si="5">A123+1</f>
        <v>11</v>
      </c>
      <c r="B136" s="3">
        <v>1</v>
      </c>
      <c r="C136" s="3">
        <v>330</v>
      </c>
      <c r="D136" s="3">
        <v>50000</v>
      </c>
      <c r="E136" s="3" t="str">
        <f>"["&amp;IF(表3_3[[#This Row],[星级]]=0,"","""w"&amp;500+表3_3[[#This Row],[皮肤id]]&amp;""","&amp;VLOOKUP(表3_3[[#This Row],[星级]],description!$C$1:$D$13,2,FALSE))&amp;"]"</f>
        <v>["w511",5]</v>
      </c>
      <c r="F136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["","",""]</v>
      </c>
      <c r="G136" s="3">
        <v>0.01</v>
      </c>
      <c r="H136" s="3">
        <v>0</v>
      </c>
      <c r="I136" s="3">
        <v>0</v>
      </c>
      <c r="J136" s="3">
        <v>0</v>
      </c>
      <c r="K136" s="3">
        <v>0</v>
      </c>
      <c r="L136" s="3">
        <v>0</v>
      </c>
      <c r="M136" s="3">
        <v>0</v>
      </c>
      <c r="N136" s="3">
        <v>0</v>
      </c>
      <c r="O136" s="3">
        <v>0</v>
      </c>
      <c r="P136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137" spans="1:16" x14ac:dyDescent="0.15">
      <c r="A137" s="3">
        <f t="shared" si="5"/>
        <v>11</v>
      </c>
      <c r="B137" s="3">
        <v>2</v>
      </c>
      <c r="C137" s="3">
        <v>660</v>
      </c>
      <c r="D137" s="3">
        <v>200000</v>
      </c>
      <c r="E137" s="3" t="str">
        <f>"["&amp;IF(表3_3[[#This Row],[星级]]=0,"","""w"&amp;500+表3_3[[#This Row],[皮肤id]]&amp;""","&amp;VLOOKUP(表3_3[[#This Row],[星级]],description!$C$1:$D$13,2,FALSE))&amp;"]"</f>
        <v>["w511",10]</v>
      </c>
      <c r="F137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["11z1","",""]</v>
      </c>
      <c r="G137" s="3">
        <v>0.01</v>
      </c>
      <c r="H137" s="3">
        <v>0</v>
      </c>
      <c r="I137" s="3">
        <v>0</v>
      </c>
      <c r="J137" s="3">
        <v>0</v>
      </c>
      <c r="K137" s="3">
        <v>0</v>
      </c>
      <c r="L137" s="3">
        <v>0</v>
      </c>
      <c r="M137" s="3">
        <v>0</v>
      </c>
      <c r="N137" s="3">
        <v>0</v>
      </c>
      <c r="O137" s="3">
        <v>0</v>
      </c>
      <c r="P137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weapons_effect_a_11</v>
      </c>
    </row>
    <row r="138" spans="1:16" x14ac:dyDescent="0.15">
      <c r="A138" s="3">
        <f t="shared" si="5"/>
        <v>11</v>
      </c>
      <c r="B138" s="3">
        <v>3</v>
      </c>
      <c r="C138" s="3">
        <v>990</v>
      </c>
      <c r="D138" s="3">
        <v>400000</v>
      </c>
      <c r="E138" s="3" t="str">
        <f>"["&amp;IF(表3_3[[#This Row],[星级]]=0,"","""w"&amp;500+表3_3[[#This Row],[皮肤id]]&amp;""","&amp;VLOOKUP(表3_3[[#This Row],[星级]],description!$C$1:$D$13,2,FALSE))&amp;"]"</f>
        <v>["w511",20]</v>
      </c>
      <c r="F138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["11z1","",""]</v>
      </c>
      <c r="G138" s="3">
        <v>0.01</v>
      </c>
      <c r="H138" s="3">
        <v>0</v>
      </c>
      <c r="I138" s="3">
        <v>0</v>
      </c>
      <c r="J138" s="3">
        <v>0.01</v>
      </c>
      <c r="K138" s="3">
        <v>0</v>
      </c>
      <c r="L138" s="3">
        <v>0</v>
      </c>
      <c r="M138" s="3">
        <v>0</v>
      </c>
      <c r="N138" s="3">
        <v>0</v>
      </c>
      <c r="O138" s="3">
        <v>0</v>
      </c>
      <c r="P138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weapons_effect_a_11</v>
      </c>
    </row>
    <row r="139" spans="1:16" x14ac:dyDescent="0.15">
      <c r="A139" s="3">
        <f t="shared" si="5"/>
        <v>11</v>
      </c>
      <c r="B139" s="3">
        <v>4</v>
      </c>
      <c r="C139" s="3">
        <v>1320</v>
      </c>
      <c r="D139" s="3">
        <v>600000</v>
      </c>
      <c r="E139" s="3" t="str">
        <f>"["&amp;IF(表3_3[[#This Row],[星级]]=0,"","""w"&amp;500+表3_3[[#This Row],[皮肤id]]&amp;""","&amp;VLOOKUP(表3_3[[#This Row],[星级]],description!$C$1:$D$13,2,FALSE))&amp;"]"</f>
        <v>["w511",30]</v>
      </c>
      <c r="F139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["11z1","",""]</v>
      </c>
      <c r="G139" s="3">
        <v>0.02</v>
      </c>
      <c r="H139" s="3">
        <v>0</v>
      </c>
      <c r="I139" s="3">
        <v>0</v>
      </c>
      <c r="J139" s="3">
        <v>0.01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weapons_effect_a_11</v>
      </c>
    </row>
    <row r="140" spans="1:16" x14ac:dyDescent="0.15">
      <c r="A140" s="3">
        <f t="shared" si="5"/>
        <v>11</v>
      </c>
      <c r="B140" s="3">
        <v>5</v>
      </c>
      <c r="C140" s="3">
        <v>1650</v>
      </c>
      <c r="D140" s="3">
        <v>800000</v>
      </c>
      <c r="E140" s="3" t="str">
        <f>"["&amp;IF(表3_3[[#This Row],[星级]]=0,"","""w"&amp;500+表3_3[[#This Row],[皮肤id]]&amp;""","&amp;VLOOKUP(表3_3[[#This Row],[星级]],description!$C$1:$D$13,2,FALSE))&amp;"]"</f>
        <v>["w511",60]</v>
      </c>
      <c r="F140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["11z1","wp_star_11",""]</v>
      </c>
      <c r="G140" s="3">
        <v>0.02</v>
      </c>
      <c r="H140" s="3">
        <v>0</v>
      </c>
      <c r="I140" s="3">
        <v>0</v>
      </c>
      <c r="J140" s="3">
        <v>0.01</v>
      </c>
      <c r="K140" s="3">
        <v>0</v>
      </c>
      <c r="L140" s="3">
        <v>0</v>
      </c>
      <c r="M140" s="3">
        <v>0</v>
      </c>
      <c r="N140" s="3">
        <v>0</v>
      </c>
      <c r="O140" s="3">
        <v>0</v>
      </c>
      <c r="P140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weapons_effect_b_11</v>
      </c>
    </row>
    <row r="141" spans="1:16" x14ac:dyDescent="0.15">
      <c r="A141" s="3">
        <f t="shared" si="5"/>
        <v>11</v>
      </c>
      <c r="B141" s="3">
        <v>6</v>
      </c>
      <c r="C141" s="3">
        <v>1980</v>
      </c>
      <c r="D141" s="3">
        <v>1000000</v>
      </c>
      <c r="E141" s="3" t="str">
        <f>"["&amp;IF(表3_3[[#This Row],[星级]]=0,"","""w"&amp;500+表3_3[[#This Row],[皮肤id]]&amp;""","&amp;VLOOKUP(表3_3[[#This Row],[星级]],description!$C$1:$D$13,2,FALSE))&amp;"]"</f>
        <v>["w511",100]</v>
      </c>
      <c r="F141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["11z1","wp_star_11",""]</v>
      </c>
      <c r="G141" s="3">
        <v>0.02</v>
      </c>
      <c r="H141" s="3">
        <v>0</v>
      </c>
      <c r="I141" s="3">
        <v>0</v>
      </c>
      <c r="J141" s="3">
        <v>0.02</v>
      </c>
      <c r="K141" s="3">
        <v>0</v>
      </c>
      <c r="L141" s="3">
        <v>0</v>
      </c>
      <c r="M141" s="3">
        <v>0</v>
      </c>
      <c r="N141" s="3">
        <v>0</v>
      </c>
      <c r="O141" s="3">
        <v>0</v>
      </c>
      <c r="P141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weapons_effect_b_11</v>
      </c>
    </row>
    <row r="142" spans="1:16" x14ac:dyDescent="0.15">
      <c r="A142" s="3">
        <f t="shared" si="5"/>
        <v>11</v>
      </c>
      <c r="B142" s="3">
        <v>7</v>
      </c>
      <c r="C142" s="3">
        <v>2310</v>
      </c>
      <c r="D142" s="3">
        <v>1500000</v>
      </c>
      <c r="E142" s="3" t="str">
        <f>"["&amp;IF(表3_3[[#This Row],[星级]]=0,"","""w"&amp;500+表3_3[[#This Row],[皮肤id]]&amp;""","&amp;VLOOKUP(表3_3[[#This Row],[星级]],description!$C$1:$D$13,2,FALSE))&amp;"]"</f>
        <v>["w511",150]</v>
      </c>
      <c r="F142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["11z1","wp_star_11",""]</v>
      </c>
      <c r="G142" s="3">
        <v>0.03</v>
      </c>
      <c r="H142" s="3">
        <v>0</v>
      </c>
      <c r="I142" s="3">
        <v>0</v>
      </c>
      <c r="J142" s="3">
        <v>0.02</v>
      </c>
      <c r="K142" s="3">
        <v>0</v>
      </c>
      <c r="L142" s="3">
        <v>0</v>
      </c>
      <c r="M142" s="3">
        <v>0</v>
      </c>
      <c r="N142" s="3">
        <v>0</v>
      </c>
      <c r="O142" s="3">
        <v>0</v>
      </c>
      <c r="P142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weapons_effect_b_11</v>
      </c>
    </row>
    <row r="143" spans="1:16" x14ac:dyDescent="0.15">
      <c r="A143" s="3">
        <f t="shared" si="5"/>
        <v>11</v>
      </c>
      <c r="B143" s="3">
        <v>8</v>
      </c>
      <c r="C143" s="3">
        <v>2640</v>
      </c>
      <c r="D143" s="3">
        <v>2000000</v>
      </c>
      <c r="E143" s="3" t="str">
        <f>"["&amp;IF(表3_3[[#This Row],[星级]]=0,"","""w"&amp;500+表3_3[[#This Row],[皮肤id]]&amp;""","&amp;VLOOKUP(表3_3[[#This Row],[星级]],description!$C$1:$D$13,2,FALSE))&amp;"]"</f>
        <v>["w511",200]</v>
      </c>
      <c r="F143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["11z1","wp_star_11","3jie"]</v>
      </c>
      <c r="G143" s="3">
        <v>0.03</v>
      </c>
      <c r="H143" s="3">
        <v>0</v>
      </c>
      <c r="I143" s="3">
        <v>0</v>
      </c>
      <c r="J143" s="3">
        <v>0.02</v>
      </c>
      <c r="K143" s="3">
        <v>0</v>
      </c>
      <c r="L143" s="3">
        <v>0</v>
      </c>
      <c r="M143" s="3">
        <v>0</v>
      </c>
      <c r="N143" s="3">
        <v>0</v>
      </c>
      <c r="O143" s="3">
        <v>0</v>
      </c>
      <c r="P143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144" spans="1:16" x14ac:dyDescent="0.15">
      <c r="A144" s="3">
        <f t="shared" si="5"/>
        <v>11</v>
      </c>
      <c r="B144" s="3">
        <v>9</v>
      </c>
      <c r="C144" s="3">
        <v>3300</v>
      </c>
      <c r="D144" s="3">
        <v>2500000</v>
      </c>
      <c r="E144" s="3" t="str">
        <f>"["&amp;IF(表3_3[[#This Row],[星级]]=0,"","""w"&amp;500+表3_3[[#This Row],[皮肤id]]&amp;""","&amp;VLOOKUP(表3_3[[#This Row],[星级]],description!$C$1:$D$13,2,FALSE))&amp;"]"</f>
        <v>["w511",300]</v>
      </c>
      <c r="F144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["11z1","wp_star_11","3jie"]</v>
      </c>
      <c r="G144" s="3">
        <v>0.04</v>
      </c>
      <c r="H144" s="3">
        <v>0</v>
      </c>
      <c r="I144" s="3">
        <v>0</v>
      </c>
      <c r="J144" s="3">
        <v>0.02</v>
      </c>
      <c r="K144" s="3">
        <v>0</v>
      </c>
      <c r="L144" s="3">
        <v>0</v>
      </c>
      <c r="M144" s="3">
        <v>0</v>
      </c>
      <c r="N144" s="3">
        <v>0</v>
      </c>
      <c r="O144" s="3">
        <v>0</v>
      </c>
      <c r="P144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145" spans="1:16" x14ac:dyDescent="0.15">
      <c r="A145" s="3">
        <f t="shared" si="5"/>
        <v>11</v>
      </c>
      <c r="B145" s="3">
        <v>10</v>
      </c>
      <c r="C145" s="3">
        <v>3960</v>
      </c>
      <c r="D145" s="3">
        <v>3000000</v>
      </c>
      <c r="E145" s="3" t="str">
        <f>"["&amp;IF(表3_3[[#This Row],[星级]]=0,"","""w"&amp;500+表3_3[[#This Row],[皮肤id]]&amp;""","&amp;VLOOKUP(表3_3[[#This Row],[星级]],description!$C$1:$D$13,2,FALSE))&amp;"]"</f>
        <v>["w511",400]</v>
      </c>
      <c r="F145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["11z1","wp_star_11","3jie"]</v>
      </c>
      <c r="G145" s="3">
        <v>0.04</v>
      </c>
      <c r="H145" s="3">
        <v>0</v>
      </c>
      <c r="I145" s="3">
        <v>0</v>
      </c>
      <c r="J145" s="3">
        <v>0.02</v>
      </c>
      <c r="K145" s="3">
        <v>0</v>
      </c>
      <c r="L145" s="3">
        <v>0</v>
      </c>
      <c r="M145" s="3">
        <v>0</v>
      </c>
      <c r="N145" s="3">
        <v>0</v>
      </c>
      <c r="O145" s="3">
        <v>0</v>
      </c>
      <c r="P145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146" spans="1:16" x14ac:dyDescent="0.15">
      <c r="A146" s="3">
        <f t="shared" si="5"/>
        <v>11</v>
      </c>
      <c r="B146" s="3">
        <v>11</v>
      </c>
      <c r="C146" s="3">
        <v>4620</v>
      </c>
      <c r="D146" s="3">
        <v>4000000</v>
      </c>
      <c r="E146" s="3" t="str">
        <f>"["&amp;IF(表3_3[[#This Row],[星级]]=0,"","""w"&amp;500+表3_3[[#This Row],[皮肤id]]&amp;""","&amp;VLOOKUP(表3_3[[#This Row],[星级]],description!$C$1:$D$13,2,FALSE))&amp;"]"</f>
        <v>["w511",600]</v>
      </c>
      <c r="F146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["11z1","wp_star_11","3jie"]</v>
      </c>
      <c r="G146" s="3">
        <v>0.05</v>
      </c>
      <c r="H146" s="3">
        <v>0</v>
      </c>
      <c r="I146" s="3">
        <v>0</v>
      </c>
      <c r="J146" s="3">
        <v>0.02</v>
      </c>
      <c r="K146" s="3">
        <v>0</v>
      </c>
      <c r="L146" s="3">
        <v>0</v>
      </c>
      <c r="M146" s="3">
        <v>0</v>
      </c>
      <c r="N146" s="3">
        <v>0</v>
      </c>
      <c r="O146" s="3">
        <v>0</v>
      </c>
      <c r="P146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147" spans="1:16" x14ac:dyDescent="0.15">
      <c r="A147" s="3">
        <f t="shared" si="5"/>
        <v>11</v>
      </c>
      <c r="B147" s="3">
        <v>12</v>
      </c>
      <c r="C147" s="3">
        <v>5280</v>
      </c>
      <c r="D147" s="3">
        <v>5000000</v>
      </c>
      <c r="E147" s="3" t="str">
        <f>"["&amp;IF(表3_3[[#This Row],[星级]]=0,"","""w"&amp;500+表3_3[[#This Row],[皮肤id]]&amp;""","&amp;VLOOKUP(表3_3[[#This Row],[星级]],description!$C$1:$D$13,2,FALSE))&amp;"]"</f>
        <v>["w511",800]</v>
      </c>
      <c r="F147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["11z1","wp_star_11","3jie"]</v>
      </c>
      <c r="G147" s="3">
        <v>0.05</v>
      </c>
      <c r="H147" s="3">
        <v>0</v>
      </c>
      <c r="I147" s="3">
        <v>0</v>
      </c>
      <c r="J147" s="3">
        <v>0.03</v>
      </c>
      <c r="K147" s="3">
        <v>0</v>
      </c>
      <c r="L147" s="3">
        <v>0</v>
      </c>
      <c r="M147" s="3">
        <v>0</v>
      </c>
      <c r="N147" s="3">
        <v>0</v>
      </c>
      <c r="O147" s="3">
        <v>0</v>
      </c>
      <c r="P147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148" spans="1:16" x14ac:dyDescent="0.15">
      <c r="A148" s="3">
        <f>A135+1</f>
        <v>12</v>
      </c>
      <c r="B148" s="3">
        <v>0</v>
      </c>
      <c r="C148" s="3">
        <v>0</v>
      </c>
      <c r="D148" s="3">
        <f>表3_3[[#This Row],[星级]]^2*20000+20000*表3_3[[#This Row],[星级]]</f>
        <v>0</v>
      </c>
      <c r="E148" s="3" t="str">
        <f>"["&amp;IF(表3_3[[#This Row],[星级]]=0,"","""w"&amp;500+表3_3[[#This Row],[皮肤id]]&amp;""","&amp;VLOOKUP(表3_3[[#This Row],[星级]],description!$C$1:$D$13,2,FALSE))&amp;"]"</f>
        <v>[]</v>
      </c>
      <c r="F148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["","",""]</v>
      </c>
      <c r="G148" s="3">
        <v>0</v>
      </c>
      <c r="H148" s="3">
        <v>0</v>
      </c>
      <c r="I148" s="3">
        <v>0</v>
      </c>
      <c r="J148" s="3">
        <v>0</v>
      </c>
      <c r="K148" s="3">
        <v>0</v>
      </c>
      <c r="L148" s="3">
        <v>0</v>
      </c>
      <c r="M148" s="3">
        <v>0</v>
      </c>
      <c r="N148" s="3">
        <v>0</v>
      </c>
      <c r="O148" s="3">
        <v>0</v>
      </c>
      <c r="P148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149" spans="1:16" x14ac:dyDescent="0.15">
      <c r="A149" s="3">
        <f t="shared" ref="A149:A199" si="6">A136+1</f>
        <v>12</v>
      </c>
      <c r="B149" s="3">
        <v>1</v>
      </c>
      <c r="C149" s="3">
        <v>390</v>
      </c>
      <c r="D149" s="3">
        <v>50000</v>
      </c>
      <c r="E149" s="3" t="str">
        <f>"["&amp;IF(表3_3[[#This Row],[星级]]=0,"","""w"&amp;500+表3_3[[#This Row],[皮肤id]]&amp;""","&amp;VLOOKUP(表3_3[[#This Row],[星级]],description!$C$1:$D$13,2,FALSE))&amp;"]"</f>
        <v>["w512",5]</v>
      </c>
      <c r="F149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["","",""]</v>
      </c>
      <c r="G149" s="3">
        <v>0</v>
      </c>
      <c r="H149" s="3">
        <v>0</v>
      </c>
      <c r="I149" s="3">
        <v>0</v>
      </c>
      <c r="J149" s="3">
        <v>0</v>
      </c>
      <c r="K149" s="3">
        <v>0</v>
      </c>
      <c r="L149" s="3">
        <v>0</v>
      </c>
      <c r="M149" s="3">
        <v>0.01</v>
      </c>
      <c r="N149" s="3">
        <v>0</v>
      </c>
      <c r="O149" s="3">
        <v>0</v>
      </c>
      <c r="P149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150" spans="1:16" x14ac:dyDescent="0.15">
      <c r="A150" s="3">
        <f t="shared" si="6"/>
        <v>12</v>
      </c>
      <c r="B150" s="3">
        <v>2</v>
      </c>
      <c r="C150" s="3">
        <v>780</v>
      </c>
      <c r="D150" s="3">
        <v>200000</v>
      </c>
      <c r="E150" s="3" t="str">
        <f>"["&amp;IF(表3_3[[#This Row],[星级]]=0,"","""w"&amp;500+表3_3[[#This Row],[皮肤id]]&amp;""","&amp;VLOOKUP(表3_3[[#This Row],[星级]],description!$C$1:$D$13,2,FALSE))&amp;"]"</f>
        <v>["w512",10]</v>
      </c>
      <c r="F150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["12z1","",""]</v>
      </c>
      <c r="G150" s="3">
        <v>0</v>
      </c>
      <c r="H150" s="3">
        <v>0</v>
      </c>
      <c r="I150" s="3">
        <v>0</v>
      </c>
      <c r="J150" s="3">
        <v>0</v>
      </c>
      <c r="K150" s="3">
        <v>0</v>
      </c>
      <c r="L150" s="3">
        <v>0</v>
      </c>
      <c r="M150" s="3">
        <v>0.01</v>
      </c>
      <c r="N150" s="3">
        <v>0</v>
      </c>
      <c r="O150" s="3">
        <v>0</v>
      </c>
      <c r="P150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weapons_effect_a_12</v>
      </c>
    </row>
    <row r="151" spans="1:16" x14ac:dyDescent="0.15">
      <c r="A151" s="3">
        <f t="shared" si="6"/>
        <v>12</v>
      </c>
      <c r="B151" s="3">
        <v>3</v>
      </c>
      <c r="C151" s="3">
        <v>1170</v>
      </c>
      <c r="D151" s="3">
        <v>400000</v>
      </c>
      <c r="E151" s="3" t="str">
        <f>"["&amp;IF(表3_3[[#This Row],[星级]]=0,"","""w"&amp;500+表3_3[[#This Row],[皮肤id]]&amp;""","&amp;VLOOKUP(表3_3[[#This Row],[星级]],description!$C$1:$D$13,2,FALSE))&amp;"]"</f>
        <v>["w512",20]</v>
      </c>
      <c r="F151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["12z1","",""]</v>
      </c>
      <c r="G151" s="3">
        <v>0</v>
      </c>
      <c r="H151" s="3">
        <v>0</v>
      </c>
      <c r="I151" s="3">
        <v>0</v>
      </c>
      <c r="J151" s="3">
        <v>0</v>
      </c>
      <c r="K151" s="3">
        <v>0.01</v>
      </c>
      <c r="L151" s="3">
        <v>0</v>
      </c>
      <c r="M151" s="3">
        <v>0.01</v>
      </c>
      <c r="N151" s="3">
        <v>0</v>
      </c>
      <c r="O151" s="3">
        <v>0</v>
      </c>
      <c r="P151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weapons_effect_a_12</v>
      </c>
    </row>
    <row r="152" spans="1:16" x14ac:dyDescent="0.15">
      <c r="A152" s="3">
        <f t="shared" si="6"/>
        <v>12</v>
      </c>
      <c r="B152" s="3">
        <v>4</v>
      </c>
      <c r="C152" s="3">
        <v>1560</v>
      </c>
      <c r="D152" s="3">
        <v>600000</v>
      </c>
      <c r="E152" s="3" t="str">
        <f>"["&amp;IF(表3_3[[#This Row],[星级]]=0,"","""w"&amp;500+表3_3[[#This Row],[皮肤id]]&amp;""","&amp;VLOOKUP(表3_3[[#This Row],[星级]],description!$C$1:$D$13,2,FALSE))&amp;"]"</f>
        <v>["w512",30]</v>
      </c>
      <c r="F152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["12z1","",""]</v>
      </c>
      <c r="G152" s="3">
        <v>0</v>
      </c>
      <c r="H152" s="3">
        <v>0</v>
      </c>
      <c r="I152" s="3">
        <v>0</v>
      </c>
      <c r="J152" s="3">
        <v>0</v>
      </c>
      <c r="K152" s="3">
        <v>0.01</v>
      </c>
      <c r="L152" s="3">
        <v>0</v>
      </c>
      <c r="M152" s="3">
        <v>0.02</v>
      </c>
      <c r="N152" s="3">
        <v>0</v>
      </c>
      <c r="O152" s="3">
        <v>0</v>
      </c>
      <c r="P152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weapons_effect_a_12</v>
      </c>
    </row>
    <row r="153" spans="1:16" x14ac:dyDescent="0.15">
      <c r="A153" s="3">
        <f t="shared" si="6"/>
        <v>12</v>
      </c>
      <c r="B153" s="3">
        <v>5</v>
      </c>
      <c r="C153" s="3">
        <v>1950</v>
      </c>
      <c r="D153" s="3">
        <v>800000</v>
      </c>
      <c r="E153" s="3" t="str">
        <f>"["&amp;IF(表3_3[[#This Row],[星级]]=0,"","""w"&amp;500+表3_3[[#This Row],[皮肤id]]&amp;""","&amp;VLOOKUP(表3_3[[#This Row],[星级]],description!$C$1:$D$13,2,FALSE))&amp;"]"</f>
        <v>["w512",60]</v>
      </c>
      <c r="F153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["12z1","wp_star_12",""]</v>
      </c>
      <c r="G153" s="3">
        <v>0</v>
      </c>
      <c r="H153" s="3">
        <v>0</v>
      </c>
      <c r="I153" s="3">
        <v>0</v>
      </c>
      <c r="J153" s="3">
        <v>0</v>
      </c>
      <c r="K153" s="3">
        <v>0.01</v>
      </c>
      <c r="L153" s="3">
        <v>0</v>
      </c>
      <c r="M153" s="3">
        <v>0.02</v>
      </c>
      <c r="N153" s="3">
        <v>0</v>
      </c>
      <c r="O153" s="3">
        <v>0</v>
      </c>
      <c r="P153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weapons_effect_b_12</v>
      </c>
    </row>
    <row r="154" spans="1:16" x14ac:dyDescent="0.15">
      <c r="A154" s="3">
        <f t="shared" si="6"/>
        <v>12</v>
      </c>
      <c r="B154" s="3">
        <v>6</v>
      </c>
      <c r="C154" s="3">
        <v>2340</v>
      </c>
      <c r="D154" s="3">
        <v>1000000</v>
      </c>
      <c r="E154" s="3" t="str">
        <f>"["&amp;IF(表3_3[[#This Row],[星级]]=0,"","""w"&amp;500+表3_3[[#This Row],[皮肤id]]&amp;""","&amp;VLOOKUP(表3_3[[#This Row],[星级]],description!$C$1:$D$13,2,FALSE))&amp;"]"</f>
        <v>["w512",100]</v>
      </c>
      <c r="F154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["12z1","wp_star_12",""]</v>
      </c>
      <c r="G154" s="3">
        <v>0</v>
      </c>
      <c r="H154" s="3">
        <v>0</v>
      </c>
      <c r="I154" s="3">
        <v>0</v>
      </c>
      <c r="J154" s="3">
        <v>0</v>
      </c>
      <c r="K154" s="3">
        <v>0.02</v>
      </c>
      <c r="L154" s="3">
        <v>0</v>
      </c>
      <c r="M154" s="3">
        <v>0.02</v>
      </c>
      <c r="N154" s="3">
        <v>0</v>
      </c>
      <c r="O154" s="3">
        <v>0</v>
      </c>
      <c r="P154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weapons_effect_b_12</v>
      </c>
    </row>
    <row r="155" spans="1:16" x14ac:dyDescent="0.15">
      <c r="A155" s="3">
        <f t="shared" si="6"/>
        <v>12</v>
      </c>
      <c r="B155" s="3">
        <v>7</v>
      </c>
      <c r="C155" s="3">
        <v>2730</v>
      </c>
      <c r="D155" s="3">
        <v>1500000</v>
      </c>
      <c r="E155" s="3" t="str">
        <f>"["&amp;IF(表3_3[[#This Row],[星级]]=0,"","""w"&amp;500+表3_3[[#This Row],[皮肤id]]&amp;""","&amp;VLOOKUP(表3_3[[#This Row],[星级]],description!$C$1:$D$13,2,FALSE))&amp;"]"</f>
        <v>["w512",150]</v>
      </c>
      <c r="F155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["12z1","wp_star_12",""]</v>
      </c>
      <c r="G155" s="3">
        <v>0</v>
      </c>
      <c r="H155" s="3">
        <v>0</v>
      </c>
      <c r="I155" s="3">
        <v>0</v>
      </c>
      <c r="J155" s="3">
        <v>0</v>
      </c>
      <c r="K155" s="3">
        <v>0.02</v>
      </c>
      <c r="L155" s="3">
        <v>0</v>
      </c>
      <c r="M155" s="3">
        <v>0.03</v>
      </c>
      <c r="N155" s="3">
        <v>0</v>
      </c>
      <c r="O155" s="3">
        <v>0</v>
      </c>
      <c r="P155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weapons_effect_b_12</v>
      </c>
    </row>
    <row r="156" spans="1:16" x14ac:dyDescent="0.15">
      <c r="A156" s="3">
        <f t="shared" si="6"/>
        <v>12</v>
      </c>
      <c r="B156" s="3">
        <v>8</v>
      </c>
      <c r="C156" s="3">
        <v>3120</v>
      </c>
      <c r="D156" s="3">
        <v>2000000</v>
      </c>
      <c r="E156" s="3" t="str">
        <f>"["&amp;IF(表3_3[[#This Row],[星级]]=0,"","""w"&amp;500+表3_3[[#This Row],[皮肤id]]&amp;""","&amp;VLOOKUP(表3_3[[#This Row],[星级]],description!$C$1:$D$13,2,FALSE))&amp;"]"</f>
        <v>["w512",200]</v>
      </c>
      <c r="F156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["12z1","wp_star_12","3jie"]</v>
      </c>
      <c r="G156" s="3">
        <v>0</v>
      </c>
      <c r="H156" s="3">
        <v>0</v>
      </c>
      <c r="I156" s="3">
        <v>0</v>
      </c>
      <c r="J156" s="3">
        <v>0</v>
      </c>
      <c r="K156" s="3">
        <v>0.02</v>
      </c>
      <c r="L156" s="3">
        <v>0</v>
      </c>
      <c r="M156" s="3">
        <v>0.03</v>
      </c>
      <c r="N156" s="3">
        <v>0</v>
      </c>
      <c r="O156" s="3">
        <v>0</v>
      </c>
      <c r="P156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157" spans="1:16" x14ac:dyDescent="0.15">
      <c r="A157" s="3">
        <f t="shared" si="6"/>
        <v>12</v>
      </c>
      <c r="B157" s="3">
        <v>9</v>
      </c>
      <c r="C157" s="3">
        <v>3900</v>
      </c>
      <c r="D157" s="3">
        <v>2500000</v>
      </c>
      <c r="E157" s="3" t="str">
        <f>"["&amp;IF(表3_3[[#This Row],[星级]]=0,"","""w"&amp;500+表3_3[[#This Row],[皮肤id]]&amp;""","&amp;VLOOKUP(表3_3[[#This Row],[星级]],description!$C$1:$D$13,2,FALSE))&amp;"]"</f>
        <v>["w512",300]</v>
      </c>
      <c r="F157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["12z1","wp_star_12","3jie"]</v>
      </c>
      <c r="G157" s="3">
        <v>0</v>
      </c>
      <c r="H157" s="3">
        <v>0</v>
      </c>
      <c r="I157" s="3">
        <v>0</v>
      </c>
      <c r="J157" s="3">
        <v>0</v>
      </c>
      <c r="K157" s="3">
        <v>0.02</v>
      </c>
      <c r="L157" s="3">
        <v>0</v>
      </c>
      <c r="M157" s="3">
        <v>0.04</v>
      </c>
      <c r="N157" s="3">
        <v>0</v>
      </c>
      <c r="O157" s="3">
        <v>0</v>
      </c>
      <c r="P157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158" spans="1:16" x14ac:dyDescent="0.15">
      <c r="A158" s="3">
        <f t="shared" si="6"/>
        <v>12</v>
      </c>
      <c r="B158" s="3">
        <v>10</v>
      </c>
      <c r="C158" s="3">
        <v>4680</v>
      </c>
      <c r="D158" s="3">
        <v>3000000</v>
      </c>
      <c r="E158" s="3" t="str">
        <f>"["&amp;IF(表3_3[[#This Row],[星级]]=0,"","""w"&amp;500+表3_3[[#This Row],[皮肤id]]&amp;""","&amp;VLOOKUP(表3_3[[#This Row],[星级]],description!$C$1:$D$13,2,FALSE))&amp;"]"</f>
        <v>["w512",400]</v>
      </c>
      <c r="F158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["12z1","wp_star_12","3jie"]</v>
      </c>
      <c r="G158" s="3">
        <v>0</v>
      </c>
      <c r="H158" s="3">
        <v>0</v>
      </c>
      <c r="I158" s="3">
        <v>0</v>
      </c>
      <c r="J158" s="3">
        <v>0</v>
      </c>
      <c r="K158" s="3">
        <v>0.02</v>
      </c>
      <c r="L158" s="3">
        <v>0</v>
      </c>
      <c r="M158" s="3">
        <v>0.04</v>
      </c>
      <c r="N158" s="3">
        <v>0</v>
      </c>
      <c r="O158" s="3">
        <v>0</v>
      </c>
      <c r="P158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159" spans="1:16" x14ac:dyDescent="0.15">
      <c r="A159" s="3">
        <f t="shared" si="6"/>
        <v>12</v>
      </c>
      <c r="B159" s="3">
        <v>11</v>
      </c>
      <c r="C159" s="3">
        <v>5460</v>
      </c>
      <c r="D159" s="3">
        <v>4000000</v>
      </c>
      <c r="E159" s="3" t="str">
        <f>"["&amp;IF(表3_3[[#This Row],[星级]]=0,"","""w"&amp;500+表3_3[[#This Row],[皮肤id]]&amp;""","&amp;VLOOKUP(表3_3[[#This Row],[星级]],description!$C$1:$D$13,2,FALSE))&amp;"]"</f>
        <v>["w512",600]</v>
      </c>
      <c r="F159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["12z1","wp_star_12","3jie"]</v>
      </c>
      <c r="G159" s="3">
        <v>0</v>
      </c>
      <c r="H159" s="3">
        <v>0</v>
      </c>
      <c r="I159" s="3">
        <v>0</v>
      </c>
      <c r="J159" s="3">
        <v>0</v>
      </c>
      <c r="K159" s="3">
        <v>0.02</v>
      </c>
      <c r="L159" s="3">
        <v>0</v>
      </c>
      <c r="M159" s="3">
        <v>0.05</v>
      </c>
      <c r="N159" s="3">
        <v>0</v>
      </c>
      <c r="O159" s="3">
        <v>0</v>
      </c>
      <c r="P159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160" spans="1:16" x14ac:dyDescent="0.15">
      <c r="A160" s="3">
        <f t="shared" si="6"/>
        <v>12</v>
      </c>
      <c r="B160" s="3">
        <v>12</v>
      </c>
      <c r="C160" s="3">
        <v>6240</v>
      </c>
      <c r="D160" s="3">
        <v>5000000</v>
      </c>
      <c r="E160" s="3" t="str">
        <f>"["&amp;IF(表3_3[[#This Row],[星级]]=0,"","""w"&amp;500+表3_3[[#This Row],[皮肤id]]&amp;""","&amp;VLOOKUP(表3_3[[#This Row],[星级]],description!$C$1:$D$13,2,FALSE))&amp;"]"</f>
        <v>["w512",800]</v>
      </c>
      <c r="F160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["12z1","wp_star_12","3jie"]</v>
      </c>
      <c r="G160" s="3">
        <v>0</v>
      </c>
      <c r="H160" s="3">
        <v>0</v>
      </c>
      <c r="I160" s="3">
        <v>0</v>
      </c>
      <c r="J160" s="3">
        <v>0</v>
      </c>
      <c r="K160" s="3">
        <v>0.03</v>
      </c>
      <c r="L160" s="3">
        <v>0</v>
      </c>
      <c r="M160" s="3">
        <v>0.05</v>
      </c>
      <c r="N160" s="3">
        <v>0</v>
      </c>
      <c r="O160" s="3">
        <v>0</v>
      </c>
      <c r="P160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161" spans="1:16" x14ac:dyDescent="0.15">
      <c r="A161" s="3">
        <f>A148+1</f>
        <v>13</v>
      </c>
      <c r="B161" s="3">
        <v>0</v>
      </c>
      <c r="C161" s="3">
        <v>0</v>
      </c>
      <c r="D161" s="3">
        <f>表3_3[[#This Row],[星级]]^2*20000+20000*表3_3[[#This Row],[星级]]</f>
        <v>0</v>
      </c>
      <c r="E161" s="3" t="str">
        <f>"["&amp;IF(表3_3[[#This Row],[星级]]=0,"","""w"&amp;500+表3_3[[#This Row],[皮肤id]]&amp;""","&amp;VLOOKUP(表3_3[[#This Row],[星级]],description!$C$1:$D$13,2,FALSE))&amp;"]"</f>
        <v>[]</v>
      </c>
      <c r="F161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["","",""]</v>
      </c>
      <c r="G161" s="3">
        <v>0</v>
      </c>
      <c r="H161" s="9">
        <v>0</v>
      </c>
      <c r="I161" s="3">
        <v>0</v>
      </c>
      <c r="J161" s="3">
        <v>0</v>
      </c>
      <c r="K161" s="3">
        <v>0</v>
      </c>
      <c r="L161" s="3">
        <v>0</v>
      </c>
      <c r="M161" s="3">
        <v>0</v>
      </c>
      <c r="N161" s="3">
        <v>0</v>
      </c>
      <c r="O161" s="3">
        <v>0</v>
      </c>
      <c r="P161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162" spans="1:16" x14ac:dyDescent="0.15">
      <c r="A162" s="3">
        <f t="shared" si="6"/>
        <v>13</v>
      </c>
      <c r="B162" s="3">
        <v>1</v>
      </c>
      <c r="C162" s="3">
        <v>465</v>
      </c>
      <c r="D162" s="3">
        <v>50000</v>
      </c>
      <c r="E162" s="3" t="str">
        <f>"["&amp;IF(表3_3[[#This Row],[星级]]=0,"","""w"&amp;500+表3_3[[#This Row],[皮肤id]]&amp;""","&amp;VLOOKUP(表3_3[[#This Row],[星级]],description!$C$1:$D$13,2,FALSE))&amp;"]"</f>
        <v>["w513",5]</v>
      </c>
      <c r="F162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["","",""]</v>
      </c>
      <c r="G162" s="3">
        <v>0</v>
      </c>
      <c r="H162" s="9">
        <v>0</v>
      </c>
      <c r="I162" s="3">
        <v>0</v>
      </c>
      <c r="J162" s="3">
        <v>0</v>
      </c>
      <c r="K162" s="3">
        <v>0</v>
      </c>
      <c r="L162" s="3">
        <v>0.01</v>
      </c>
      <c r="M162" s="3">
        <v>0</v>
      </c>
      <c r="N162" s="3">
        <v>0</v>
      </c>
      <c r="O162" s="3">
        <v>0</v>
      </c>
      <c r="P162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163" spans="1:16" x14ac:dyDescent="0.15">
      <c r="A163" s="3">
        <f t="shared" si="6"/>
        <v>13</v>
      </c>
      <c r="B163" s="3">
        <v>2</v>
      </c>
      <c r="C163" s="3">
        <v>930</v>
      </c>
      <c r="D163" s="3">
        <v>200000</v>
      </c>
      <c r="E163" s="3" t="str">
        <f>"["&amp;IF(表3_3[[#This Row],[星级]]=0,"","""w"&amp;500+表3_3[[#This Row],[皮肤id]]&amp;""","&amp;VLOOKUP(表3_3[[#This Row],[星级]],description!$C$1:$D$13,2,FALSE))&amp;"]"</f>
        <v>["w513",10]</v>
      </c>
      <c r="F163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["13z1","",""]</v>
      </c>
      <c r="G163" s="3">
        <v>0</v>
      </c>
      <c r="H163" s="9">
        <v>0</v>
      </c>
      <c r="I163" s="3">
        <v>0</v>
      </c>
      <c r="J163" s="3">
        <v>0</v>
      </c>
      <c r="K163" s="3">
        <v>0</v>
      </c>
      <c r="L163" s="3">
        <v>0.01</v>
      </c>
      <c r="M163" s="3">
        <v>0</v>
      </c>
      <c r="N163" s="3">
        <v>0</v>
      </c>
      <c r="O163" s="3">
        <v>0</v>
      </c>
      <c r="P163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weapons_effect_a_13</v>
      </c>
    </row>
    <row r="164" spans="1:16" x14ac:dyDescent="0.15">
      <c r="A164" s="3">
        <f t="shared" si="6"/>
        <v>13</v>
      </c>
      <c r="B164" s="3">
        <v>3</v>
      </c>
      <c r="C164" s="3">
        <v>1395</v>
      </c>
      <c r="D164" s="3">
        <v>400000</v>
      </c>
      <c r="E164" s="3" t="str">
        <f>"["&amp;IF(表3_3[[#This Row],[星级]]=0,"","""w"&amp;500+表3_3[[#This Row],[皮肤id]]&amp;""","&amp;VLOOKUP(表3_3[[#This Row],[星级]],description!$C$1:$D$13,2,FALSE))&amp;"]"</f>
        <v>["w513",20]</v>
      </c>
      <c r="F164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["13z1","",""]</v>
      </c>
      <c r="G164" s="3">
        <v>0</v>
      </c>
      <c r="H164" s="9">
        <v>0</v>
      </c>
      <c r="I164" s="3">
        <v>0</v>
      </c>
      <c r="J164" s="3">
        <v>0</v>
      </c>
      <c r="K164" s="3">
        <v>0.01</v>
      </c>
      <c r="L164" s="3">
        <v>0.01</v>
      </c>
      <c r="M164" s="3">
        <v>0</v>
      </c>
      <c r="N164" s="3">
        <v>0</v>
      </c>
      <c r="O164" s="3">
        <v>0</v>
      </c>
      <c r="P164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weapons_effect_a_13</v>
      </c>
    </row>
    <row r="165" spans="1:16" x14ac:dyDescent="0.15">
      <c r="A165" s="3">
        <f t="shared" si="6"/>
        <v>13</v>
      </c>
      <c r="B165" s="3">
        <v>4</v>
      </c>
      <c r="C165" s="3">
        <v>1860</v>
      </c>
      <c r="D165" s="3">
        <v>600000</v>
      </c>
      <c r="E165" s="3" t="str">
        <f>"["&amp;IF(表3_3[[#This Row],[星级]]=0,"","""w"&amp;500+表3_3[[#This Row],[皮肤id]]&amp;""","&amp;VLOOKUP(表3_3[[#This Row],[星级]],description!$C$1:$D$13,2,FALSE))&amp;"]"</f>
        <v>["w513",30]</v>
      </c>
      <c r="F165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["13z1","",""]</v>
      </c>
      <c r="G165" s="3">
        <v>0</v>
      </c>
      <c r="H165" s="9">
        <v>0</v>
      </c>
      <c r="I165" s="3">
        <v>0</v>
      </c>
      <c r="J165" s="3">
        <v>0</v>
      </c>
      <c r="K165" s="3">
        <v>0.01</v>
      </c>
      <c r="L165" s="3">
        <v>0.02</v>
      </c>
      <c r="M165" s="3">
        <v>0</v>
      </c>
      <c r="N165" s="3">
        <v>0</v>
      </c>
      <c r="O165" s="3">
        <v>0</v>
      </c>
      <c r="P165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weapons_effect_a_13</v>
      </c>
    </row>
    <row r="166" spans="1:16" x14ac:dyDescent="0.15">
      <c r="A166" s="3">
        <f t="shared" si="6"/>
        <v>13</v>
      </c>
      <c r="B166" s="3">
        <v>5</v>
      </c>
      <c r="C166" s="3">
        <v>2325</v>
      </c>
      <c r="D166" s="3">
        <v>800000</v>
      </c>
      <c r="E166" s="3" t="str">
        <f>"["&amp;IF(表3_3[[#This Row],[星级]]=0,"","""w"&amp;500+表3_3[[#This Row],[皮肤id]]&amp;""","&amp;VLOOKUP(表3_3[[#This Row],[星级]],description!$C$1:$D$13,2,FALSE))&amp;"]"</f>
        <v>["w513",60]</v>
      </c>
      <c r="F166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["13z1","wp_star_13",""]</v>
      </c>
      <c r="G166" s="3">
        <v>0</v>
      </c>
      <c r="H166" s="9">
        <v>0</v>
      </c>
      <c r="I166" s="3">
        <v>0</v>
      </c>
      <c r="J166" s="3">
        <v>0</v>
      </c>
      <c r="K166" s="3">
        <v>0.01</v>
      </c>
      <c r="L166" s="3">
        <v>0.02</v>
      </c>
      <c r="M166" s="3">
        <v>0</v>
      </c>
      <c r="N166" s="3">
        <v>0</v>
      </c>
      <c r="O166" s="3">
        <v>0</v>
      </c>
      <c r="P166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weapons_effect_b_13</v>
      </c>
    </row>
    <row r="167" spans="1:16" x14ac:dyDescent="0.15">
      <c r="A167" s="3">
        <f t="shared" si="6"/>
        <v>13</v>
      </c>
      <c r="B167" s="3">
        <v>6</v>
      </c>
      <c r="C167" s="3">
        <v>2790</v>
      </c>
      <c r="D167" s="3">
        <v>1000000</v>
      </c>
      <c r="E167" s="3" t="str">
        <f>"["&amp;IF(表3_3[[#This Row],[星级]]=0,"","""w"&amp;500+表3_3[[#This Row],[皮肤id]]&amp;""","&amp;VLOOKUP(表3_3[[#This Row],[星级]],description!$C$1:$D$13,2,FALSE))&amp;"]"</f>
        <v>["w513",100]</v>
      </c>
      <c r="F167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["13z1","wp_star_13",""]</v>
      </c>
      <c r="G167" s="3">
        <v>0</v>
      </c>
      <c r="H167" s="9">
        <v>0</v>
      </c>
      <c r="I167" s="3">
        <v>0</v>
      </c>
      <c r="J167" s="3">
        <v>0</v>
      </c>
      <c r="K167" s="3">
        <v>0.02</v>
      </c>
      <c r="L167" s="3">
        <v>0.02</v>
      </c>
      <c r="M167" s="3">
        <v>0</v>
      </c>
      <c r="N167" s="3">
        <v>0</v>
      </c>
      <c r="O167" s="3">
        <v>0</v>
      </c>
      <c r="P167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weapons_effect_b_13</v>
      </c>
    </row>
    <row r="168" spans="1:16" x14ac:dyDescent="0.15">
      <c r="A168" s="3">
        <f t="shared" si="6"/>
        <v>13</v>
      </c>
      <c r="B168" s="3">
        <v>7</v>
      </c>
      <c r="C168" s="3">
        <v>3255</v>
      </c>
      <c r="D168" s="3">
        <v>1500000</v>
      </c>
      <c r="E168" s="3" t="str">
        <f>"["&amp;IF(表3_3[[#This Row],[星级]]=0,"","""w"&amp;500+表3_3[[#This Row],[皮肤id]]&amp;""","&amp;VLOOKUP(表3_3[[#This Row],[星级]],description!$C$1:$D$13,2,FALSE))&amp;"]"</f>
        <v>["w513",150]</v>
      </c>
      <c r="F168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["13z1","wp_star_13",""]</v>
      </c>
      <c r="G168" s="3">
        <v>0</v>
      </c>
      <c r="H168" s="9">
        <v>0</v>
      </c>
      <c r="I168" s="3">
        <v>0</v>
      </c>
      <c r="J168" s="3">
        <v>0</v>
      </c>
      <c r="K168" s="3">
        <v>0.02</v>
      </c>
      <c r="L168" s="3">
        <v>0.03</v>
      </c>
      <c r="M168" s="3">
        <v>0</v>
      </c>
      <c r="N168" s="3">
        <v>0</v>
      </c>
      <c r="O168" s="3">
        <v>0</v>
      </c>
      <c r="P168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weapons_effect_b_13</v>
      </c>
    </row>
    <row r="169" spans="1:16" x14ac:dyDescent="0.15">
      <c r="A169" s="3">
        <f t="shared" si="6"/>
        <v>13</v>
      </c>
      <c r="B169" s="3">
        <v>8</v>
      </c>
      <c r="C169" s="3">
        <v>3720</v>
      </c>
      <c r="D169" s="3">
        <v>2000000</v>
      </c>
      <c r="E169" s="3" t="str">
        <f>"["&amp;IF(表3_3[[#This Row],[星级]]=0,"","""w"&amp;500+表3_3[[#This Row],[皮肤id]]&amp;""","&amp;VLOOKUP(表3_3[[#This Row],[星级]],description!$C$1:$D$13,2,FALSE))&amp;"]"</f>
        <v>["w513",200]</v>
      </c>
      <c r="F169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["13z1","wp_star_13","3jie"]</v>
      </c>
      <c r="G169" s="3">
        <v>0</v>
      </c>
      <c r="H169" s="9">
        <v>0</v>
      </c>
      <c r="I169" s="3">
        <v>0</v>
      </c>
      <c r="J169" s="3">
        <v>0</v>
      </c>
      <c r="K169" s="3">
        <v>0.02</v>
      </c>
      <c r="L169" s="3">
        <v>0.03</v>
      </c>
      <c r="M169" s="3">
        <v>0</v>
      </c>
      <c r="N169" s="3">
        <v>0</v>
      </c>
      <c r="O169" s="3">
        <v>0</v>
      </c>
      <c r="P169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170" spans="1:16" x14ac:dyDescent="0.15">
      <c r="A170" s="3">
        <f t="shared" si="6"/>
        <v>13</v>
      </c>
      <c r="B170" s="3">
        <v>9</v>
      </c>
      <c r="C170" s="3">
        <v>4650</v>
      </c>
      <c r="D170" s="3">
        <v>2500000</v>
      </c>
      <c r="E170" s="3" t="str">
        <f>"["&amp;IF(表3_3[[#This Row],[星级]]=0,"","""w"&amp;500+表3_3[[#This Row],[皮肤id]]&amp;""","&amp;VLOOKUP(表3_3[[#This Row],[星级]],description!$C$1:$D$13,2,FALSE))&amp;"]"</f>
        <v>["w513",300]</v>
      </c>
      <c r="F170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["13z1","wp_star_13","3jie"]</v>
      </c>
      <c r="G170" s="3">
        <v>0</v>
      </c>
      <c r="H170" s="9">
        <v>0</v>
      </c>
      <c r="I170" s="3">
        <v>0</v>
      </c>
      <c r="J170" s="3">
        <v>0</v>
      </c>
      <c r="K170" s="3">
        <v>0.02</v>
      </c>
      <c r="L170" s="3">
        <v>0.04</v>
      </c>
      <c r="M170" s="3">
        <v>0</v>
      </c>
      <c r="N170" s="3">
        <v>0</v>
      </c>
      <c r="O170" s="3">
        <v>0</v>
      </c>
      <c r="P170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171" spans="1:16" x14ac:dyDescent="0.15">
      <c r="A171" s="3">
        <f t="shared" si="6"/>
        <v>13</v>
      </c>
      <c r="B171" s="3">
        <v>10</v>
      </c>
      <c r="C171" s="3">
        <v>5580</v>
      </c>
      <c r="D171" s="3">
        <v>3000000</v>
      </c>
      <c r="E171" s="3" t="str">
        <f>"["&amp;IF(表3_3[[#This Row],[星级]]=0,"","""w"&amp;500+表3_3[[#This Row],[皮肤id]]&amp;""","&amp;VLOOKUP(表3_3[[#This Row],[星级]],description!$C$1:$D$13,2,FALSE))&amp;"]"</f>
        <v>["w513",400]</v>
      </c>
      <c r="F171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["13z1","wp_star_13","3jie"]</v>
      </c>
      <c r="G171" s="3">
        <v>0</v>
      </c>
      <c r="H171" s="9">
        <v>0</v>
      </c>
      <c r="I171" s="3">
        <v>0</v>
      </c>
      <c r="J171" s="3">
        <v>0</v>
      </c>
      <c r="K171" s="3">
        <v>0.02</v>
      </c>
      <c r="L171" s="3">
        <v>0.04</v>
      </c>
      <c r="M171" s="3">
        <v>0</v>
      </c>
      <c r="N171" s="3">
        <v>0</v>
      </c>
      <c r="O171" s="3">
        <v>0</v>
      </c>
      <c r="P171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172" spans="1:16" x14ac:dyDescent="0.15">
      <c r="A172" s="3">
        <f t="shared" si="6"/>
        <v>13</v>
      </c>
      <c r="B172" s="3">
        <v>11</v>
      </c>
      <c r="C172" s="3">
        <v>6510</v>
      </c>
      <c r="D172" s="3">
        <v>4000000</v>
      </c>
      <c r="E172" s="3" t="str">
        <f>"["&amp;IF(表3_3[[#This Row],[星级]]=0,"","""w"&amp;500+表3_3[[#This Row],[皮肤id]]&amp;""","&amp;VLOOKUP(表3_3[[#This Row],[星级]],description!$C$1:$D$13,2,FALSE))&amp;"]"</f>
        <v>["w513",600]</v>
      </c>
      <c r="F172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["13z1","wp_star_13","3jie"]</v>
      </c>
      <c r="G172" s="3">
        <v>0</v>
      </c>
      <c r="H172" s="9">
        <v>0</v>
      </c>
      <c r="I172" s="3">
        <v>0</v>
      </c>
      <c r="J172" s="3">
        <v>0</v>
      </c>
      <c r="K172" s="3">
        <v>0.02</v>
      </c>
      <c r="L172" s="3">
        <v>0.05</v>
      </c>
      <c r="M172" s="3">
        <v>0</v>
      </c>
      <c r="N172" s="3">
        <v>0</v>
      </c>
      <c r="O172" s="3">
        <v>0</v>
      </c>
      <c r="P172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173" spans="1:16" x14ac:dyDescent="0.15">
      <c r="A173" s="3">
        <f t="shared" si="6"/>
        <v>13</v>
      </c>
      <c r="B173" s="3">
        <v>12</v>
      </c>
      <c r="C173" s="3">
        <v>7440</v>
      </c>
      <c r="D173" s="3">
        <v>5000000</v>
      </c>
      <c r="E173" s="3" t="str">
        <f>"["&amp;IF(表3_3[[#This Row],[星级]]=0,"","""w"&amp;500+表3_3[[#This Row],[皮肤id]]&amp;""","&amp;VLOOKUP(表3_3[[#This Row],[星级]],description!$C$1:$D$13,2,FALSE))&amp;"]"</f>
        <v>["w513",800]</v>
      </c>
      <c r="F173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["13z1","wp_star_13","3jie"]</v>
      </c>
      <c r="G173" s="3">
        <v>0</v>
      </c>
      <c r="H173" s="9">
        <v>0</v>
      </c>
      <c r="I173" s="3">
        <v>0</v>
      </c>
      <c r="J173" s="3">
        <v>0</v>
      </c>
      <c r="K173" s="3">
        <v>0.03</v>
      </c>
      <c r="L173" s="3">
        <v>0.05</v>
      </c>
      <c r="M173" s="3">
        <v>0</v>
      </c>
      <c r="N173" s="3">
        <v>0</v>
      </c>
      <c r="O173" s="3">
        <v>0</v>
      </c>
      <c r="P173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174" spans="1:16" x14ac:dyDescent="0.15">
      <c r="A174" s="3">
        <f>A161+1</f>
        <v>14</v>
      </c>
      <c r="B174" s="3">
        <v>0</v>
      </c>
      <c r="C174" s="3">
        <v>0</v>
      </c>
      <c r="D174" s="3">
        <f>表3_3[[#This Row],[星级]]^2*20000+20000*表3_3[[#This Row],[星级]]</f>
        <v>0</v>
      </c>
      <c r="E174" s="3" t="str">
        <f>"["&amp;IF(表3_3[[#This Row],[星级]]=0,"","""w"&amp;500+表3_3[[#This Row],[皮肤id]]&amp;""","&amp;VLOOKUP(表3_3[[#This Row],[星级]],description!$C$1:$D$13,2,FALSE))&amp;"]"</f>
        <v>[]</v>
      </c>
      <c r="F174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["","",""]</v>
      </c>
      <c r="G174" s="3">
        <v>0</v>
      </c>
      <c r="H174" s="9">
        <v>0</v>
      </c>
      <c r="I174" s="3">
        <v>0</v>
      </c>
      <c r="J174" s="3">
        <v>0</v>
      </c>
      <c r="K174" s="3">
        <v>0</v>
      </c>
      <c r="L174" s="3">
        <v>0</v>
      </c>
      <c r="M174" s="3">
        <v>0</v>
      </c>
      <c r="N174" s="3">
        <v>0</v>
      </c>
      <c r="O174" s="3">
        <v>0</v>
      </c>
      <c r="P174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175" spans="1:16" x14ac:dyDescent="0.15">
      <c r="A175" s="3">
        <f t="shared" si="6"/>
        <v>14</v>
      </c>
      <c r="B175" s="3">
        <v>1</v>
      </c>
      <c r="C175" s="3">
        <v>540</v>
      </c>
      <c r="D175" s="3">
        <v>50000</v>
      </c>
      <c r="E175" s="3" t="str">
        <f>"["&amp;IF(表3_3[[#This Row],[星级]]=0,"","""w"&amp;500+表3_3[[#This Row],[皮肤id]]&amp;""","&amp;VLOOKUP(表3_3[[#This Row],[星级]],description!$C$1:$D$13,2,FALSE))&amp;"]"</f>
        <v>["w514",5]</v>
      </c>
      <c r="F175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["","",""]</v>
      </c>
      <c r="G175" s="3">
        <v>0</v>
      </c>
      <c r="H175" s="9">
        <v>0</v>
      </c>
      <c r="I175" s="3">
        <v>0</v>
      </c>
      <c r="J175" s="3">
        <v>0</v>
      </c>
      <c r="K175" s="3">
        <v>0</v>
      </c>
      <c r="L175" s="3">
        <v>0</v>
      </c>
      <c r="M175" s="3">
        <v>0</v>
      </c>
      <c r="N175" s="3">
        <v>0</v>
      </c>
      <c r="O175" s="3">
        <v>4.0000000000000001E-3</v>
      </c>
      <c r="P175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176" spans="1:16" x14ac:dyDescent="0.15">
      <c r="A176" s="3">
        <f t="shared" si="6"/>
        <v>14</v>
      </c>
      <c r="B176" s="3">
        <v>2</v>
      </c>
      <c r="C176" s="3">
        <v>1080</v>
      </c>
      <c r="D176" s="3">
        <v>200000</v>
      </c>
      <c r="E176" s="3" t="str">
        <f>"["&amp;IF(表3_3[[#This Row],[星级]]=0,"","""w"&amp;500+表3_3[[#This Row],[皮肤id]]&amp;""","&amp;VLOOKUP(表3_3[[#This Row],[星级]],description!$C$1:$D$13,2,FALSE))&amp;"]"</f>
        <v>["w514",10]</v>
      </c>
      <c r="F176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["14z1","",""]</v>
      </c>
      <c r="G176" s="3">
        <v>0</v>
      </c>
      <c r="H176" s="9">
        <v>0</v>
      </c>
      <c r="I176" s="3">
        <v>0</v>
      </c>
      <c r="J176" s="3">
        <v>0</v>
      </c>
      <c r="K176" s="3">
        <v>0</v>
      </c>
      <c r="L176" s="3">
        <v>0</v>
      </c>
      <c r="M176" s="3">
        <v>0</v>
      </c>
      <c r="N176" s="3">
        <v>0</v>
      </c>
      <c r="O176" s="3">
        <v>4.0000000000000001E-3</v>
      </c>
      <c r="P176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weapons_effect_a_14</v>
      </c>
    </row>
    <row r="177" spans="1:16" x14ac:dyDescent="0.15">
      <c r="A177" s="3">
        <f t="shared" si="6"/>
        <v>14</v>
      </c>
      <c r="B177" s="3">
        <v>3</v>
      </c>
      <c r="C177" s="3">
        <v>1620</v>
      </c>
      <c r="D177" s="3">
        <v>400000</v>
      </c>
      <c r="E177" s="3" t="str">
        <f>"["&amp;IF(表3_3[[#This Row],[星级]]=0,"","""w"&amp;500+表3_3[[#This Row],[皮肤id]]&amp;""","&amp;VLOOKUP(表3_3[[#This Row],[星级]],description!$C$1:$D$13,2,FALSE))&amp;"]"</f>
        <v>["w514",20]</v>
      </c>
      <c r="F177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["14z1","",""]</v>
      </c>
      <c r="G177" s="3">
        <v>0</v>
      </c>
      <c r="H177" s="9">
        <v>0</v>
      </c>
      <c r="I177" s="3">
        <v>0</v>
      </c>
      <c r="J177" s="3">
        <v>0.01</v>
      </c>
      <c r="K177" s="3">
        <v>0</v>
      </c>
      <c r="L177" s="3">
        <v>0</v>
      </c>
      <c r="M177" s="3">
        <v>0</v>
      </c>
      <c r="N177" s="3">
        <v>0</v>
      </c>
      <c r="O177" s="3">
        <v>4.0000000000000001E-3</v>
      </c>
      <c r="P177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weapons_effect_a_14</v>
      </c>
    </row>
    <row r="178" spans="1:16" x14ac:dyDescent="0.15">
      <c r="A178" s="3">
        <f t="shared" si="6"/>
        <v>14</v>
      </c>
      <c r="B178" s="3">
        <v>4</v>
      </c>
      <c r="C178" s="3">
        <v>2160</v>
      </c>
      <c r="D178" s="3">
        <v>600000</v>
      </c>
      <c r="E178" s="3" t="str">
        <f>"["&amp;IF(表3_3[[#This Row],[星级]]=0,"","""w"&amp;500+表3_3[[#This Row],[皮肤id]]&amp;""","&amp;VLOOKUP(表3_3[[#This Row],[星级]],description!$C$1:$D$13,2,FALSE))&amp;"]"</f>
        <v>["w514",30]</v>
      </c>
      <c r="F178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["14z1","",""]</v>
      </c>
      <c r="G178" s="3">
        <v>0</v>
      </c>
      <c r="H178" s="9">
        <v>0</v>
      </c>
      <c r="I178" s="3">
        <v>0</v>
      </c>
      <c r="J178" s="3">
        <v>0.01</v>
      </c>
      <c r="K178" s="3">
        <v>0</v>
      </c>
      <c r="L178" s="3">
        <v>0</v>
      </c>
      <c r="M178" s="3">
        <v>0</v>
      </c>
      <c r="N178" s="3">
        <v>0</v>
      </c>
      <c r="O178" s="3">
        <v>5.0000000000000001E-3</v>
      </c>
      <c r="P178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weapons_effect_a_14</v>
      </c>
    </row>
    <row r="179" spans="1:16" x14ac:dyDescent="0.15">
      <c r="A179" s="3">
        <f t="shared" si="6"/>
        <v>14</v>
      </c>
      <c r="B179" s="3">
        <v>5</v>
      </c>
      <c r="C179" s="3">
        <v>2700</v>
      </c>
      <c r="D179" s="3">
        <v>800000</v>
      </c>
      <c r="E179" s="3" t="str">
        <f>"["&amp;IF(表3_3[[#This Row],[星级]]=0,"","""w"&amp;500+表3_3[[#This Row],[皮肤id]]&amp;""","&amp;VLOOKUP(表3_3[[#This Row],[星级]],description!$C$1:$D$13,2,FALSE))&amp;"]"</f>
        <v>["w514",60]</v>
      </c>
      <c r="F179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["14z1","wp_star_14",""]</v>
      </c>
      <c r="G179" s="3">
        <v>0</v>
      </c>
      <c r="H179" s="9">
        <v>0</v>
      </c>
      <c r="I179" s="3">
        <v>0</v>
      </c>
      <c r="J179" s="3">
        <v>0.01</v>
      </c>
      <c r="K179" s="3">
        <v>0</v>
      </c>
      <c r="L179" s="3">
        <v>0</v>
      </c>
      <c r="M179" s="3">
        <v>0</v>
      </c>
      <c r="N179" s="3">
        <v>0</v>
      </c>
      <c r="O179" s="3">
        <v>5.0000000000000001E-3</v>
      </c>
      <c r="P179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weapons_effect_b_14</v>
      </c>
    </row>
    <row r="180" spans="1:16" x14ac:dyDescent="0.15">
      <c r="A180" s="3">
        <f t="shared" si="6"/>
        <v>14</v>
      </c>
      <c r="B180" s="3">
        <v>6</v>
      </c>
      <c r="C180" s="3">
        <v>3240</v>
      </c>
      <c r="D180" s="3">
        <v>1000000</v>
      </c>
      <c r="E180" s="3" t="str">
        <f>"["&amp;IF(表3_3[[#This Row],[星级]]=0,"","""w"&amp;500+表3_3[[#This Row],[皮肤id]]&amp;""","&amp;VLOOKUP(表3_3[[#This Row],[星级]],description!$C$1:$D$13,2,FALSE))&amp;"]"</f>
        <v>["w514",100]</v>
      </c>
      <c r="F180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["14z1","wp_star_14",""]</v>
      </c>
      <c r="G180" s="3">
        <v>0</v>
      </c>
      <c r="H180" s="9">
        <v>0</v>
      </c>
      <c r="I180" s="3">
        <v>0</v>
      </c>
      <c r="J180" s="3">
        <v>0.02</v>
      </c>
      <c r="K180" s="3">
        <v>0</v>
      </c>
      <c r="L180" s="3">
        <v>0</v>
      </c>
      <c r="M180" s="3">
        <v>0</v>
      </c>
      <c r="N180" s="3">
        <v>0</v>
      </c>
      <c r="O180" s="3">
        <v>5.0000000000000001E-3</v>
      </c>
      <c r="P180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weapons_effect_b_14</v>
      </c>
    </row>
    <row r="181" spans="1:16" x14ac:dyDescent="0.15">
      <c r="A181" s="3">
        <f t="shared" si="6"/>
        <v>14</v>
      </c>
      <c r="B181" s="3">
        <v>7</v>
      </c>
      <c r="C181" s="3">
        <v>3780</v>
      </c>
      <c r="D181" s="3">
        <v>1500000</v>
      </c>
      <c r="E181" s="3" t="str">
        <f>"["&amp;IF(表3_3[[#This Row],[星级]]=0,"","""w"&amp;500+表3_3[[#This Row],[皮肤id]]&amp;""","&amp;VLOOKUP(表3_3[[#This Row],[星级]],description!$C$1:$D$13,2,FALSE))&amp;"]"</f>
        <v>["w514",150]</v>
      </c>
      <c r="F181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["14z1","wp_star_14",""]</v>
      </c>
      <c r="G181" s="3">
        <v>0</v>
      </c>
      <c r="H181" s="9">
        <v>0</v>
      </c>
      <c r="I181" s="3">
        <v>0</v>
      </c>
      <c r="J181" s="3">
        <v>0.02</v>
      </c>
      <c r="K181" s="3">
        <v>0</v>
      </c>
      <c r="L181" s="3">
        <v>0</v>
      </c>
      <c r="M181" s="3">
        <v>0</v>
      </c>
      <c r="N181" s="3">
        <v>0</v>
      </c>
      <c r="O181" s="3">
        <v>6.0000000000000001E-3</v>
      </c>
      <c r="P181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weapons_effect_b_14</v>
      </c>
    </row>
    <row r="182" spans="1:16" x14ac:dyDescent="0.15">
      <c r="A182" s="3">
        <f t="shared" si="6"/>
        <v>14</v>
      </c>
      <c r="B182" s="3">
        <v>8</v>
      </c>
      <c r="C182" s="3">
        <v>4320</v>
      </c>
      <c r="D182" s="3">
        <v>2000000</v>
      </c>
      <c r="E182" s="3" t="str">
        <f>"["&amp;IF(表3_3[[#This Row],[星级]]=0,"","""w"&amp;500+表3_3[[#This Row],[皮肤id]]&amp;""","&amp;VLOOKUP(表3_3[[#This Row],[星级]],description!$C$1:$D$13,2,FALSE))&amp;"]"</f>
        <v>["w514",200]</v>
      </c>
      <c r="F182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["14z1","wp_star_14","3jie"]</v>
      </c>
      <c r="G182" s="3">
        <v>0</v>
      </c>
      <c r="H182" s="9">
        <v>0</v>
      </c>
      <c r="I182" s="3">
        <v>0</v>
      </c>
      <c r="J182" s="3">
        <v>0.02</v>
      </c>
      <c r="K182" s="3">
        <v>0</v>
      </c>
      <c r="L182" s="3">
        <v>0</v>
      </c>
      <c r="M182" s="3">
        <v>0</v>
      </c>
      <c r="N182" s="3">
        <v>0</v>
      </c>
      <c r="O182" s="3">
        <v>6.0000000000000001E-3</v>
      </c>
      <c r="P182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183" spans="1:16" x14ac:dyDescent="0.15">
      <c r="A183" s="3">
        <f t="shared" si="6"/>
        <v>14</v>
      </c>
      <c r="B183" s="3">
        <v>9</v>
      </c>
      <c r="C183" s="3">
        <v>5400</v>
      </c>
      <c r="D183" s="3">
        <v>2500000</v>
      </c>
      <c r="E183" s="3" t="str">
        <f>"["&amp;IF(表3_3[[#This Row],[星级]]=0,"","""w"&amp;500+表3_3[[#This Row],[皮肤id]]&amp;""","&amp;VLOOKUP(表3_3[[#This Row],[星级]],description!$C$1:$D$13,2,FALSE))&amp;"]"</f>
        <v>["w514",300]</v>
      </c>
      <c r="F183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["14z1","wp_star_14","3jie"]</v>
      </c>
      <c r="G183" s="3">
        <v>0</v>
      </c>
      <c r="H183" s="9">
        <v>0</v>
      </c>
      <c r="I183" s="3">
        <v>0</v>
      </c>
      <c r="J183" s="3">
        <v>0.02</v>
      </c>
      <c r="K183" s="3">
        <v>0</v>
      </c>
      <c r="L183" s="3">
        <v>0</v>
      </c>
      <c r="M183" s="3">
        <v>0</v>
      </c>
      <c r="N183" s="3">
        <v>0</v>
      </c>
      <c r="O183" s="3">
        <v>8.0000000000000002E-3</v>
      </c>
      <c r="P183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184" spans="1:16" x14ac:dyDescent="0.15">
      <c r="A184" s="3">
        <f t="shared" si="6"/>
        <v>14</v>
      </c>
      <c r="B184" s="3">
        <v>10</v>
      </c>
      <c r="C184" s="3">
        <v>6480</v>
      </c>
      <c r="D184" s="3">
        <v>3000000</v>
      </c>
      <c r="E184" s="3" t="str">
        <f>"["&amp;IF(表3_3[[#This Row],[星级]]=0,"","""w"&amp;500+表3_3[[#This Row],[皮肤id]]&amp;""","&amp;VLOOKUP(表3_3[[#This Row],[星级]],description!$C$1:$D$13,2,FALSE))&amp;"]"</f>
        <v>["w514",400]</v>
      </c>
      <c r="F184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["14z1","wp_star_14","3jie"]</v>
      </c>
      <c r="G184" s="3">
        <v>0</v>
      </c>
      <c r="H184" s="9">
        <v>0</v>
      </c>
      <c r="I184" s="3">
        <v>0</v>
      </c>
      <c r="J184" s="3">
        <v>0.02</v>
      </c>
      <c r="K184" s="3">
        <v>0</v>
      </c>
      <c r="L184" s="3">
        <v>0</v>
      </c>
      <c r="M184" s="3">
        <v>0</v>
      </c>
      <c r="N184" s="3">
        <v>0</v>
      </c>
      <c r="O184" s="3">
        <v>8.0000000000000002E-3</v>
      </c>
      <c r="P184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185" spans="1:16" x14ac:dyDescent="0.15">
      <c r="A185" s="3">
        <f t="shared" si="6"/>
        <v>14</v>
      </c>
      <c r="B185" s="3">
        <v>11</v>
      </c>
      <c r="C185" s="3">
        <v>7560</v>
      </c>
      <c r="D185" s="3">
        <v>4000000</v>
      </c>
      <c r="E185" s="3" t="str">
        <f>"["&amp;IF(表3_3[[#This Row],[星级]]=0,"","""w"&amp;500+表3_3[[#This Row],[皮肤id]]&amp;""","&amp;VLOOKUP(表3_3[[#This Row],[星级]],description!$C$1:$D$13,2,FALSE))&amp;"]"</f>
        <v>["w514",600]</v>
      </c>
      <c r="F185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["14z1","wp_star_14","3jie"]</v>
      </c>
      <c r="G185" s="3">
        <v>0</v>
      </c>
      <c r="H185" s="9">
        <v>0</v>
      </c>
      <c r="I185" s="3">
        <v>0</v>
      </c>
      <c r="J185" s="3">
        <v>0.02</v>
      </c>
      <c r="K185" s="3">
        <v>0</v>
      </c>
      <c r="L185" s="3">
        <v>0</v>
      </c>
      <c r="M185" s="3">
        <v>0</v>
      </c>
      <c r="N185" s="3">
        <v>0</v>
      </c>
      <c r="O185" s="3">
        <v>0.01</v>
      </c>
      <c r="P185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186" spans="1:16" x14ac:dyDescent="0.15">
      <c r="A186" s="3">
        <f t="shared" si="6"/>
        <v>14</v>
      </c>
      <c r="B186" s="3">
        <v>12</v>
      </c>
      <c r="C186" s="3">
        <v>8640</v>
      </c>
      <c r="D186" s="3">
        <v>5000000</v>
      </c>
      <c r="E186" s="3" t="str">
        <f>"["&amp;IF(表3_3[[#This Row],[星级]]=0,"","""w"&amp;500+表3_3[[#This Row],[皮肤id]]&amp;""","&amp;VLOOKUP(表3_3[[#This Row],[星级]],description!$C$1:$D$13,2,FALSE))&amp;"]"</f>
        <v>["w514",800]</v>
      </c>
      <c r="F186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["14z1","wp_star_14","3jie"]</v>
      </c>
      <c r="G186" s="3">
        <v>0</v>
      </c>
      <c r="H186" s="9">
        <v>0</v>
      </c>
      <c r="I186" s="3">
        <v>0</v>
      </c>
      <c r="J186" s="3">
        <v>0.03</v>
      </c>
      <c r="K186" s="3">
        <v>0</v>
      </c>
      <c r="L186" s="3">
        <v>0</v>
      </c>
      <c r="M186" s="3">
        <v>0</v>
      </c>
      <c r="N186" s="3">
        <v>0</v>
      </c>
      <c r="O186" s="3">
        <v>0.01</v>
      </c>
      <c r="P186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187" spans="1:16" x14ac:dyDescent="0.15">
      <c r="A187" s="3">
        <f>A174+1</f>
        <v>15</v>
      </c>
      <c r="B187" s="3">
        <v>0</v>
      </c>
      <c r="C187" s="3">
        <v>0</v>
      </c>
      <c r="D187" s="3">
        <f>表3_3[[#This Row],[星级]]^2*20000+20000*表3_3[[#This Row],[星级]]</f>
        <v>0</v>
      </c>
      <c r="E187" s="3" t="str">
        <f>"["&amp;IF(表3_3[[#This Row],[星级]]=0,"","""w"&amp;500+表3_3[[#This Row],[皮肤id]]&amp;""","&amp;VLOOKUP(表3_3[[#This Row],[星级]],description!$C$1:$D$13,2,FALSE))&amp;"]"</f>
        <v>[]</v>
      </c>
      <c r="F187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["","",""]</v>
      </c>
      <c r="G187" s="3">
        <v>0</v>
      </c>
      <c r="H187" s="9">
        <v>0</v>
      </c>
      <c r="I187" s="3">
        <v>0</v>
      </c>
      <c r="J187" s="3">
        <v>0</v>
      </c>
      <c r="K187" s="3">
        <v>0</v>
      </c>
      <c r="L187" s="3">
        <v>0</v>
      </c>
      <c r="M187" s="3">
        <v>0</v>
      </c>
      <c r="N187" s="3">
        <v>0</v>
      </c>
      <c r="O187" s="3">
        <v>0</v>
      </c>
      <c r="P187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188" spans="1:16" x14ac:dyDescent="0.15">
      <c r="A188" s="3">
        <f t="shared" si="6"/>
        <v>15</v>
      </c>
      <c r="B188" s="3">
        <v>1</v>
      </c>
      <c r="C188" s="3">
        <v>540</v>
      </c>
      <c r="D188" s="3">
        <v>50000</v>
      </c>
      <c r="E188" s="3" t="str">
        <f>"["&amp;IF(表3_3[[#This Row],[星级]]=0,"","""w"&amp;500+表3_3[[#This Row],[皮肤id]]&amp;""","&amp;VLOOKUP(表3_3[[#This Row],[星级]],description!$C$1:$D$13,2,FALSE))&amp;"]"</f>
        <v>["w515",5]</v>
      </c>
      <c r="F188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["","",""]</v>
      </c>
      <c r="G188" s="3">
        <v>0.01</v>
      </c>
      <c r="H188" s="9">
        <v>0</v>
      </c>
      <c r="I188" s="3">
        <v>0</v>
      </c>
      <c r="J188" s="3">
        <v>0.02</v>
      </c>
      <c r="K188" s="3">
        <v>0</v>
      </c>
      <c r="L188" s="3">
        <v>0</v>
      </c>
      <c r="M188" s="3">
        <v>0</v>
      </c>
      <c r="N188" s="3">
        <v>0</v>
      </c>
      <c r="O188" s="3">
        <v>0</v>
      </c>
      <c r="P188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189" spans="1:16" x14ac:dyDescent="0.15">
      <c r="A189" s="3">
        <f t="shared" si="6"/>
        <v>15</v>
      </c>
      <c r="B189" s="3">
        <v>2</v>
      </c>
      <c r="C189" s="3">
        <v>1080</v>
      </c>
      <c r="D189" s="3">
        <v>200000</v>
      </c>
      <c r="E189" s="3" t="str">
        <f>"["&amp;IF(表3_3[[#This Row],[星级]]=0,"","""w"&amp;500+表3_3[[#This Row],[皮肤id]]&amp;""","&amp;VLOOKUP(表3_3[[#This Row],[星级]],description!$C$1:$D$13,2,FALSE))&amp;"]"</f>
        <v>["w515",10]</v>
      </c>
      <c r="F189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["15z1","",""]</v>
      </c>
      <c r="G189" s="3">
        <v>0.01</v>
      </c>
      <c r="H189" s="9">
        <v>0</v>
      </c>
      <c r="I189" s="3">
        <v>0</v>
      </c>
      <c r="J189" s="3">
        <v>0.02</v>
      </c>
      <c r="K189" s="3">
        <v>0</v>
      </c>
      <c r="L189" s="3">
        <v>0</v>
      </c>
      <c r="M189" s="3">
        <v>0</v>
      </c>
      <c r="N189" s="3">
        <v>0</v>
      </c>
      <c r="O189" s="3">
        <v>0</v>
      </c>
      <c r="P189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weapons_effect_a_15</v>
      </c>
    </row>
    <row r="190" spans="1:16" x14ac:dyDescent="0.15">
      <c r="A190" s="3">
        <f t="shared" si="6"/>
        <v>15</v>
      </c>
      <c r="B190" s="3">
        <v>3</v>
      </c>
      <c r="C190" s="3">
        <v>1620</v>
      </c>
      <c r="D190" s="3">
        <v>400000</v>
      </c>
      <c r="E190" s="3" t="str">
        <f>"["&amp;IF(表3_3[[#This Row],[星级]]=0,"","""w"&amp;500+表3_3[[#This Row],[皮肤id]]&amp;""","&amp;VLOOKUP(表3_3[[#This Row],[星级]],description!$C$1:$D$13,2,FALSE))&amp;"]"</f>
        <v>["w515",20]</v>
      </c>
      <c r="F190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["15z1","",""]</v>
      </c>
      <c r="G190" s="3">
        <v>0.01</v>
      </c>
      <c r="H190" s="9">
        <v>0</v>
      </c>
      <c r="I190" s="3">
        <v>0</v>
      </c>
      <c r="J190" s="3">
        <v>0.02</v>
      </c>
      <c r="K190" s="3">
        <v>0</v>
      </c>
      <c r="L190" s="3">
        <v>0</v>
      </c>
      <c r="M190" s="3">
        <v>0</v>
      </c>
      <c r="N190" s="3">
        <v>0</v>
      </c>
      <c r="O190" s="3">
        <v>0</v>
      </c>
      <c r="P190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weapons_effect_a_15</v>
      </c>
    </row>
    <row r="191" spans="1:16" x14ac:dyDescent="0.15">
      <c r="A191" s="3">
        <f t="shared" si="6"/>
        <v>15</v>
      </c>
      <c r="B191" s="3">
        <v>4</v>
      </c>
      <c r="C191" s="3">
        <v>2160</v>
      </c>
      <c r="D191" s="3">
        <v>600000</v>
      </c>
      <c r="E191" s="3" t="str">
        <f>"["&amp;IF(表3_3[[#This Row],[星级]]=0,"","""w"&amp;500+表3_3[[#This Row],[皮肤id]]&amp;""","&amp;VLOOKUP(表3_3[[#This Row],[星级]],description!$C$1:$D$13,2,FALSE))&amp;"]"</f>
        <v>["w515",30]</v>
      </c>
      <c r="F191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["15z1","",""]</v>
      </c>
      <c r="G191" s="3">
        <v>0.02</v>
      </c>
      <c r="H191" s="9">
        <v>0</v>
      </c>
      <c r="I191" s="3">
        <v>0</v>
      </c>
      <c r="J191" s="3">
        <v>0.04</v>
      </c>
      <c r="K191" s="3">
        <v>0</v>
      </c>
      <c r="L191" s="3">
        <v>0</v>
      </c>
      <c r="M191" s="3">
        <v>0</v>
      </c>
      <c r="N191" s="3">
        <v>0</v>
      </c>
      <c r="O191" s="3">
        <v>0</v>
      </c>
      <c r="P191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weapons_effect_a_15</v>
      </c>
    </row>
    <row r="192" spans="1:16" x14ac:dyDescent="0.15">
      <c r="A192" s="3">
        <f t="shared" si="6"/>
        <v>15</v>
      </c>
      <c r="B192" s="3">
        <v>5</v>
      </c>
      <c r="C192" s="3">
        <v>2700</v>
      </c>
      <c r="D192" s="3">
        <v>800000</v>
      </c>
      <c r="E192" s="3" t="str">
        <f>"["&amp;IF(表3_3[[#This Row],[星级]]=0,"","""w"&amp;500+表3_3[[#This Row],[皮肤id]]&amp;""","&amp;VLOOKUP(表3_3[[#This Row],[星级]],description!$C$1:$D$13,2,FALSE))&amp;"]"</f>
        <v>["w515",60]</v>
      </c>
      <c r="F192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["15z1","wp_star_15",""]</v>
      </c>
      <c r="G192" s="3">
        <v>0.02</v>
      </c>
      <c r="H192" s="9">
        <v>0</v>
      </c>
      <c r="I192" s="3">
        <v>0</v>
      </c>
      <c r="J192" s="3">
        <v>0.04</v>
      </c>
      <c r="K192" s="3">
        <v>0</v>
      </c>
      <c r="L192" s="3">
        <v>0</v>
      </c>
      <c r="M192" s="3">
        <v>0</v>
      </c>
      <c r="N192" s="3">
        <v>0</v>
      </c>
      <c r="O192" s="3">
        <v>0</v>
      </c>
      <c r="P192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weapons_effect_b_15</v>
      </c>
    </row>
    <row r="193" spans="1:16" x14ac:dyDescent="0.15">
      <c r="A193" s="3">
        <f t="shared" si="6"/>
        <v>15</v>
      </c>
      <c r="B193" s="3">
        <v>6</v>
      </c>
      <c r="C193" s="3">
        <v>3240</v>
      </c>
      <c r="D193" s="3">
        <v>1000000</v>
      </c>
      <c r="E193" s="3" t="str">
        <f>"["&amp;IF(表3_3[[#This Row],[星级]]=0,"","""w"&amp;500+表3_3[[#This Row],[皮肤id]]&amp;""","&amp;VLOOKUP(表3_3[[#This Row],[星级]],description!$C$1:$D$13,2,FALSE))&amp;"]"</f>
        <v>["w515",100]</v>
      </c>
      <c r="F193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["15z1","wp_star_15",""]</v>
      </c>
      <c r="G193" s="3">
        <v>0.02</v>
      </c>
      <c r="H193" s="9">
        <v>0</v>
      </c>
      <c r="I193" s="3">
        <v>0</v>
      </c>
      <c r="J193" s="3">
        <v>0.04</v>
      </c>
      <c r="K193" s="3">
        <v>0</v>
      </c>
      <c r="L193" s="3">
        <v>0</v>
      </c>
      <c r="M193" s="3">
        <v>0</v>
      </c>
      <c r="N193" s="3">
        <v>0</v>
      </c>
      <c r="O193" s="3">
        <v>0</v>
      </c>
      <c r="P193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weapons_effect_b_15</v>
      </c>
    </row>
    <row r="194" spans="1:16" x14ac:dyDescent="0.15">
      <c r="A194" s="3">
        <f t="shared" si="6"/>
        <v>15</v>
      </c>
      <c r="B194" s="3">
        <v>7</v>
      </c>
      <c r="C194" s="3">
        <v>3780</v>
      </c>
      <c r="D194" s="3">
        <v>1500000</v>
      </c>
      <c r="E194" s="3" t="str">
        <f>"["&amp;IF(表3_3[[#This Row],[星级]]=0,"","""w"&amp;500+表3_3[[#This Row],[皮肤id]]&amp;""","&amp;VLOOKUP(表3_3[[#This Row],[星级]],description!$C$1:$D$13,2,FALSE))&amp;"]"</f>
        <v>["w515",150]</v>
      </c>
      <c r="F194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["15z1","wp_star_15",""]</v>
      </c>
      <c r="G194" s="3">
        <v>0.03</v>
      </c>
      <c r="H194" s="9">
        <v>0</v>
      </c>
      <c r="I194" s="3">
        <v>0</v>
      </c>
      <c r="J194" s="3">
        <v>0.06</v>
      </c>
      <c r="K194" s="3">
        <v>0</v>
      </c>
      <c r="L194" s="3">
        <v>0</v>
      </c>
      <c r="M194" s="3">
        <v>0</v>
      </c>
      <c r="N194" s="3">
        <v>0</v>
      </c>
      <c r="O194" s="3">
        <v>0</v>
      </c>
      <c r="P194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weapons_effect_b_15</v>
      </c>
    </row>
    <row r="195" spans="1:16" x14ac:dyDescent="0.15">
      <c r="A195" s="3">
        <f t="shared" si="6"/>
        <v>15</v>
      </c>
      <c r="B195" s="3">
        <v>8</v>
      </c>
      <c r="C195" s="3">
        <v>4320</v>
      </c>
      <c r="D195" s="3">
        <v>2000000</v>
      </c>
      <c r="E195" s="3" t="str">
        <f>"["&amp;IF(表3_3[[#This Row],[星级]]=0,"","""w"&amp;500+表3_3[[#This Row],[皮肤id]]&amp;""","&amp;VLOOKUP(表3_3[[#This Row],[星级]],description!$C$1:$D$13,2,FALSE))&amp;"]"</f>
        <v>["w515",200]</v>
      </c>
      <c r="F195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["15z1","wp_star_15","3jie"]</v>
      </c>
      <c r="G195" s="3">
        <v>0.03</v>
      </c>
      <c r="H195" s="9">
        <v>0</v>
      </c>
      <c r="I195" s="3">
        <v>0</v>
      </c>
      <c r="J195" s="3">
        <v>0.06</v>
      </c>
      <c r="K195" s="3">
        <v>0</v>
      </c>
      <c r="L195" s="3">
        <v>0</v>
      </c>
      <c r="M195" s="3">
        <v>0</v>
      </c>
      <c r="N195" s="3">
        <v>0</v>
      </c>
      <c r="O195" s="3">
        <v>0</v>
      </c>
      <c r="P195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196" spans="1:16" x14ac:dyDescent="0.15">
      <c r="A196" s="3">
        <f t="shared" si="6"/>
        <v>15</v>
      </c>
      <c r="B196" s="3">
        <v>9</v>
      </c>
      <c r="C196" s="3">
        <v>5400</v>
      </c>
      <c r="D196" s="3">
        <v>2500000</v>
      </c>
      <c r="E196" s="3" t="str">
        <f>"["&amp;IF(表3_3[[#This Row],[星级]]=0,"","""w"&amp;500+表3_3[[#This Row],[皮肤id]]&amp;""","&amp;VLOOKUP(表3_3[[#This Row],[星级]],description!$C$1:$D$13,2,FALSE))&amp;"]"</f>
        <v>["w515",300]</v>
      </c>
      <c r="F196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["15z1","wp_star_15","3jie"]</v>
      </c>
      <c r="G196" s="3">
        <v>0.04</v>
      </c>
      <c r="H196" s="9">
        <v>0</v>
      </c>
      <c r="I196" s="3">
        <v>0</v>
      </c>
      <c r="J196" s="3">
        <v>0.08</v>
      </c>
      <c r="K196" s="3">
        <v>0</v>
      </c>
      <c r="L196" s="3">
        <v>0</v>
      </c>
      <c r="M196" s="3">
        <v>0</v>
      </c>
      <c r="N196" s="3">
        <v>0</v>
      </c>
      <c r="O196" s="3">
        <v>0</v>
      </c>
      <c r="P196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197" spans="1:16" x14ac:dyDescent="0.15">
      <c r="A197" s="3">
        <f t="shared" si="6"/>
        <v>15</v>
      </c>
      <c r="B197" s="3">
        <v>10</v>
      </c>
      <c r="C197" s="3">
        <v>6480</v>
      </c>
      <c r="D197" s="3">
        <v>3000000</v>
      </c>
      <c r="E197" s="3" t="str">
        <f>"["&amp;IF(表3_3[[#This Row],[星级]]=0,"","""w"&amp;500+表3_3[[#This Row],[皮肤id]]&amp;""","&amp;VLOOKUP(表3_3[[#This Row],[星级]],description!$C$1:$D$13,2,FALSE))&amp;"]"</f>
        <v>["w515",400]</v>
      </c>
      <c r="F197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["15z1","wp_star_15","3jie"]</v>
      </c>
      <c r="G197" s="3">
        <v>0.04</v>
      </c>
      <c r="H197" s="9">
        <v>0</v>
      </c>
      <c r="I197" s="3">
        <v>0</v>
      </c>
      <c r="J197" s="3">
        <v>0.08</v>
      </c>
      <c r="K197" s="3">
        <v>0</v>
      </c>
      <c r="L197" s="3">
        <v>0</v>
      </c>
      <c r="M197" s="3">
        <v>0</v>
      </c>
      <c r="N197" s="3">
        <v>0</v>
      </c>
      <c r="O197" s="3">
        <v>0</v>
      </c>
      <c r="P197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198" spans="1:16" x14ac:dyDescent="0.15">
      <c r="A198" s="3">
        <f t="shared" si="6"/>
        <v>15</v>
      </c>
      <c r="B198" s="3">
        <v>11</v>
      </c>
      <c r="C198" s="3">
        <v>7560</v>
      </c>
      <c r="D198" s="3">
        <v>4000000</v>
      </c>
      <c r="E198" s="3" t="str">
        <f>"["&amp;IF(表3_3[[#This Row],[星级]]=0,"","""w"&amp;500+表3_3[[#This Row],[皮肤id]]&amp;""","&amp;VLOOKUP(表3_3[[#This Row],[星级]],description!$C$1:$D$13,2,FALSE))&amp;"]"</f>
        <v>["w515",600]</v>
      </c>
      <c r="F198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["15z1","wp_star_15","3jie"]</v>
      </c>
      <c r="G198" s="3">
        <v>0.05</v>
      </c>
      <c r="H198" s="9">
        <v>0</v>
      </c>
      <c r="I198" s="3">
        <v>0</v>
      </c>
      <c r="J198" s="3">
        <v>0.1</v>
      </c>
      <c r="K198" s="3">
        <v>0</v>
      </c>
      <c r="L198" s="3">
        <v>0</v>
      </c>
      <c r="M198" s="3">
        <v>0</v>
      </c>
      <c r="N198" s="3">
        <v>0</v>
      </c>
      <c r="O198" s="3">
        <v>0</v>
      </c>
      <c r="P198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199" spans="1:16" x14ac:dyDescent="0.15">
      <c r="A199" s="3">
        <f t="shared" si="6"/>
        <v>15</v>
      </c>
      <c r="B199" s="3">
        <v>12</v>
      </c>
      <c r="C199" s="3">
        <v>8640</v>
      </c>
      <c r="D199" s="3">
        <v>5000000</v>
      </c>
      <c r="E199" s="3" t="str">
        <f>"["&amp;IF(表3_3[[#This Row],[星级]]=0,"","""w"&amp;500+表3_3[[#This Row],[皮肤id]]&amp;""","&amp;VLOOKUP(表3_3[[#This Row],[星级]],description!$C$1:$D$13,2,FALSE))&amp;"]"</f>
        <v>["w515",800]</v>
      </c>
      <c r="F199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Row],[星级]]&gt;9,"3jie""",IF(表3_3[[#This Row],[星级]]&gt;7,"3jie""",""""))&amp;"]"</f>
        <v>["15z1","wp_star_15","3jie"]</v>
      </c>
      <c r="G199" s="3">
        <v>0.05</v>
      </c>
      <c r="H199" s="9">
        <v>0</v>
      </c>
      <c r="I199" s="3">
        <v>0</v>
      </c>
      <c r="J199" s="3">
        <v>0.1</v>
      </c>
      <c r="K199" s="3">
        <v>0</v>
      </c>
      <c r="L199" s="3">
        <v>0</v>
      </c>
      <c r="M199" s="3">
        <v>0</v>
      </c>
      <c r="N199" s="3">
        <v>0</v>
      </c>
      <c r="O199" s="3">
        <v>0</v>
      </c>
      <c r="P199" s="4" t="str">
        <f>IF(表3_3[[#This Row],[星级]]&gt;=10,"weapons_effect_1",IF(表3_3[[#This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</sheetData>
  <phoneticPr fontId="5" type="noConversion"/>
  <dataValidations count="3">
    <dataValidation allowBlank="1" showInputMessage="1" showErrorMessage="1" promptTitle="固定值——————————————————————" prompt="比赛结束时，若使用此属性，则提高" sqref="H4:I4" xr:uid="{00000000-0002-0000-0300-000000000000}"/>
    <dataValidation allowBlank="1" showInputMessage="1" showErrorMessage="1" promptTitle="百分比——————————————————————" prompt="捕获到奖金鱼，算上此百分比增量_x000a_向下取整" sqref="G4" xr:uid="{00000000-0002-0000-0300-000001000000}"/>
    <dataValidation allowBlank="1" showInputMessage="1" showErrorMessage="1" promptTitle="版本&quot;,&quot;分割————————————" prompt="如果是所有版本，则填ALL" sqref="B1" xr:uid="{65676D59-D589-4E40-A35A-113D5F3D7E7A}"/>
  </dataValidations>
  <pageMargins left="0.69930555555555596" right="0.69930555555555596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seed</dc:creator>
  <cp:lastModifiedBy>china</cp:lastModifiedBy>
  <cp:lastPrinted>2016-03-25T01:45:00Z</cp:lastPrinted>
  <dcterms:created xsi:type="dcterms:W3CDTF">2014-05-14T18:22:00Z</dcterms:created>
  <dcterms:modified xsi:type="dcterms:W3CDTF">2018-05-21T03:21:33Z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2052-10.1.0.6393</vt:lpwstr>
  </property>
</Properties>
</file>