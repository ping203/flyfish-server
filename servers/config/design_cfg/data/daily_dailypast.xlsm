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design_output\data\"/>
    </mc:Choice>
  </mc:AlternateContent>
  <xr:revisionPtr revIDLastSave="0" documentId="13_ncr:1_{0DD656BD-53FF-42EB-8948-3D0CFC409CF0}" xr6:coauthVersionLast="32" xr6:coauthVersionMax="32" xr10:uidLastSave="{00000000-0000-0000-0000-000000000000}"/>
  <bookViews>
    <workbookView xWindow="0" yWindow="0" windowWidth="28695" windowHeight="13050" activeTab="1" xr2:uid="{00000000-000D-0000-FFFF-FFFF00000000}"/>
  </bookViews>
  <sheets>
    <sheet name="description" sheetId="4" r:id="rId1"/>
    <sheet name="ALL" sheetId="1" r:id="rId2"/>
  </sheets>
  <functionGroups builtInGroupCount="19"/>
  <calcPr calcId="179017"/>
</workbook>
</file>

<file path=xl/calcChain.xml><?xml version="1.0" encoding="utf-8"?>
<calcChain xmlns="http://schemas.openxmlformats.org/spreadsheetml/2006/main">
  <c r="E5" i="1" l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B4" authorId="0" shapeId="0" xr:uid="{00000000-0006-0000-0100-000001000000}">
      <text>
        <r>
          <rPr>
            <b/>
            <sz val="9"/>
            <rFont val="Tahoma"/>
            <family val="2"/>
          </rPr>
          <t xml:space="preserve">0  </t>
        </r>
        <r>
          <rPr>
            <b/>
            <sz val="9"/>
            <rFont val="宋体"/>
            <family val="3"/>
            <charset val="134"/>
          </rPr>
          <t>前</t>
        </r>
        <r>
          <rPr>
            <b/>
            <sz val="9"/>
            <rFont val="Tahoma"/>
            <family val="2"/>
          </rPr>
          <t>7</t>
        </r>
        <r>
          <rPr>
            <b/>
            <sz val="9"/>
            <rFont val="宋体"/>
            <family val="3"/>
            <charset val="134"/>
          </rPr>
          <t xml:space="preserve">天
</t>
        </r>
        <r>
          <rPr>
            <b/>
            <sz val="9"/>
            <rFont val="Tahoma"/>
            <family val="2"/>
          </rPr>
          <t xml:space="preserve">1  </t>
        </r>
        <r>
          <rPr>
            <b/>
            <sz val="9"/>
            <rFont val="宋体"/>
            <family val="3"/>
            <charset val="134"/>
          </rPr>
          <t>循环</t>
        </r>
      </text>
    </comment>
    <comment ref="C4" authorId="0" shapeId="0" xr:uid="{00000000-0006-0000-0100-000002000000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</t>
        </r>
        <r>
          <rPr>
            <sz val="9"/>
            <rFont val="宋体"/>
            <family val="3"/>
            <charset val="134"/>
          </rPr>
          <t xml:space="preserve">原始设定为只送金币和珍珠，建议不要送技能。
</t>
        </r>
        <r>
          <rPr>
            <sz val="9"/>
            <rFont val="宋体"/>
            <family val="3"/>
            <charset val="134"/>
          </rPr>
          <t xml:space="preserve">i001：金币
</t>
        </r>
        <r>
          <rPr>
            <sz val="9"/>
            <rFont val="宋体"/>
            <family val="3"/>
            <charset val="134"/>
          </rPr>
          <t>i002：珍珠</t>
        </r>
      </text>
    </comment>
  </commentList>
</comments>
</file>

<file path=xl/sharedStrings.xml><?xml version="1.0" encoding="utf-8"?>
<sst xmlns="http://schemas.openxmlformats.org/spreadsheetml/2006/main" count="143" uniqueCount="118">
  <si>
    <t>字段名</t>
  </si>
  <si>
    <t>英文、小写、下划线分隔单词。如'weanpon_name'</t>
  </si>
  <si>
    <t>类型</t>
  </si>
  <si>
    <t>枚举参数：number（小数）、int（整数）、string（字符串）、key,注意：只有第一列类型可以取key。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</si>
  <si>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</si>
  <si>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</si>
  <si>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</si>
  <si>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</si>
  <si>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</si>
  <si>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分表名含义</t>
  </si>
  <si>
    <t>dailypast_cfg——每日签到。</t>
  </si>
  <si>
    <t>1：多人模式最优场景，相当于快速开始</t>
  </si>
  <si>
    <t>2：日常任务</t>
  </si>
  <si>
    <t>3：限时模式</t>
  </si>
  <si>
    <t>4：火山</t>
  </si>
  <si>
    <t>5：武器界面</t>
  </si>
  <si>
    <t>6：排位赛模式</t>
  </si>
  <si>
    <t>7:自由赛模式</t>
  </si>
  <si>
    <t>8：商店</t>
  </si>
  <si>
    <t>9：VIP界面</t>
  </si>
  <si>
    <t>10：分享界面</t>
  </si>
  <si>
    <t>id</t>
  </si>
  <si>
    <t>type</t>
  </si>
  <si>
    <t>reward</t>
  </si>
  <si>
    <t>table</t>
  </si>
  <si>
    <t>次数</t>
  </si>
  <si>
    <t>物品id和个数</t>
  </si>
  <si>
    <t>["i012",5]</t>
  </si>
  <si>
    <t>["i001",4000]</t>
  </si>
  <si>
    <t>["i011",5]</t>
  </si>
  <si>
    <t>["i002",20]</t>
  </si>
  <si>
    <t>1. 捕获x鱼y条，如果x为0则为任意鱼</t>
  </si>
  <si>
    <t>2. 使用x技能y次，如果x为0则为任意技能</t>
  </si>
  <si>
    <t>3. 角色等级x级</t>
  </si>
  <si>
    <t>4. 解锁炮台x倍</t>
  </si>
  <si>
    <t>5. 利用x鱼炸死y条其他鱼</t>
  </si>
  <si>
    <t>6. 获得炮台皮肤x个</t>
  </si>
  <si>
    <t>7. 单次开炮捕获鱼x条</t>
  </si>
  <si>
    <t>8. 单次开炮获得金币x</t>
  </si>
  <si>
    <t>9. 累计获得金币x</t>
  </si>
  <si>
    <t>10. 累计消耗钻石x</t>
  </si>
  <si>
    <t>11. 累计消耗金币x</t>
  </si>
  <si>
    <t>12. 分享x次</t>
  </si>
  <si>
    <t>13. 累计登录x天</t>
  </si>
  <si>
    <t>14. 获得排位x阶段位y次</t>
  </si>
  <si>
    <t>15. 成为VIPx</t>
  </si>
  <si>
    <t>16. 达成龙宫x星y次</t>
  </si>
  <si>
    <t>17. 获得x点成就点</t>
  </si>
  <si>
    <t>["i001",500]</t>
    <phoneticPr fontId="8" type="noConversion"/>
  </si>
  <si>
    <t>["i001",20000]</t>
    <phoneticPr fontId="8" type="noConversion"/>
  </si>
  <si>
    <t>["i001",50000]</t>
    <phoneticPr fontId="8" type="noConversion"/>
  </si>
  <si>
    <t>18. 购买x次金币</t>
    <phoneticPr fontId="8" type="noConversion"/>
  </si>
  <si>
    <t>21. 放养x次鱼</t>
    <phoneticPr fontId="8" type="noConversion"/>
  </si>
  <si>
    <t>23. 宠物鱼总等级x级</t>
    <phoneticPr fontId="8" type="noConversion"/>
  </si>
  <si>
    <t>24. 解锁x个女神</t>
    <phoneticPr fontId="8" type="noConversion"/>
  </si>
  <si>
    <t>22. 保卫女神最高闯过x关</t>
    <phoneticPr fontId="8" type="noConversion"/>
  </si>
  <si>
    <t>20. 参与保卫女神x次</t>
    <phoneticPr fontId="8" type="noConversion"/>
  </si>
  <si>
    <t>25. 在x小游戏中获得y分（0接金币，1河豚）</t>
    <phoneticPr fontId="8" type="noConversion"/>
  </si>
  <si>
    <t>["i001",5000]</t>
    <phoneticPr fontId="8" type="noConversion"/>
  </si>
  <si>
    <t>["i001",30000]</t>
    <phoneticPr fontId="8" type="noConversion"/>
  </si>
  <si>
    <t>["i001",3000]</t>
    <phoneticPr fontId="8" type="noConversion"/>
  </si>
  <si>
    <t>["i001",3500]</t>
    <phoneticPr fontId="8" type="noConversion"/>
  </si>
  <si>
    <t>["i001",4000]</t>
    <phoneticPr fontId="8" type="noConversion"/>
  </si>
  <si>
    <t>["i001",25000]</t>
    <phoneticPr fontId="8" type="noConversion"/>
  </si>
  <si>
    <t>["i001",4500]</t>
    <phoneticPr fontId="8" type="noConversion"/>
  </si>
  <si>
    <t>26. 金币大于等于xx,金币排名小于等于x名</t>
    <phoneticPr fontId="8" type="noConversion"/>
  </si>
  <si>
    <t>19. 充值x钻石，如果是每日充值参数1填1</t>
    <phoneticPr fontId="8" type="noConversion"/>
  </si>
  <si>
    <t>29. 排位赛段位大于等于x</t>
    <phoneticPr fontId="8" type="noConversion"/>
  </si>
  <si>
    <t>27. 排位赛获得最强王者段位</t>
    <phoneticPr fontId="8" type="noConversion"/>
  </si>
  <si>
    <t>28. 排位赛获得x次胜利</t>
    <phoneticPr fontId="8" type="noConversion"/>
  </si>
  <si>
    <t>label</t>
    <phoneticPr fontId="8" type="noConversion"/>
  </si>
  <si>
    <t>string</t>
    <phoneticPr fontId="8" type="noConversion"/>
  </si>
  <si>
    <t>标签图片</t>
    <phoneticPr fontId="8" type="noConversion"/>
  </si>
  <si>
    <t>VIP双倍等级</t>
    <phoneticPr fontId="8" type="noConversion"/>
  </si>
  <si>
    <t>viplevel</t>
    <phoneticPr fontId="8" type="noConversion"/>
  </si>
  <si>
    <t>int</t>
    <phoneticPr fontId="8" type="noConversion"/>
  </si>
  <si>
    <t>文字内容</t>
    <phoneticPr fontId="8" type="noConversion"/>
  </si>
  <si>
    <t>description</t>
    <phoneticPr fontId="8" type="noConversion"/>
  </si>
  <si>
    <t>string</t>
    <phoneticPr fontId="8" type="noConversion"/>
  </si>
  <si>
    <t>["i400",1]</t>
  </si>
  <si>
    <t>["i002",5]</t>
  </si>
  <si>
    <t>["i002",10]</t>
  </si>
  <si>
    <t>["i002",15]</t>
  </si>
  <si>
    <t>yqdgrounding_4</t>
  </si>
  <si>
    <t>yqdgrounding_3</t>
    <phoneticPr fontId="8" type="noConversion"/>
  </si>
  <si>
    <t>yqdgrounding_2</t>
    <phoneticPr fontId="8" type="noConversion"/>
  </si>
  <si>
    <t>备注</t>
    <phoneticPr fontId="8" type="noConversion"/>
  </si>
  <si>
    <t>周1礼包</t>
    <phoneticPr fontId="8" type="noConversion"/>
  </si>
  <si>
    <t>周2礼包</t>
  </si>
  <si>
    <t>周3礼包</t>
  </si>
  <si>
    <t>周4礼包</t>
  </si>
  <si>
    <t>周5礼包</t>
  </si>
  <si>
    <t>周6礼包</t>
  </si>
  <si>
    <t>周7礼包</t>
  </si>
  <si>
    <t>新手礼包</t>
    <phoneticPr fontId="8" type="noConversion"/>
  </si>
  <si>
    <t>国庆礼包</t>
    <phoneticPr fontId="8" type="noConversion"/>
  </si>
  <si>
    <t>[["i002",10],["i001",1000],["i015",1]]</t>
    <phoneticPr fontId="8" type="noConversion"/>
  </si>
  <si>
    <t>[["i001",10000],["i002",5],["i400",1]]</t>
    <phoneticPr fontId="8" type="noConversion"/>
  </si>
  <si>
    <t>["i004",1]</t>
  </si>
  <si>
    <t>["i400",2]</t>
  </si>
  <si>
    <t>["i400",3]</t>
  </si>
  <si>
    <t>["i400",4]</t>
  </si>
  <si>
    <t>["i001",10000]</t>
  </si>
  <si>
    <t>["i400",5]</t>
  </si>
  <si>
    <t>["i501",10]</t>
  </si>
  <si>
    <t>["i502",10]</t>
  </si>
  <si>
    <t>["i503",10]</t>
  </si>
  <si>
    <t>["i504",10]</t>
  </si>
  <si>
    <t>["i505",10]</t>
  </si>
  <si>
    <t>unexport</t>
  </si>
  <si>
    <t>unexport</t>
    <phoneticPr fontId="8" type="noConversion"/>
  </si>
  <si>
    <t>ALL</t>
    <phoneticPr fontId="8" type="noConversion"/>
  </si>
  <si>
    <t>int</t>
    <phoneticPr fontId="7" type="noConversion"/>
  </si>
  <si>
    <t>["i001",2000]</t>
  </si>
  <si>
    <t>["i002",2]</t>
  </si>
  <si>
    <t>["i401",3]</t>
  </si>
  <si>
    <t>["i001",6000]</t>
  </si>
  <si>
    <t>["i001",8000]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</si>
</sst>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宋体"/>
      <charset val="134"/>
      <scheme val="minor"/>
    </font>
    <font>
      <sz val="11"/>
      <color indexed="8"/>
      <name val="微软雅黑"/>
      <family val="2"/>
      <charset val="134"/>
    </font>
    <font>
      <sz val="11"/>
      <color indexed="8"/>
      <name val="宋体"/>
      <family val="3"/>
      <charset val="134"/>
    </font>
    <font>
      <sz val="11"/>
      <color theme="1"/>
      <name val="微软雅黑"/>
      <family val="2"/>
      <charset val="134"/>
    </font>
    <font>
      <sz val="11"/>
      <color theme="1"/>
      <name val="宋体"/>
      <family val="3"/>
      <charset val="134"/>
      <scheme val="minor"/>
    </font>
    <font>
      <b/>
      <sz val="9"/>
      <name val="Tahoma"/>
      <family val="2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10"/>
      <color indexed="8"/>
      <name val="宋体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4" fillId="0" borderId="0"/>
    <xf numFmtId="0" fontId="2" fillId="0" borderId="0">
      <alignment vertical="center"/>
    </xf>
  </cellStyleXfs>
  <cellXfs count="24">
    <xf numFmtId="0" fontId="0" fillId="0" borderId="0" xfId="0"/>
    <xf numFmtId="49" fontId="1" fillId="2" borderId="1" xfId="2" applyNumberFormat="1" applyFont="1" applyFill="1" applyBorder="1" applyAlignment="1">
      <alignment horizontal="center"/>
    </xf>
    <xf numFmtId="0" fontId="2" fillId="0" borderId="0" xfId="2" applyAlignment="1"/>
    <xf numFmtId="0" fontId="3" fillId="0" borderId="0" xfId="0" applyFont="1"/>
    <xf numFmtId="49" fontId="1" fillId="3" borderId="2" xfId="2" applyNumberFormat="1" applyFont="1" applyFill="1" applyBorder="1" applyAlignment="1">
      <alignment horizontal="center" vertical="center"/>
    </xf>
    <xf numFmtId="0" fontId="1" fillId="4" borderId="1" xfId="2" applyFont="1" applyFill="1" applyBorder="1" applyAlignment="1" applyProtection="1">
      <alignment horizontal="center"/>
    </xf>
    <xf numFmtId="0" fontId="1" fillId="5" borderId="3" xfId="2" applyNumberFormat="1" applyFont="1" applyFill="1" applyBorder="1" applyAlignment="1">
      <alignment horizontal="center" vertical="center"/>
    </xf>
    <xf numFmtId="0" fontId="2" fillId="0" borderId="0" xfId="2" applyNumberFormat="1" applyAlignment="1"/>
    <xf numFmtId="0" fontId="4" fillId="0" borderId="0" xfId="0" applyFont="1"/>
    <xf numFmtId="0" fontId="2" fillId="0" borderId="0" xfId="2" applyNumberFormat="1" applyAlignment="1"/>
    <xf numFmtId="0" fontId="2" fillId="0" borderId="0" xfId="2" applyNumberFormat="1" applyAlignment="1"/>
    <xf numFmtId="0" fontId="2" fillId="0" borderId="0" xfId="2" applyNumberFormat="1" applyAlignment="1"/>
    <xf numFmtId="0" fontId="9" fillId="6" borderId="0" xfId="0" applyFont="1" applyFill="1" applyAlignment="1">
      <alignment vertical="center" wrapText="1"/>
    </xf>
    <xf numFmtId="0" fontId="9" fillId="6" borderId="0" xfId="0" applyFont="1" applyFill="1" applyAlignment="1">
      <alignment vertical="center"/>
    </xf>
    <xf numFmtId="0" fontId="9" fillId="6" borderId="0" xfId="0" applyFont="1" applyFill="1" applyAlignment="1">
      <alignment horizontal="center" vertical="center"/>
    </xf>
    <xf numFmtId="49" fontId="10" fillId="7" borderId="1" xfId="2" applyNumberFormat="1" applyFont="1" applyFill="1" applyBorder="1" applyAlignment="1">
      <alignment horizontal="right"/>
    </xf>
    <xf numFmtId="49" fontId="10" fillId="7" borderId="1" xfId="2" applyNumberFormat="1" applyFont="1" applyFill="1" applyBorder="1" applyAlignment="1">
      <alignment horizontal="center"/>
    </xf>
    <xf numFmtId="0" fontId="9" fillId="7" borderId="1" xfId="0" applyFont="1" applyFill="1" applyBorder="1" applyAlignment="1">
      <alignment vertical="center"/>
    </xf>
    <xf numFmtId="49" fontId="10" fillId="8" borderId="1" xfId="0" applyNumberFormat="1" applyFont="1" applyFill="1" applyBorder="1" applyAlignment="1">
      <alignment horizontal="right" vertical="center"/>
    </xf>
    <xf numFmtId="49" fontId="10" fillId="8" borderId="1" xfId="0" applyNumberFormat="1" applyFont="1" applyFill="1" applyBorder="1" applyAlignment="1">
      <alignment horizontal="center" vertical="center"/>
    </xf>
    <xf numFmtId="0" fontId="9" fillId="8" borderId="1" xfId="0" applyFont="1" applyFill="1" applyBorder="1" applyAlignment="1">
      <alignment vertical="center"/>
    </xf>
    <xf numFmtId="0" fontId="2" fillId="0" borderId="0" xfId="2" applyNumberFormat="1" applyAlignment="1"/>
    <xf numFmtId="0" fontId="2" fillId="0" borderId="0" xfId="2" applyNumberFormat="1" applyAlignment="1">
      <alignment vertical="top" wrapText="1"/>
    </xf>
    <xf numFmtId="0" fontId="2" fillId="0" borderId="0" xfId="2" applyNumberFormat="1" applyAlignment="1">
      <alignment vertical="top"/>
    </xf>
  </cellXfs>
  <cellStyles count="3">
    <cellStyle name="常规" xfId="0" builtinId="0"/>
    <cellStyle name="常规 2" xfId="2" xr:uid="{00000000-0005-0000-0000-000001000000}"/>
    <cellStyle name="常规 2 2" xfId="1" xr:uid="{00000000-0005-0000-0000-000002000000}"/>
  </cellStyles>
  <dxfs count="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3"/>
        <charset val="13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3"/>
        <charset val="134"/>
        <scheme val="none"/>
      </font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285750</xdr:colOff>
      <xdr:row>3</xdr:row>
      <xdr:rowOff>0</xdr:rowOff>
    </xdr:to>
    <xdr:sp macro="[0]!开始导表" textlink="">
      <xdr:nvSpPr>
        <xdr:cNvPr id="2" name="矩形 1">
          <a:extLst>
            <a:ext uri="{FF2B5EF4-FFF2-40B4-BE49-F238E27FC236}">
              <a16:creationId xmlns:a16="http://schemas.microsoft.com/office/drawing/2014/main" id="{BE0D11B5-0191-4400-A75F-09B16EC77453}"/>
            </a:ext>
          </a:extLst>
        </xdr:cNvPr>
        <xdr:cNvSpPr/>
      </xdr:nvSpPr>
      <xdr:spPr>
        <a:xfrm>
          <a:off x="0" y="0"/>
          <a:ext cx="285750" cy="457200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0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表3" displayName="表3" ref="A4:G51" totalsRowShown="0">
  <autoFilter ref="A4:G51" xr:uid="{00000000-0009-0000-0100-000003000000}"/>
  <tableColumns count="7">
    <tableColumn id="1" xr3:uid="{00000000-0010-0000-0000-000001000000}" name="次数"/>
    <tableColumn id="2" xr3:uid="{00000000-0010-0000-0000-000002000000}" name="类型"/>
    <tableColumn id="3" xr3:uid="{00000000-0010-0000-0000-000003000000}" name="物品id和个数"/>
    <tableColumn id="4" xr3:uid="{00000000-0010-0000-0000-000004000000}" name="标签图片" dataDxfId="3"/>
    <tableColumn id="6" xr3:uid="{00000000-0010-0000-0000-000006000000}" name="文字内容" dataDxfId="2">
      <calculatedColumnFormula>"dailypast_desc_"&amp;IF(表3[[#This Row],[标签图片]]=0,"0",IF(MOD(表3[[#This Row],[次数]],6)=0,6,表3[[#This Row],[次数]]))</calculatedColumnFormula>
    </tableColumn>
    <tableColumn id="5" xr3:uid="{00000000-0010-0000-0000-000005000000}" name="VIP双倍等级" dataDxfId="1"/>
    <tableColumn id="7" xr3:uid="{BA90E946-6505-4725-AD6D-7FBFA140C8AA}" name="备注" dataDxfId="0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56"/>
  <sheetViews>
    <sheetView topLeftCell="A13" workbookViewId="0">
      <selection activeCell="B56" sqref="B56"/>
    </sheetView>
  </sheetViews>
  <sheetFormatPr defaultColWidth="9" defaultRowHeight="13.5" x14ac:dyDescent="0.15"/>
  <cols>
    <col min="1" max="1" width="39.5" style="2" customWidth="1"/>
    <col min="2" max="2" width="85.125" style="2" customWidth="1"/>
    <col min="3" max="16384" width="9" style="2"/>
  </cols>
  <sheetData>
    <row r="1" spans="1:2" ht="16.5" x14ac:dyDescent="0.3">
      <c r="A1" s="1" t="s">
        <v>0</v>
      </c>
      <c r="B1" s="2" t="s">
        <v>1</v>
      </c>
    </row>
    <row r="2" spans="1:2" ht="16.5" x14ac:dyDescent="0.15">
      <c r="A2" s="4" t="s">
        <v>2</v>
      </c>
      <c r="B2" s="2" t="s">
        <v>3</v>
      </c>
    </row>
    <row r="3" spans="1:2" ht="16.5" x14ac:dyDescent="0.3">
      <c r="A3" s="5" t="s">
        <v>4</v>
      </c>
      <c r="B3" s="2" t="s">
        <v>5</v>
      </c>
    </row>
    <row r="4" spans="1:2" ht="16.5" x14ac:dyDescent="0.15">
      <c r="A4" s="6" t="s">
        <v>6</v>
      </c>
      <c r="B4" s="2" t="s">
        <v>7</v>
      </c>
    </row>
    <row r="6" spans="1:2" x14ac:dyDescent="0.15">
      <c r="A6" s="22" t="s">
        <v>8</v>
      </c>
      <c r="B6" s="23"/>
    </row>
    <row r="7" spans="1:2" x14ac:dyDescent="0.15">
      <c r="A7" s="23"/>
      <c r="B7" s="23"/>
    </row>
    <row r="8" spans="1:2" x14ac:dyDescent="0.15">
      <c r="A8" s="23"/>
      <c r="B8" s="23"/>
    </row>
    <row r="9" spans="1:2" x14ac:dyDescent="0.15">
      <c r="A9" s="23"/>
      <c r="B9" s="23"/>
    </row>
    <row r="10" spans="1:2" x14ac:dyDescent="0.15">
      <c r="A10" s="23"/>
      <c r="B10" s="23"/>
    </row>
    <row r="11" spans="1:2" x14ac:dyDescent="0.15">
      <c r="A11" s="23"/>
      <c r="B11" s="23"/>
    </row>
    <row r="12" spans="1:2" x14ac:dyDescent="0.15">
      <c r="A12" s="23"/>
      <c r="B12" s="23"/>
    </row>
    <row r="13" spans="1:2" x14ac:dyDescent="0.15">
      <c r="A13" s="23"/>
      <c r="B13" s="23"/>
    </row>
    <row r="14" spans="1:2" x14ac:dyDescent="0.15">
      <c r="A14" s="23"/>
      <c r="B14" s="23"/>
    </row>
    <row r="15" spans="1:2" x14ac:dyDescent="0.15">
      <c r="A15" s="23"/>
      <c r="B15" s="23"/>
    </row>
    <row r="16" spans="1:2" ht="13.15" customHeight="1" x14ac:dyDescent="0.15">
      <c r="A16" s="23"/>
      <c r="B16" s="23"/>
    </row>
    <row r="17" spans="1:2" ht="4.1500000000000004" customHeight="1" x14ac:dyDescent="0.15">
      <c r="A17" s="23"/>
      <c r="B17" s="23"/>
    </row>
    <row r="18" spans="1:2" hidden="1" x14ac:dyDescent="0.15">
      <c r="A18" s="23"/>
      <c r="B18" s="23"/>
    </row>
    <row r="19" spans="1:2" hidden="1" x14ac:dyDescent="0.15">
      <c r="A19" s="23"/>
      <c r="B19" s="23"/>
    </row>
    <row r="20" spans="1:2" hidden="1" x14ac:dyDescent="0.15">
      <c r="A20" s="23"/>
      <c r="B20" s="23"/>
    </row>
    <row r="21" spans="1:2" ht="22.9" customHeight="1" x14ac:dyDescent="0.15">
      <c r="A21" s="23"/>
      <c r="B21" s="23"/>
    </row>
    <row r="22" spans="1:2" ht="45" hidden="1" customHeight="1" x14ac:dyDescent="0.15">
      <c r="A22" s="23"/>
      <c r="B22" s="23"/>
    </row>
    <row r="23" spans="1:2" ht="51" hidden="1" customHeight="1" x14ac:dyDescent="0.15">
      <c r="A23" s="23"/>
      <c r="B23" s="23"/>
    </row>
    <row r="24" spans="1:2" x14ac:dyDescent="0.15">
      <c r="A24" s="21" t="s">
        <v>9</v>
      </c>
      <c r="B24" s="21"/>
    </row>
    <row r="25" spans="1:2" x14ac:dyDescent="0.15">
      <c r="A25" s="21" t="s">
        <v>10</v>
      </c>
      <c r="B25" s="21"/>
    </row>
    <row r="26" spans="1:2" x14ac:dyDescent="0.15">
      <c r="A26" s="21"/>
      <c r="B26" s="21"/>
    </row>
    <row r="27" spans="1:2" x14ac:dyDescent="0.15">
      <c r="A27" s="21"/>
      <c r="B27" s="21"/>
    </row>
    <row r="28" spans="1:2" x14ac:dyDescent="0.15">
      <c r="A28" s="2" t="s">
        <v>11</v>
      </c>
      <c r="B28" s="9" t="s">
        <v>31</v>
      </c>
    </row>
    <row r="29" spans="1:2" x14ac:dyDescent="0.15">
      <c r="A29" s="2" t="s">
        <v>12</v>
      </c>
      <c r="B29" s="9" t="s">
        <v>32</v>
      </c>
    </row>
    <row r="30" spans="1:2" x14ac:dyDescent="0.15">
      <c r="A30" s="2" t="s">
        <v>13</v>
      </c>
      <c r="B30" s="9" t="s">
        <v>33</v>
      </c>
    </row>
    <row r="31" spans="1:2" x14ac:dyDescent="0.15">
      <c r="A31" s="2" t="s">
        <v>14</v>
      </c>
      <c r="B31" s="9" t="s">
        <v>34</v>
      </c>
    </row>
    <row r="32" spans="1:2" x14ac:dyDescent="0.15">
      <c r="A32" s="2" t="s">
        <v>15</v>
      </c>
      <c r="B32" s="9" t="s">
        <v>35</v>
      </c>
    </row>
    <row r="33" spans="1:2" x14ac:dyDescent="0.15">
      <c r="A33" s="2" t="s">
        <v>16</v>
      </c>
      <c r="B33" s="9" t="s">
        <v>36</v>
      </c>
    </row>
    <row r="34" spans="1:2" x14ac:dyDescent="0.15">
      <c r="A34" s="2" t="s">
        <v>17</v>
      </c>
      <c r="B34" s="9" t="s">
        <v>37</v>
      </c>
    </row>
    <row r="35" spans="1:2" x14ac:dyDescent="0.15">
      <c r="A35" s="7" t="s">
        <v>18</v>
      </c>
      <c r="B35" s="9" t="s">
        <v>38</v>
      </c>
    </row>
    <row r="36" spans="1:2" x14ac:dyDescent="0.15">
      <c r="A36" s="7" t="s">
        <v>19</v>
      </c>
      <c r="B36" s="9" t="s">
        <v>39</v>
      </c>
    </row>
    <row r="37" spans="1:2" x14ac:dyDescent="0.15">
      <c r="A37" s="7" t="s">
        <v>20</v>
      </c>
      <c r="B37" s="9" t="s">
        <v>40</v>
      </c>
    </row>
    <row r="38" spans="1:2" x14ac:dyDescent="0.15">
      <c r="A38" s="7"/>
      <c r="B38" s="9" t="s">
        <v>41</v>
      </c>
    </row>
    <row r="39" spans="1:2" x14ac:dyDescent="0.15">
      <c r="A39" s="7"/>
      <c r="B39" s="9" t="s">
        <v>42</v>
      </c>
    </row>
    <row r="40" spans="1:2" x14ac:dyDescent="0.15">
      <c r="A40" s="7"/>
      <c r="B40" s="9" t="s">
        <v>43</v>
      </c>
    </row>
    <row r="41" spans="1:2" x14ac:dyDescent="0.15">
      <c r="A41" s="7"/>
      <c r="B41" s="9" t="s">
        <v>44</v>
      </c>
    </row>
    <row r="42" spans="1:2" x14ac:dyDescent="0.15">
      <c r="A42" s="7"/>
      <c r="B42" s="9" t="s">
        <v>45</v>
      </c>
    </row>
    <row r="43" spans="1:2" x14ac:dyDescent="0.15">
      <c r="A43" s="7"/>
      <c r="B43" s="9" t="s">
        <v>46</v>
      </c>
    </row>
    <row r="44" spans="1:2" x14ac:dyDescent="0.15">
      <c r="A44" s="7"/>
      <c r="B44" s="9" t="s">
        <v>47</v>
      </c>
    </row>
    <row r="45" spans="1:2" x14ac:dyDescent="0.15">
      <c r="A45" s="7"/>
      <c r="B45" s="7" t="s">
        <v>51</v>
      </c>
    </row>
    <row r="46" spans="1:2" x14ac:dyDescent="0.15">
      <c r="A46" s="7"/>
      <c r="B46" s="7" t="s">
        <v>66</v>
      </c>
    </row>
    <row r="47" spans="1:2" x14ac:dyDescent="0.15">
      <c r="A47" s="10"/>
      <c r="B47" s="10" t="s">
        <v>56</v>
      </c>
    </row>
    <row r="48" spans="1:2" x14ac:dyDescent="0.15">
      <c r="A48" s="10"/>
      <c r="B48" s="10" t="s">
        <v>52</v>
      </c>
    </row>
    <row r="49" spans="1:2" x14ac:dyDescent="0.15">
      <c r="A49" s="10"/>
      <c r="B49" s="10" t="s">
        <v>55</v>
      </c>
    </row>
    <row r="50" spans="1:2" x14ac:dyDescent="0.15">
      <c r="A50" s="10"/>
      <c r="B50" s="11" t="s">
        <v>53</v>
      </c>
    </row>
    <row r="51" spans="1:2" x14ac:dyDescent="0.15">
      <c r="A51" s="10"/>
      <c r="B51" s="11" t="s">
        <v>54</v>
      </c>
    </row>
    <row r="52" spans="1:2" x14ac:dyDescent="0.15">
      <c r="A52" s="10"/>
      <c r="B52" s="10" t="s">
        <v>57</v>
      </c>
    </row>
    <row r="53" spans="1:2" x14ac:dyDescent="0.15">
      <c r="B53" s="2" t="s">
        <v>65</v>
      </c>
    </row>
    <row r="54" spans="1:2" x14ac:dyDescent="0.15">
      <c r="B54" s="2" t="s">
        <v>68</v>
      </c>
    </row>
    <row r="55" spans="1:2" x14ac:dyDescent="0.15">
      <c r="B55" s="2" t="s">
        <v>69</v>
      </c>
    </row>
    <row r="56" spans="1:2" x14ac:dyDescent="0.15">
      <c r="B56" s="2" t="s">
        <v>67</v>
      </c>
    </row>
  </sheetData>
  <mergeCells count="5">
    <mergeCell ref="A24:B24"/>
    <mergeCell ref="A25:B25"/>
    <mergeCell ref="A26:B26"/>
    <mergeCell ref="A27:B27"/>
    <mergeCell ref="A6:B23"/>
  </mergeCells>
  <phoneticPr fontId="8" type="noConversion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A51"/>
  <sheetViews>
    <sheetView tabSelected="1" workbookViewId="0">
      <selection activeCell="C14" sqref="C14"/>
    </sheetView>
  </sheetViews>
  <sheetFormatPr defaultColWidth="8.875" defaultRowHeight="16.5" x14ac:dyDescent="0.3"/>
  <cols>
    <col min="1" max="1" width="7.75" style="3" bestFit="1" customWidth="1"/>
    <col min="2" max="2" width="16.5" style="3" customWidth="1"/>
    <col min="3" max="3" width="42.75" style="3" bestFit="1" customWidth="1"/>
    <col min="4" max="4" width="17.625" style="3" bestFit="1" customWidth="1"/>
    <col min="5" max="5" width="18.375" style="3" bestFit="1" customWidth="1"/>
    <col min="6" max="6" width="14.75" style="3" bestFit="1" customWidth="1"/>
    <col min="7" max="7" width="10.125" style="3" bestFit="1" customWidth="1"/>
    <col min="8" max="16384" width="8.875" style="3"/>
  </cols>
  <sheetData>
    <row r="1" spans="1:27" s="13" customFormat="1" ht="12" customHeight="1" x14ac:dyDescent="0.15">
      <c r="A1" s="12"/>
      <c r="B1" s="13" t="s">
        <v>111</v>
      </c>
      <c r="C1" s="12"/>
      <c r="X1" s="14"/>
    </row>
    <row r="2" spans="1:27" s="17" customFormat="1" ht="12" customHeight="1" x14ac:dyDescent="0.15">
      <c r="A2" s="15" t="s">
        <v>21</v>
      </c>
      <c r="B2" s="16" t="s">
        <v>22</v>
      </c>
      <c r="C2" s="16" t="s">
        <v>23</v>
      </c>
      <c r="D2" s="16" t="s">
        <v>70</v>
      </c>
      <c r="E2" s="16" t="s">
        <v>77</v>
      </c>
      <c r="F2" s="16" t="s">
        <v>74</v>
      </c>
      <c r="G2" s="16" t="s">
        <v>110</v>
      </c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</row>
    <row r="3" spans="1:27" s="20" customFormat="1" ht="12" customHeight="1" x14ac:dyDescent="0.15">
      <c r="A3" s="18" t="s">
        <v>75</v>
      </c>
      <c r="B3" s="19" t="s">
        <v>112</v>
      </c>
      <c r="C3" s="19" t="s">
        <v>24</v>
      </c>
      <c r="D3" s="19" t="s">
        <v>71</v>
      </c>
      <c r="E3" s="19" t="s">
        <v>78</v>
      </c>
      <c r="F3" s="19" t="s">
        <v>75</v>
      </c>
      <c r="G3" s="19" t="s">
        <v>109</v>
      </c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</row>
    <row r="4" spans="1:27" x14ac:dyDescent="0.3">
      <c r="A4" t="s">
        <v>25</v>
      </c>
      <c r="B4" t="s">
        <v>2</v>
      </c>
      <c r="C4" t="s">
        <v>26</v>
      </c>
      <c r="D4" s="3" t="s">
        <v>72</v>
      </c>
      <c r="E4" s="3" t="s">
        <v>76</v>
      </c>
      <c r="F4" s="3" t="s">
        <v>73</v>
      </c>
      <c r="G4" s="3" t="s">
        <v>86</v>
      </c>
    </row>
    <row r="5" spans="1:27" x14ac:dyDescent="0.3">
      <c r="A5">
        <v>1</v>
      </c>
      <c r="B5">
        <v>1</v>
      </c>
      <c r="C5" s="8" t="s">
        <v>113</v>
      </c>
      <c r="D5">
        <v>0</v>
      </c>
      <c r="E5" s="8" t="str">
        <f>"dailypast_desc_"&amp;IF(表3[[#This Row],[标签图片]]=0,"0",IF(MOD(表3[[#This Row],[次数]],6)=0,6,表3[[#This Row],[次数]]))</f>
        <v>dailypast_desc_0</v>
      </c>
      <c r="F5">
        <v>-1</v>
      </c>
    </row>
    <row r="6" spans="1:27" x14ac:dyDescent="0.3">
      <c r="A6">
        <v>2</v>
      </c>
      <c r="B6">
        <v>1</v>
      </c>
      <c r="C6" s="8" t="s">
        <v>79</v>
      </c>
      <c r="D6" t="s">
        <v>84</v>
      </c>
      <c r="E6" s="8" t="str">
        <f>"dailypast_desc_"&amp;IF(表3[[#This Row],[标签图片]]=0,"0",IF(MOD(表3[[#This Row],[次数]],6)=0,6,表3[[#This Row],[次数]]))</f>
        <v>dailypast_desc_2</v>
      </c>
      <c r="F6">
        <v>1</v>
      </c>
    </row>
    <row r="7" spans="1:27" x14ac:dyDescent="0.3">
      <c r="A7">
        <v>3</v>
      </c>
      <c r="B7">
        <v>1</v>
      </c>
      <c r="C7" s="8" t="s">
        <v>104</v>
      </c>
      <c r="D7">
        <v>0</v>
      </c>
      <c r="E7" s="8" t="str">
        <f>"dailypast_desc_"&amp;IF(表3[[#This Row],[标签图片]]=0,"0",IF(MOD(表3[[#This Row],[次数]],6)=0,6,表3[[#This Row],[次数]]))</f>
        <v>dailypast_desc_0</v>
      </c>
      <c r="F7">
        <v>-1</v>
      </c>
    </row>
    <row r="8" spans="1:27" x14ac:dyDescent="0.3">
      <c r="A8">
        <v>4</v>
      </c>
      <c r="B8">
        <v>1</v>
      </c>
      <c r="C8" s="8" t="s">
        <v>114</v>
      </c>
      <c r="D8" t="s">
        <v>84</v>
      </c>
      <c r="E8" s="8" t="str">
        <f>"dailypast_desc_"&amp;IF(表3[[#This Row],[标签图片]]=0,"0",IF(MOD(表3[[#This Row],[次数]],6)=0,6,表3[[#This Row],[次数]]))</f>
        <v>dailypast_desc_4</v>
      </c>
      <c r="F8">
        <v>2</v>
      </c>
    </row>
    <row r="9" spans="1:27" x14ac:dyDescent="0.3">
      <c r="A9">
        <v>5</v>
      </c>
      <c r="B9">
        <v>1</v>
      </c>
      <c r="C9" s="8" t="s">
        <v>98</v>
      </c>
      <c r="D9">
        <v>0</v>
      </c>
      <c r="E9" s="8" t="str">
        <f>"dailypast_desc_"&amp;IF(表3[[#This Row],[标签图片]]=0,"0",IF(MOD(表3[[#This Row],[次数]],6)=0,6,表3[[#This Row],[次数]]))</f>
        <v>dailypast_desc_0</v>
      </c>
      <c r="F9">
        <v>-1</v>
      </c>
    </row>
    <row r="10" spans="1:27" x14ac:dyDescent="0.3">
      <c r="A10">
        <v>6</v>
      </c>
      <c r="B10">
        <v>1</v>
      </c>
      <c r="C10" s="8" t="s">
        <v>115</v>
      </c>
      <c r="D10" t="s">
        <v>85</v>
      </c>
      <c r="E10" s="8" t="str">
        <f>"dailypast_desc_"&amp;IF(表3[[#This Row],[标签图片]]=0,"0",IF(MOD(表3[[#This Row],[次数]],6)=0,6,表3[[#This Row],[次数]]))</f>
        <v>dailypast_desc_6</v>
      </c>
      <c r="F10">
        <v>-1</v>
      </c>
    </row>
    <row r="11" spans="1:27" x14ac:dyDescent="0.3">
      <c r="A11">
        <v>7</v>
      </c>
      <c r="B11">
        <v>1</v>
      </c>
      <c r="C11" s="8" t="s">
        <v>28</v>
      </c>
      <c r="D11">
        <v>0</v>
      </c>
      <c r="E11" s="8" t="str">
        <f>"dailypast_desc_"&amp;IF(表3[[#This Row],[标签图片]]=0,"0",IF(MOD(表3[[#This Row],[次数]],6)=0,6,表3[[#This Row],[次数]]))</f>
        <v>dailypast_desc_0</v>
      </c>
      <c r="F11">
        <v>-1</v>
      </c>
    </row>
    <row r="12" spans="1:27" x14ac:dyDescent="0.3">
      <c r="A12">
        <v>8</v>
      </c>
      <c r="B12">
        <v>1</v>
      </c>
      <c r="C12" s="8" t="s">
        <v>99</v>
      </c>
      <c r="D12" t="s">
        <v>84</v>
      </c>
      <c r="E12" s="8" t="str">
        <f>"dailypast_desc_"&amp;IF(表3[[#This Row],[标签图片]]=0,"0",IF(MOD(表3[[#This Row],[次数]],6)=0,6,表3[[#This Row],[次数]]))</f>
        <v>dailypast_desc_8</v>
      </c>
      <c r="F12">
        <v>3</v>
      </c>
    </row>
    <row r="13" spans="1:27" x14ac:dyDescent="0.3">
      <c r="A13">
        <v>9</v>
      </c>
      <c r="B13">
        <v>1</v>
      </c>
      <c r="C13" s="8" t="s">
        <v>105</v>
      </c>
      <c r="D13">
        <v>0</v>
      </c>
      <c r="E13" s="8" t="str">
        <f>"dailypast_desc_"&amp;IF(表3[[#This Row],[标签图片]]=0,"0",IF(MOD(表3[[#This Row],[次数]],6)=0,6,表3[[#This Row],[次数]]))</f>
        <v>dailypast_desc_0</v>
      </c>
      <c r="F13">
        <v>-1</v>
      </c>
    </row>
    <row r="14" spans="1:27" x14ac:dyDescent="0.3">
      <c r="A14">
        <v>10</v>
      </c>
      <c r="B14">
        <v>1</v>
      </c>
      <c r="C14" s="8" t="s">
        <v>80</v>
      </c>
      <c r="D14" t="s">
        <v>84</v>
      </c>
      <c r="E14" s="8" t="str">
        <f>"dailypast_desc_"&amp;IF(表3[[#This Row],[标签图片]]=0,"0",IF(MOD(表3[[#This Row],[次数]],6)=0,6,表3[[#This Row],[次数]]))</f>
        <v>dailypast_desc_10</v>
      </c>
      <c r="F14">
        <v>4</v>
      </c>
    </row>
    <row r="15" spans="1:27" x14ac:dyDescent="0.3">
      <c r="A15">
        <v>11</v>
      </c>
      <c r="B15">
        <v>1</v>
      </c>
      <c r="C15" s="8" t="s">
        <v>98</v>
      </c>
      <c r="D15">
        <v>0</v>
      </c>
      <c r="E15" s="8" t="str">
        <f>"dailypast_desc_"&amp;IF(表3[[#This Row],[标签图片]]=0,"0",IF(MOD(表3[[#This Row],[次数]],6)=0,6,表3[[#This Row],[次数]]))</f>
        <v>dailypast_desc_0</v>
      </c>
      <c r="F15">
        <v>-1</v>
      </c>
    </row>
    <row r="16" spans="1:27" x14ac:dyDescent="0.3">
      <c r="A16">
        <v>12</v>
      </c>
      <c r="B16">
        <v>1</v>
      </c>
      <c r="C16" s="8" t="s">
        <v>115</v>
      </c>
      <c r="D16" t="s">
        <v>83</v>
      </c>
      <c r="E16" s="8" t="str">
        <f>"dailypast_desc_"&amp;IF(表3[[#This Row],[标签图片]]=0,"0",IF(MOD(表3[[#This Row],[次数]],6)=0,6,表3[[#This Row],[次数]]))</f>
        <v>dailypast_desc_6</v>
      </c>
      <c r="F16">
        <v>-1</v>
      </c>
    </row>
    <row r="17" spans="1:6" x14ac:dyDescent="0.3">
      <c r="A17">
        <v>13</v>
      </c>
      <c r="B17">
        <v>1</v>
      </c>
      <c r="C17" s="8" t="s">
        <v>116</v>
      </c>
      <c r="D17">
        <v>0</v>
      </c>
      <c r="E17" s="8" t="str">
        <f>"dailypast_desc_"&amp;IF(表3[[#This Row],[标签图片]]=0,"0",IF(MOD(表3[[#This Row],[次数]],6)=0,6,表3[[#This Row],[次数]]))</f>
        <v>dailypast_desc_0</v>
      </c>
      <c r="F17">
        <v>-1</v>
      </c>
    </row>
    <row r="18" spans="1:6" x14ac:dyDescent="0.3">
      <c r="A18">
        <v>14</v>
      </c>
      <c r="B18">
        <v>1</v>
      </c>
      <c r="C18" s="8" t="s">
        <v>100</v>
      </c>
      <c r="D18" t="s">
        <v>84</v>
      </c>
      <c r="E18" s="8" t="str">
        <f>"dailypast_desc_"&amp;IF(表3[[#This Row],[标签图片]]=0,"0",IF(MOD(表3[[#This Row],[次数]],6)=0,6,表3[[#This Row],[次数]]))</f>
        <v>dailypast_desc_14</v>
      </c>
      <c r="F18">
        <v>5</v>
      </c>
    </row>
    <row r="19" spans="1:6" x14ac:dyDescent="0.3">
      <c r="A19">
        <v>15</v>
      </c>
      <c r="B19">
        <v>1</v>
      </c>
      <c r="C19" s="8" t="s">
        <v>106</v>
      </c>
      <c r="D19">
        <v>0</v>
      </c>
      <c r="E19" s="8" t="str">
        <f>"dailypast_desc_"&amp;IF(表3[[#This Row],[标签图片]]=0,"0",IF(MOD(表3[[#This Row],[次数]],6)=0,6,表3[[#This Row],[次数]]))</f>
        <v>dailypast_desc_0</v>
      </c>
      <c r="F19">
        <v>-1</v>
      </c>
    </row>
    <row r="20" spans="1:6" x14ac:dyDescent="0.3">
      <c r="A20">
        <v>16</v>
      </c>
      <c r="B20">
        <v>1</v>
      </c>
      <c r="C20" s="8" t="s">
        <v>81</v>
      </c>
      <c r="D20" t="s">
        <v>84</v>
      </c>
      <c r="E20" s="8" t="str">
        <f>"dailypast_desc_"&amp;IF(表3[[#This Row],[标签图片]]=0,"0",IF(MOD(表3[[#This Row],[次数]],6)=0,6,表3[[#This Row],[次数]]))</f>
        <v>dailypast_desc_16</v>
      </c>
      <c r="F20">
        <v>6</v>
      </c>
    </row>
    <row r="21" spans="1:6" x14ac:dyDescent="0.3">
      <c r="A21">
        <v>17</v>
      </c>
      <c r="B21">
        <v>1</v>
      </c>
      <c r="C21" s="8" t="s">
        <v>98</v>
      </c>
      <c r="D21">
        <v>0</v>
      </c>
      <c r="E21" s="8" t="str">
        <f>"dailypast_desc_"&amp;IF(表3[[#This Row],[标签图片]]=0,"0",IF(MOD(表3[[#This Row],[次数]],6)=0,6,表3[[#This Row],[次数]]))</f>
        <v>dailypast_desc_0</v>
      </c>
      <c r="F21">
        <v>-1</v>
      </c>
    </row>
    <row r="22" spans="1:6" x14ac:dyDescent="0.3">
      <c r="A22">
        <v>18</v>
      </c>
      <c r="B22">
        <v>1</v>
      </c>
      <c r="C22" s="8" t="s">
        <v>115</v>
      </c>
      <c r="D22" t="s">
        <v>83</v>
      </c>
      <c r="E22" s="8" t="str">
        <f>"dailypast_desc_"&amp;IF(表3[[#This Row],[标签图片]]=0,"0",IF(MOD(表3[[#This Row],[次数]],6)=0,6,表3[[#This Row],[次数]]))</f>
        <v>dailypast_desc_6</v>
      </c>
      <c r="F22">
        <v>-1</v>
      </c>
    </row>
    <row r="23" spans="1:6" x14ac:dyDescent="0.3">
      <c r="A23">
        <v>19</v>
      </c>
      <c r="B23">
        <v>1</v>
      </c>
      <c r="C23" s="8" t="s">
        <v>117</v>
      </c>
      <c r="D23">
        <v>0</v>
      </c>
      <c r="E23" s="8" t="str">
        <f>"dailypast_desc_"&amp;IF(表3[[#This Row],[标签图片]]=0,"0",IF(MOD(表3[[#This Row],[次数]],6)=0,6,表3[[#This Row],[次数]]))</f>
        <v>dailypast_desc_0</v>
      </c>
      <c r="F23">
        <v>-1</v>
      </c>
    </row>
    <row r="24" spans="1:6" x14ac:dyDescent="0.3">
      <c r="A24">
        <v>20</v>
      </c>
      <c r="B24">
        <v>1</v>
      </c>
      <c r="C24" s="8" t="s">
        <v>101</v>
      </c>
      <c r="D24" t="s">
        <v>84</v>
      </c>
      <c r="E24" s="8" t="str">
        <f>"dailypast_desc_"&amp;IF(表3[[#This Row],[标签图片]]=0,"0",IF(MOD(表3[[#This Row],[次数]],6)=0,6,表3[[#This Row],[次数]]))</f>
        <v>dailypast_desc_20</v>
      </c>
      <c r="F24">
        <v>7</v>
      </c>
    </row>
    <row r="25" spans="1:6" x14ac:dyDescent="0.3">
      <c r="A25">
        <v>21</v>
      </c>
      <c r="B25">
        <v>1</v>
      </c>
      <c r="C25" s="8" t="s">
        <v>107</v>
      </c>
      <c r="D25">
        <v>0</v>
      </c>
      <c r="E25" s="8" t="str">
        <f>"dailypast_desc_"&amp;IF(表3[[#This Row],[标签图片]]=0,"0",IF(MOD(表3[[#This Row],[次数]],6)=0,6,表3[[#This Row],[次数]]))</f>
        <v>dailypast_desc_0</v>
      </c>
      <c r="F25">
        <v>-1</v>
      </c>
    </row>
    <row r="26" spans="1:6" x14ac:dyDescent="0.3">
      <c r="A26">
        <v>22</v>
      </c>
      <c r="B26">
        <v>1</v>
      </c>
      <c r="C26" s="8" t="s">
        <v>82</v>
      </c>
      <c r="D26" t="s">
        <v>84</v>
      </c>
      <c r="E26" s="8" t="str">
        <f>"dailypast_desc_"&amp;IF(表3[[#This Row],[标签图片]]=0,"0",IF(MOD(表3[[#This Row],[次数]],6)=0,6,表3[[#This Row],[次数]]))</f>
        <v>dailypast_desc_22</v>
      </c>
      <c r="F26">
        <v>8</v>
      </c>
    </row>
    <row r="27" spans="1:6" x14ac:dyDescent="0.3">
      <c r="A27">
        <v>23</v>
      </c>
      <c r="B27">
        <v>1</v>
      </c>
      <c r="C27" s="8" t="s">
        <v>98</v>
      </c>
      <c r="D27">
        <v>0</v>
      </c>
      <c r="E27" s="8" t="str">
        <f>"dailypast_desc_"&amp;IF(表3[[#This Row],[标签图片]]=0,"0",IF(MOD(表3[[#This Row],[次数]],6)=0,6,表3[[#This Row],[次数]]))</f>
        <v>dailypast_desc_0</v>
      </c>
      <c r="F27">
        <v>-1</v>
      </c>
    </row>
    <row r="28" spans="1:6" x14ac:dyDescent="0.3">
      <c r="A28">
        <v>24</v>
      </c>
      <c r="B28">
        <v>1</v>
      </c>
      <c r="C28" s="8" t="s">
        <v>115</v>
      </c>
      <c r="D28" t="s">
        <v>83</v>
      </c>
      <c r="E28" s="8" t="str">
        <f>"dailypast_desc_"&amp;IF(表3[[#This Row],[标签图片]]=0,"0",IF(MOD(表3[[#This Row],[次数]],6)=0,6,表3[[#This Row],[次数]]))</f>
        <v>dailypast_desc_6</v>
      </c>
      <c r="F28">
        <v>-1</v>
      </c>
    </row>
    <row r="29" spans="1:6" x14ac:dyDescent="0.3">
      <c r="A29">
        <v>25</v>
      </c>
      <c r="B29">
        <v>1</v>
      </c>
      <c r="C29" s="8" t="s">
        <v>102</v>
      </c>
      <c r="D29">
        <v>0</v>
      </c>
      <c r="E29" s="8" t="str">
        <f>"dailypast_desc_"&amp;IF(表3[[#This Row],[标签图片]]=0,"0",IF(MOD(表3[[#This Row],[次数]],6)=0,6,表3[[#This Row],[次数]]))</f>
        <v>dailypast_desc_0</v>
      </c>
      <c r="F29">
        <v>-1</v>
      </c>
    </row>
    <row r="30" spans="1:6" x14ac:dyDescent="0.3">
      <c r="A30">
        <v>26</v>
      </c>
      <c r="B30">
        <v>1</v>
      </c>
      <c r="C30" s="8" t="s">
        <v>103</v>
      </c>
      <c r="D30" t="s">
        <v>84</v>
      </c>
      <c r="E30" s="8" t="str">
        <f>"dailypast_desc_"&amp;IF(表3[[#This Row],[标签图片]]=0,"0",IF(MOD(表3[[#This Row],[次数]],6)=0,6,表3[[#This Row],[次数]]))</f>
        <v>dailypast_desc_26</v>
      </c>
      <c r="F30">
        <v>9</v>
      </c>
    </row>
    <row r="31" spans="1:6" x14ac:dyDescent="0.3">
      <c r="A31">
        <v>27</v>
      </c>
      <c r="B31">
        <v>1</v>
      </c>
      <c r="C31" s="8" t="s">
        <v>108</v>
      </c>
      <c r="D31">
        <v>0</v>
      </c>
      <c r="E31" s="8" t="str">
        <f>"dailypast_desc_"&amp;IF(表3[[#This Row],[标签图片]]=0,"0",IF(MOD(表3[[#This Row],[次数]],6)=0,6,表3[[#This Row],[次数]]))</f>
        <v>dailypast_desc_0</v>
      </c>
      <c r="F31">
        <v>-1</v>
      </c>
    </row>
    <row r="32" spans="1:6" x14ac:dyDescent="0.3">
      <c r="A32">
        <v>28</v>
      </c>
      <c r="B32">
        <v>1</v>
      </c>
      <c r="C32" s="8" t="s">
        <v>30</v>
      </c>
      <c r="D32" t="s">
        <v>84</v>
      </c>
      <c r="E32" s="8" t="str">
        <f>"dailypast_desc_"&amp;IF(表3[[#This Row],[标签图片]]=0,"0",IF(MOD(表3[[#This Row],[次数]],6)=0,6,表3[[#This Row],[次数]]))</f>
        <v>dailypast_desc_28</v>
      </c>
      <c r="F32">
        <v>10</v>
      </c>
    </row>
    <row r="33" spans="1:7" x14ac:dyDescent="0.3">
      <c r="A33">
        <v>29</v>
      </c>
      <c r="B33">
        <v>1</v>
      </c>
      <c r="C33" s="8" t="s">
        <v>98</v>
      </c>
      <c r="D33">
        <v>0</v>
      </c>
      <c r="E33" s="8" t="str">
        <f>"dailypast_desc_"&amp;IF(表3[[#This Row],[标签图片]]=0,"0",IF(MOD(表3[[#This Row],[次数]],6)=0,6,表3[[#This Row],[次数]]))</f>
        <v>dailypast_desc_0</v>
      </c>
      <c r="F33">
        <v>-1</v>
      </c>
    </row>
    <row r="34" spans="1:7" x14ac:dyDescent="0.3">
      <c r="A34">
        <v>30</v>
      </c>
      <c r="B34">
        <v>1</v>
      </c>
      <c r="C34" s="8" t="s">
        <v>115</v>
      </c>
      <c r="D34" t="s">
        <v>85</v>
      </c>
      <c r="E34" s="8" t="str">
        <f>"dailypast_desc_"&amp;IF(表3[[#This Row],[标签图片]]=0,"0",IF(MOD(表3[[#This Row],[次数]],6)=0,6,表3[[#This Row],[次数]]))</f>
        <v>dailypast_desc_6</v>
      </c>
      <c r="F34">
        <v>-1</v>
      </c>
    </row>
    <row r="35" spans="1:7" x14ac:dyDescent="0.3">
      <c r="A35">
        <v>31</v>
      </c>
      <c r="B35">
        <v>1</v>
      </c>
      <c r="C35" s="8" t="s">
        <v>102</v>
      </c>
      <c r="D35">
        <v>0</v>
      </c>
      <c r="E35" s="8" t="str">
        <f>"dailypast_desc_"&amp;IF(表3[[#This Row],[标签图片]]=0,"0",IF(MOD(表3[[#This Row],[次数]],6)=0,6,表3[[#This Row],[次数]]))</f>
        <v>dailypast_desc_0</v>
      </c>
      <c r="F35">
        <v>-1</v>
      </c>
    </row>
    <row r="36" spans="1:7" x14ac:dyDescent="0.3">
      <c r="A36">
        <v>1</v>
      </c>
      <c r="B36">
        <v>0</v>
      </c>
      <c r="C36" s="8" t="s">
        <v>48</v>
      </c>
      <c r="D36" s="8">
        <v>0</v>
      </c>
      <c r="E36" s="8" t="str">
        <f>"dailypast_desc_"&amp;IF(表3[[#This Row],[标签图片]]=0,"0",IF(MOD(表3[[#This Row],[次数]],6)=0,6,表3[[#This Row],[次数]]))</f>
        <v>dailypast_desc_0</v>
      </c>
      <c r="F36" s="3">
        <v>-1</v>
      </c>
    </row>
    <row r="37" spans="1:7" x14ac:dyDescent="0.3">
      <c r="A37">
        <v>2</v>
      </c>
      <c r="B37">
        <v>0</v>
      </c>
      <c r="C37" s="8" t="s">
        <v>27</v>
      </c>
      <c r="D37" s="8">
        <v>0</v>
      </c>
      <c r="E37" s="8" t="str">
        <f>"dailypast_desc_"&amp;IF(表3[[#This Row],[标签图片]]=0,"0",IF(MOD(表3[[#This Row],[次数]],6)=0,6,表3[[#This Row],[次数]]))</f>
        <v>dailypast_desc_0</v>
      </c>
      <c r="F37" s="3">
        <v>-1</v>
      </c>
    </row>
    <row r="38" spans="1:7" x14ac:dyDescent="0.3">
      <c r="A38">
        <v>3</v>
      </c>
      <c r="B38">
        <v>0</v>
      </c>
      <c r="C38" s="8" t="s">
        <v>28</v>
      </c>
      <c r="D38" s="8">
        <v>0</v>
      </c>
      <c r="E38" s="8" t="str">
        <f>"dailypast_desc_"&amp;IF(表3[[#This Row],[标签图片]]=0,"0",IF(MOD(表3[[#This Row],[次数]],6)=0,6,表3[[#This Row],[次数]]))</f>
        <v>dailypast_desc_0</v>
      </c>
      <c r="F38" s="3">
        <v>-1</v>
      </c>
    </row>
    <row r="39" spans="1:7" x14ac:dyDescent="0.3">
      <c r="A39">
        <v>4</v>
      </c>
      <c r="B39">
        <v>0</v>
      </c>
      <c r="C39" s="8" t="s">
        <v>29</v>
      </c>
      <c r="D39" s="8">
        <v>0</v>
      </c>
      <c r="E39" s="8" t="str">
        <f>"dailypast_desc_"&amp;IF(表3[[#This Row],[标签图片]]=0,"0",IF(MOD(表3[[#This Row],[次数]],6)=0,6,表3[[#This Row],[次数]]))</f>
        <v>dailypast_desc_0</v>
      </c>
      <c r="F39" s="3">
        <v>-1</v>
      </c>
    </row>
    <row r="40" spans="1:7" x14ac:dyDescent="0.3">
      <c r="A40">
        <v>5</v>
      </c>
      <c r="B40">
        <v>0</v>
      </c>
      <c r="C40" s="8" t="s">
        <v>49</v>
      </c>
      <c r="D40" s="8">
        <v>0</v>
      </c>
      <c r="E40" s="8" t="str">
        <f>"dailypast_desc_"&amp;IF(表3[[#This Row],[标签图片]]=0,"0",IF(MOD(表3[[#This Row],[次数]],6)=0,6,表3[[#This Row],[次数]]))</f>
        <v>dailypast_desc_0</v>
      </c>
      <c r="F40" s="3">
        <v>-1</v>
      </c>
    </row>
    <row r="41" spans="1:7" x14ac:dyDescent="0.3">
      <c r="A41">
        <v>6</v>
      </c>
      <c r="B41">
        <v>0</v>
      </c>
      <c r="C41" s="8" t="s">
        <v>30</v>
      </c>
      <c r="D41" s="8">
        <v>0</v>
      </c>
      <c r="E41" s="8" t="str">
        <f>"dailypast_desc_"&amp;IF(表3[[#This Row],[标签图片]]=0,"0",IF(MOD(表3[[#This Row],[次数]],6)=0,6,表3[[#This Row],[次数]]))</f>
        <v>dailypast_desc_0</v>
      </c>
      <c r="F41" s="3">
        <v>-1</v>
      </c>
    </row>
    <row r="42" spans="1:7" x14ac:dyDescent="0.3">
      <c r="A42">
        <v>7</v>
      </c>
      <c r="B42">
        <v>0</v>
      </c>
      <c r="C42" s="8" t="s">
        <v>50</v>
      </c>
      <c r="D42" s="8">
        <v>0</v>
      </c>
      <c r="E42" s="8" t="str">
        <f>"dailypast_desc_"&amp;IF(表3[[#This Row],[标签图片]]=0,"0",IF(MOD(表3[[#This Row],[次数]],6)=0,6,表3[[#This Row],[次数]]))</f>
        <v>dailypast_desc_0</v>
      </c>
      <c r="F42" s="3">
        <v>-1</v>
      </c>
    </row>
    <row r="43" spans="1:7" x14ac:dyDescent="0.3">
      <c r="A43">
        <v>901</v>
      </c>
      <c r="B43">
        <v>2</v>
      </c>
      <c r="C43" s="8" t="s">
        <v>60</v>
      </c>
      <c r="D43" s="8">
        <v>0</v>
      </c>
      <c r="E43" s="8" t="str">
        <f>"dailypast_desc_"&amp;IF(表3[[#This Row],[标签图片]]=0,"0",IF(MOD(表3[[#This Row],[次数]],6)=0,6,表3[[#This Row],[次数]]))</f>
        <v>dailypast_desc_0</v>
      </c>
      <c r="F43" s="3">
        <v>-1</v>
      </c>
      <c r="G43" s="3" t="s">
        <v>87</v>
      </c>
    </row>
    <row r="44" spans="1:7" x14ac:dyDescent="0.3">
      <c r="A44">
        <v>902</v>
      </c>
      <c r="B44">
        <v>2</v>
      </c>
      <c r="C44" s="8" t="s">
        <v>61</v>
      </c>
      <c r="D44" s="8">
        <v>0</v>
      </c>
      <c r="E44" s="8" t="str">
        <f>"dailypast_desc_"&amp;IF(表3[[#This Row],[标签图片]]=0,"0",IF(MOD(表3[[#This Row],[次数]],6)=0,6,表3[[#This Row],[次数]]))</f>
        <v>dailypast_desc_0</v>
      </c>
      <c r="F44" s="3">
        <v>-1</v>
      </c>
      <c r="G44" s="3" t="s">
        <v>88</v>
      </c>
    </row>
    <row r="45" spans="1:7" x14ac:dyDescent="0.3">
      <c r="A45">
        <v>903</v>
      </c>
      <c r="B45">
        <v>2</v>
      </c>
      <c r="C45" s="8" t="s">
        <v>62</v>
      </c>
      <c r="D45" s="8">
        <v>0</v>
      </c>
      <c r="E45" s="8" t="str">
        <f>"dailypast_desc_"&amp;IF(表3[[#This Row],[标签图片]]=0,"0",IF(MOD(表3[[#This Row],[次数]],6)=0,6,表3[[#This Row],[次数]]))</f>
        <v>dailypast_desc_0</v>
      </c>
      <c r="F45" s="3">
        <v>-1</v>
      </c>
      <c r="G45" s="3" t="s">
        <v>89</v>
      </c>
    </row>
    <row r="46" spans="1:7" x14ac:dyDescent="0.3">
      <c r="A46">
        <v>904</v>
      </c>
      <c r="B46">
        <v>2</v>
      </c>
      <c r="C46" s="8" t="s">
        <v>64</v>
      </c>
      <c r="D46" s="8">
        <v>0</v>
      </c>
      <c r="E46" s="8" t="str">
        <f>"dailypast_desc_"&amp;IF(表3[[#This Row],[标签图片]]=0,"0",IF(MOD(表3[[#This Row],[次数]],6)=0,6,表3[[#This Row],[次数]]))</f>
        <v>dailypast_desc_0</v>
      </c>
      <c r="F46" s="3">
        <v>-1</v>
      </c>
      <c r="G46" s="3" t="s">
        <v>90</v>
      </c>
    </row>
    <row r="47" spans="1:7" x14ac:dyDescent="0.3">
      <c r="A47">
        <v>905</v>
      </c>
      <c r="B47">
        <v>2</v>
      </c>
      <c r="C47" s="8" t="s">
        <v>58</v>
      </c>
      <c r="D47" s="8">
        <v>0</v>
      </c>
      <c r="E47" s="8" t="str">
        <f>"dailypast_desc_"&amp;IF(表3[[#This Row],[标签图片]]=0,"0",IF(MOD(表3[[#This Row],[次数]],6)=0,6,表3[[#This Row],[次数]]))</f>
        <v>dailypast_desc_0</v>
      </c>
      <c r="F47" s="3">
        <v>-1</v>
      </c>
      <c r="G47" s="3" t="s">
        <v>91</v>
      </c>
    </row>
    <row r="48" spans="1:7" x14ac:dyDescent="0.3">
      <c r="A48">
        <v>906</v>
      </c>
      <c r="B48">
        <v>2</v>
      </c>
      <c r="C48" s="8" t="s">
        <v>63</v>
      </c>
      <c r="D48" s="8">
        <v>0</v>
      </c>
      <c r="E48" s="8" t="str">
        <f>"dailypast_desc_"&amp;IF(表3[[#This Row],[标签图片]]=0,"0",IF(MOD(表3[[#This Row],[次数]],6)=0,6,表3[[#This Row],[次数]]))</f>
        <v>dailypast_desc_0</v>
      </c>
      <c r="F48" s="3">
        <v>-1</v>
      </c>
      <c r="G48" s="3" t="s">
        <v>92</v>
      </c>
    </row>
    <row r="49" spans="1:7" x14ac:dyDescent="0.3">
      <c r="A49">
        <v>907</v>
      </c>
      <c r="B49">
        <v>2</v>
      </c>
      <c r="C49" s="8" t="s">
        <v>59</v>
      </c>
      <c r="D49" s="8">
        <v>0</v>
      </c>
      <c r="E49" s="8" t="str">
        <f>"dailypast_desc_"&amp;IF(表3[[#This Row],[标签图片]]=0,"0",IF(MOD(表3[[#This Row],[次数]],6)=0,6,表3[[#This Row],[次数]]))</f>
        <v>dailypast_desc_0</v>
      </c>
      <c r="F49" s="3">
        <v>-1</v>
      </c>
      <c r="G49" s="3" t="s">
        <v>93</v>
      </c>
    </row>
    <row r="50" spans="1:7" x14ac:dyDescent="0.3">
      <c r="A50">
        <v>910</v>
      </c>
      <c r="B50">
        <v>2</v>
      </c>
      <c r="C50" s="8" t="s">
        <v>96</v>
      </c>
      <c r="D50" s="8">
        <v>0</v>
      </c>
      <c r="E50" s="8" t="str">
        <f>"dailypast_desc_"&amp;IF(表3[[#This Row],[标签图片]]=0,"0",IF(MOD(表3[[#This Row],[次数]],6)=0,6,表3[[#This Row],[次数]]))</f>
        <v>dailypast_desc_0</v>
      </c>
      <c r="F50" s="3">
        <v>-1</v>
      </c>
      <c r="G50" s="3" t="s">
        <v>94</v>
      </c>
    </row>
    <row r="51" spans="1:7" x14ac:dyDescent="0.3">
      <c r="A51">
        <v>911</v>
      </c>
      <c r="B51">
        <v>2</v>
      </c>
      <c r="C51" s="8" t="s">
        <v>97</v>
      </c>
      <c r="D51" s="8">
        <v>0</v>
      </c>
      <c r="E51" s="8" t="str">
        <f>"dailypast_desc_"&amp;IF(表3[[#This Row],[标签图片]]=0,"0",IF(MOD(表3[[#This Row],[次数]],6)=0,6,表3[[#This Row],[次数]]))</f>
        <v>dailypast_desc_0</v>
      </c>
      <c r="F51" s="3">
        <v>-1</v>
      </c>
      <c r="G51" s="3" t="s">
        <v>95</v>
      </c>
    </row>
  </sheetData>
  <phoneticPr fontId="8" type="noConversion"/>
  <dataValidations count="1">
    <dataValidation allowBlank="1" showInputMessage="1" showErrorMessage="1" promptTitle="版本&quot;,&quot;分割————————————" prompt="如果是所有版本，则填ALL" sqref="B1" xr:uid="{B2340579-6B2F-4464-A09E-82CF6584DA94}"/>
  </dataValidations>
  <pageMargins left="0.69930555555555596" right="0.69930555555555596" top="0.75" bottom="0.75" header="0.3" footer="0.3"/>
  <pageSetup paperSize="9" orientation="portrait" r:id="rId1"/>
  <drawing r:id="rId2"/>
  <legacyDrawing r:id="rId3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description</vt:lpstr>
      <vt:lpstr>ALL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china</cp:lastModifiedBy>
  <dcterms:created xsi:type="dcterms:W3CDTF">2006-09-16T00:00:00Z</dcterms:created>
  <dcterms:modified xsi:type="dcterms:W3CDTF">2018-05-24T09:53:02Z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2052-10.1.0.6065</vt:lpwstr>
  </property>
</Properties>
</file>