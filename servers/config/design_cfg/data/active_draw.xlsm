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B855E96B-0D3E-4857-B0CE-E0FDD84254D8}" xr6:coauthVersionLast="32" xr6:coauthVersionMax="32" xr10:uidLastSave="{00000000-0000-0000-0000-000000000000}"/>
  <bookViews>
    <workbookView xWindow="0" yWindow="0" windowWidth="28695" windowHeight="14850" activeTab="1" xr2:uid="{00000000-000D-0000-FFFF-FFFF00000000}"/>
  </bookViews>
  <sheets>
    <sheet name="description" sheetId="1" r:id="rId1"/>
    <sheet name="ALL" sheetId="6" r:id="rId2"/>
  </sheets>
  <functionGroups builtInGroupCount="19"/>
  <externalReferences>
    <externalReference r:id="rId3"/>
  </externalReferences>
  <calcPr calcId="179017"/>
</workbook>
</file>

<file path=xl/calcChain.xml><?xml version="1.0" encoding="utf-8"?>
<calcChain xmlns="http://schemas.openxmlformats.org/spreadsheetml/2006/main">
  <c r="C242" i="6" l="1"/>
  <c r="C241" i="6"/>
  <c r="C240" i="6"/>
  <c r="C239" i="6"/>
  <c r="C235" i="6"/>
  <c r="C234" i="6"/>
  <c r="C233" i="6"/>
  <c r="C232" i="6"/>
  <c r="C228" i="6"/>
  <c r="C227" i="6"/>
  <c r="C226" i="6"/>
  <c r="C225" i="6"/>
  <c r="C221" i="6"/>
  <c r="C220" i="6"/>
  <c r="C219" i="6"/>
  <c r="C218" i="6"/>
  <c r="C214" i="6"/>
  <c r="C213" i="6"/>
  <c r="C212" i="6"/>
  <c r="C211" i="6"/>
  <c r="C207" i="6"/>
  <c r="C206" i="6"/>
  <c r="C205" i="6"/>
  <c r="C204" i="6"/>
  <c r="C200" i="6"/>
  <c r="C199" i="6"/>
  <c r="C198" i="6"/>
  <c r="C197" i="6"/>
  <c r="C193" i="6"/>
  <c r="C192" i="6"/>
  <c r="C191" i="6"/>
  <c r="C190" i="6"/>
  <c r="C186" i="6"/>
  <c r="C185" i="6"/>
  <c r="C184" i="6"/>
  <c r="C183" i="6"/>
  <c r="C179" i="6"/>
  <c r="C178" i="6"/>
  <c r="C177" i="6"/>
  <c r="C176" i="6"/>
  <c r="C172" i="6"/>
  <c r="C171" i="6"/>
  <c r="C170" i="6"/>
  <c r="C169" i="6"/>
  <c r="C165" i="6"/>
  <c r="C164" i="6"/>
  <c r="C163" i="6"/>
  <c r="C162" i="6"/>
  <c r="C158" i="6"/>
  <c r="C157" i="6"/>
  <c r="C156" i="6"/>
  <c r="C155" i="6"/>
  <c r="C151" i="6"/>
  <c r="C150" i="6"/>
  <c r="C149" i="6"/>
  <c r="C148" i="6"/>
  <c r="C144" i="6"/>
  <c r="C143" i="6"/>
  <c r="C142" i="6"/>
  <c r="C141" i="6"/>
  <c r="C137" i="6"/>
  <c r="C136" i="6"/>
  <c r="C135" i="6"/>
  <c r="C134" i="6"/>
  <c r="C130" i="6"/>
  <c r="C129" i="6"/>
  <c r="C128" i="6"/>
  <c r="C127" i="6"/>
  <c r="C123" i="6"/>
  <c r="C122" i="6"/>
  <c r="C121" i="6"/>
  <c r="C120" i="6"/>
  <c r="C116" i="6"/>
  <c r="C115" i="6"/>
  <c r="C114" i="6"/>
  <c r="C113" i="6"/>
  <c r="C109" i="6"/>
  <c r="C108" i="6"/>
  <c r="C107" i="6"/>
  <c r="C106" i="6"/>
  <c r="C102" i="6"/>
  <c r="C101" i="6"/>
  <c r="C100" i="6"/>
  <c r="C99" i="6"/>
  <c r="C95" i="6"/>
  <c r="C94" i="6"/>
  <c r="C93" i="6"/>
  <c r="C92" i="6"/>
  <c r="C88" i="6"/>
  <c r="C87" i="6"/>
  <c r="C86" i="6"/>
  <c r="C85" i="6"/>
  <c r="C81" i="6"/>
  <c r="C80" i="6"/>
  <c r="C79" i="6"/>
  <c r="C78" i="6"/>
  <c r="C74" i="6"/>
  <c r="C73" i="6"/>
  <c r="C72" i="6"/>
  <c r="C71" i="6"/>
  <c r="C67" i="6"/>
  <c r="C66" i="6"/>
  <c r="C65" i="6"/>
  <c r="C64" i="6"/>
  <c r="C60" i="6"/>
  <c r="C59" i="6"/>
  <c r="C58" i="6"/>
  <c r="C57" i="6"/>
  <c r="C53" i="6"/>
  <c r="C52" i="6"/>
  <c r="C51" i="6"/>
  <c r="C50" i="6"/>
  <c r="H5" i="6" l="1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40" i="6"/>
  <c r="H41" i="6"/>
  <c r="H42" i="6"/>
  <c r="H47" i="6"/>
  <c r="H48" i="6"/>
  <c r="H49" i="6"/>
  <c r="H54" i="6"/>
  <c r="H55" i="6"/>
  <c r="H56" i="6"/>
  <c r="H61" i="6"/>
  <c r="H62" i="6"/>
  <c r="H63" i="6"/>
  <c r="H68" i="6"/>
  <c r="H69" i="6"/>
  <c r="H70" i="6"/>
  <c r="H75" i="6"/>
  <c r="H76" i="6"/>
  <c r="H77" i="6"/>
  <c r="H82" i="6"/>
  <c r="H83" i="6"/>
  <c r="H84" i="6"/>
  <c r="H89" i="6"/>
  <c r="H90" i="6"/>
  <c r="H91" i="6"/>
  <c r="H96" i="6"/>
  <c r="H97" i="6"/>
  <c r="H98" i="6"/>
  <c r="H103" i="6"/>
  <c r="H104" i="6"/>
  <c r="H105" i="6"/>
  <c r="H110" i="6"/>
  <c r="H111" i="6"/>
  <c r="H112" i="6"/>
  <c r="H117" i="6"/>
  <c r="H118" i="6"/>
  <c r="H119" i="6"/>
  <c r="H124" i="6"/>
  <c r="H125" i="6"/>
  <c r="H126" i="6"/>
  <c r="H131" i="6"/>
  <c r="H132" i="6"/>
  <c r="H133" i="6"/>
  <c r="H138" i="6"/>
  <c r="H139" i="6"/>
  <c r="H140" i="6"/>
  <c r="H145" i="6"/>
  <c r="H146" i="6"/>
  <c r="H147" i="6"/>
  <c r="H152" i="6"/>
  <c r="H153" i="6"/>
  <c r="H154" i="6"/>
  <c r="H159" i="6"/>
  <c r="H160" i="6"/>
  <c r="H161" i="6"/>
  <c r="H166" i="6"/>
  <c r="H167" i="6"/>
  <c r="H168" i="6"/>
  <c r="H173" i="6"/>
  <c r="H174" i="6"/>
  <c r="H175" i="6"/>
  <c r="H180" i="6"/>
  <c r="H181" i="6"/>
  <c r="H182" i="6"/>
  <c r="H187" i="6"/>
  <c r="H188" i="6"/>
  <c r="H189" i="6"/>
  <c r="H194" i="6"/>
  <c r="H195" i="6"/>
  <c r="H196" i="6"/>
  <c r="H201" i="6"/>
  <c r="H202" i="6"/>
  <c r="H203" i="6"/>
  <c r="H208" i="6"/>
  <c r="H209" i="6"/>
  <c r="H210" i="6"/>
  <c r="H215" i="6"/>
  <c r="H216" i="6"/>
  <c r="H217" i="6"/>
  <c r="H222" i="6"/>
  <c r="H223" i="6"/>
  <c r="H224" i="6"/>
  <c r="H229" i="6"/>
  <c r="H230" i="6"/>
  <c r="H231" i="6"/>
  <c r="H236" i="6"/>
  <c r="H237" i="6"/>
  <c r="H238" i="6"/>
  <c r="C46" i="6" l="1"/>
  <c r="H46" i="6" s="1"/>
  <c r="C45" i="6"/>
  <c r="H45" i="6" s="1"/>
  <c r="C44" i="6"/>
  <c r="H44" i="6" s="1"/>
  <c r="C43" i="6"/>
  <c r="H43" i="6" s="1"/>
  <c r="C39" i="6"/>
  <c r="H39" i="6" s="1"/>
  <c r="C38" i="6"/>
  <c r="H38" i="6" s="1"/>
  <c r="C37" i="6"/>
  <c r="H37" i="6" s="1"/>
  <c r="C36" i="6"/>
  <c r="H36" i="6" s="1"/>
  <c r="A72" i="6" l="1"/>
  <c r="H72" i="6" s="1"/>
  <c r="A68" i="6"/>
  <c r="A82" i="6" s="1"/>
  <c r="A96" i="6" s="1"/>
  <c r="A110" i="6" s="1"/>
  <c r="A124" i="6" s="1"/>
  <c r="A138" i="6" s="1"/>
  <c r="A152" i="6" s="1"/>
  <c r="A166" i="6" s="1"/>
  <c r="A180" i="6" s="1"/>
  <c r="A194" i="6" s="1"/>
  <c r="A208" i="6" s="1"/>
  <c r="A222" i="6" s="1"/>
  <c r="A236" i="6" s="1"/>
  <c r="A64" i="6"/>
  <c r="H64" i="6" s="1"/>
  <c r="A48" i="6"/>
  <c r="A62" i="6" s="1"/>
  <c r="A76" i="6" s="1"/>
  <c r="A90" i="6" s="1"/>
  <c r="A104" i="6" s="1"/>
  <c r="A118" i="6" s="1"/>
  <c r="A132" i="6" s="1"/>
  <c r="A146" i="6" s="1"/>
  <c r="A160" i="6" s="1"/>
  <c r="A174" i="6" s="1"/>
  <c r="A188" i="6" s="1"/>
  <c r="A202" i="6" s="1"/>
  <c r="A216" i="6" s="1"/>
  <c r="A230" i="6" s="1"/>
  <c r="A49" i="6"/>
  <c r="A63" i="6" s="1"/>
  <c r="A77" i="6" s="1"/>
  <c r="A91" i="6" s="1"/>
  <c r="A105" i="6" s="1"/>
  <c r="A119" i="6" s="1"/>
  <c r="A133" i="6" s="1"/>
  <c r="A147" i="6" s="1"/>
  <c r="A161" i="6" s="1"/>
  <c r="A175" i="6" s="1"/>
  <c r="A189" i="6" s="1"/>
  <c r="A203" i="6" s="1"/>
  <c r="A217" i="6" s="1"/>
  <c r="A231" i="6" s="1"/>
  <c r="A50" i="6"/>
  <c r="H50" i="6" s="1"/>
  <c r="A51" i="6"/>
  <c r="H51" i="6" s="1"/>
  <c r="A52" i="6"/>
  <c r="H52" i="6" s="1"/>
  <c r="A53" i="6"/>
  <c r="H53" i="6" s="1"/>
  <c r="A54" i="6"/>
  <c r="A55" i="6"/>
  <c r="A69" i="6" s="1"/>
  <c r="A83" i="6" s="1"/>
  <c r="A97" i="6" s="1"/>
  <c r="A111" i="6" s="1"/>
  <c r="A125" i="6" s="1"/>
  <c r="A139" i="6" s="1"/>
  <c r="A153" i="6" s="1"/>
  <c r="A167" i="6" s="1"/>
  <c r="A181" i="6" s="1"/>
  <c r="A195" i="6" s="1"/>
  <c r="A209" i="6" s="1"/>
  <c r="A223" i="6" s="1"/>
  <c r="A237" i="6" s="1"/>
  <c r="A56" i="6"/>
  <c r="A70" i="6" s="1"/>
  <c r="A84" i="6" s="1"/>
  <c r="A98" i="6" s="1"/>
  <c r="A112" i="6" s="1"/>
  <c r="A126" i="6" s="1"/>
  <c r="A140" i="6" s="1"/>
  <c r="A154" i="6" s="1"/>
  <c r="A168" i="6" s="1"/>
  <c r="A182" i="6" s="1"/>
  <c r="A196" i="6" s="1"/>
  <c r="A210" i="6" s="1"/>
  <c r="A224" i="6" s="1"/>
  <c r="A238" i="6" s="1"/>
  <c r="A57" i="6"/>
  <c r="H57" i="6" s="1"/>
  <c r="A58" i="6"/>
  <c r="H58" i="6" s="1"/>
  <c r="A59" i="6"/>
  <c r="H59" i="6" s="1"/>
  <c r="A60" i="6"/>
  <c r="H60" i="6" s="1"/>
  <c r="A47" i="6"/>
  <c r="A61" i="6" s="1"/>
  <c r="A75" i="6" s="1"/>
  <c r="A89" i="6" s="1"/>
  <c r="A103" i="6" s="1"/>
  <c r="A117" i="6" s="1"/>
  <c r="A131" i="6" s="1"/>
  <c r="A145" i="6" s="1"/>
  <c r="A159" i="6" s="1"/>
  <c r="A173" i="6" s="1"/>
  <c r="A187" i="6" s="1"/>
  <c r="A201" i="6" s="1"/>
  <c r="A215" i="6" s="1"/>
  <c r="A229" i="6" s="1"/>
  <c r="A67" i="6" l="1"/>
  <c r="A71" i="6"/>
  <c r="A65" i="6"/>
  <c r="A73" i="6"/>
  <c r="A66" i="6"/>
  <c r="A74" i="6"/>
  <c r="A78" i="6"/>
  <c r="A86" i="6"/>
  <c r="H66" i="6" l="1"/>
  <c r="A80" i="6"/>
  <c r="H67" i="6"/>
  <c r="A81" i="6"/>
  <c r="H86" i="6"/>
  <c r="A100" i="6"/>
  <c r="H73" i="6"/>
  <c r="A87" i="6"/>
  <c r="H78" i="6"/>
  <c r="A92" i="6"/>
  <c r="H65" i="6"/>
  <c r="A79" i="6"/>
  <c r="H74" i="6"/>
  <c r="A88" i="6"/>
  <c r="H71" i="6"/>
  <c r="A85" i="6"/>
  <c r="H88" i="6" l="1"/>
  <c r="A102" i="6"/>
  <c r="H85" i="6"/>
  <c r="A99" i="6"/>
  <c r="H79" i="6"/>
  <c r="A93" i="6"/>
  <c r="H87" i="6"/>
  <c r="A101" i="6"/>
  <c r="H81" i="6"/>
  <c r="A95" i="6"/>
  <c r="H92" i="6"/>
  <c r="A106" i="6"/>
  <c r="H80" i="6"/>
  <c r="A94" i="6"/>
  <c r="H100" i="6"/>
  <c r="A114" i="6"/>
  <c r="H95" i="6" l="1"/>
  <c r="A109" i="6"/>
  <c r="H93" i="6"/>
  <c r="A107" i="6"/>
  <c r="H102" i="6"/>
  <c r="A116" i="6"/>
  <c r="H114" i="6"/>
  <c r="A128" i="6"/>
  <c r="H106" i="6"/>
  <c r="A120" i="6"/>
  <c r="H101" i="6"/>
  <c r="A115" i="6"/>
  <c r="H99" i="6"/>
  <c r="A113" i="6"/>
  <c r="H94" i="6"/>
  <c r="A108" i="6"/>
  <c r="H108" i="6" l="1"/>
  <c r="A122" i="6"/>
  <c r="H115" i="6"/>
  <c r="A129" i="6"/>
  <c r="H128" i="6"/>
  <c r="A142" i="6"/>
  <c r="H107" i="6"/>
  <c r="A121" i="6"/>
  <c r="H113" i="6"/>
  <c r="A127" i="6"/>
  <c r="H120" i="6"/>
  <c r="A134" i="6"/>
  <c r="H116" i="6"/>
  <c r="A130" i="6"/>
  <c r="H109" i="6"/>
  <c r="A123" i="6"/>
  <c r="H142" i="6" l="1"/>
  <c r="A156" i="6"/>
  <c r="H123" i="6"/>
  <c r="A137" i="6"/>
  <c r="H134" i="6"/>
  <c r="A148" i="6"/>
  <c r="H121" i="6"/>
  <c r="A135" i="6"/>
  <c r="H129" i="6"/>
  <c r="A143" i="6"/>
  <c r="H122" i="6"/>
  <c r="A136" i="6"/>
  <c r="H130" i="6"/>
  <c r="A144" i="6"/>
  <c r="H127" i="6"/>
  <c r="A141" i="6"/>
  <c r="H144" i="6" l="1"/>
  <c r="A158" i="6"/>
  <c r="H148" i="6"/>
  <c r="A162" i="6"/>
  <c r="H156" i="6"/>
  <c r="A170" i="6"/>
  <c r="H141" i="6"/>
  <c r="A155" i="6"/>
  <c r="H136" i="6"/>
  <c r="A150" i="6"/>
  <c r="H135" i="6"/>
  <c r="A149" i="6"/>
  <c r="H137" i="6"/>
  <c r="A151" i="6"/>
  <c r="H143" i="6"/>
  <c r="A157" i="6"/>
  <c r="H150" i="6" l="1"/>
  <c r="A164" i="6"/>
  <c r="H157" i="6"/>
  <c r="A171" i="6"/>
  <c r="H149" i="6"/>
  <c r="A163" i="6"/>
  <c r="H155" i="6"/>
  <c r="A169" i="6"/>
  <c r="H162" i="6"/>
  <c r="A176" i="6"/>
  <c r="H151" i="6"/>
  <c r="A165" i="6"/>
  <c r="H170" i="6"/>
  <c r="A184" i="6"/>
  <c r="H158" i="6"/>
  <c r="A172" i="6"/>
  <c r="H172" i="6" l="1"/>
  <c r="A186" i="6"/>
  <c r="H165" i="6"/>
  <c r="A179" i="6"/>
  <c r="H169" i="6"/>
  <c r="A183" i="6"/>
  <c r="H171" i="6"/>
  <c r="A185" i="6"/>
  <c r="H184" i="6"/>
  <c r="A198" i="6"/>
  <c r="H176" i="6"/>
  <c r="A190" i="6"/>
  <c r="H163" i="6"/>
  <c r="A177" i="6"/>
  <c r="H164" i="6"/>
  <c r="A178" i="6"/>
  <c r="H178" i="6" l="1"/>
  <c r="A192" i="6"/>
  <c r="H190" i="6"/>
  <c r="A204" i="6"/>
  <c r="H185" i="6"/>
  <c r="A199" i="6"/>
  <c r="H179" i="6"/>
  <c r="A193" i="6"/>
  <c r="H177" i="6"/>
  <c r="A191" i="6"/>
  <c r="H198" i="6"/>
  <c r="A212" i="6"/>
  <c r="H183" i="6"/>
  <c r="A197" i="6"/>
  <c r="H186" i="6"/>
  <c r="A200" i="6"/>
  <c r="H197" i="6" l="1"/>
  <c r="A211" i="6"/>
  <c r="H191" i="6"/>
  <c r="A205" i="6"/>
  <c r="H199" i="6"/>
  <c r="A213" i="6"/>
  <c r="H192" i="6"/>
  <c r="A206" i="6"/>
  <c r="H200" i="6"/>
  <c r="A214" i="6"/>
  <c r="H212" i="6"/>
  <c r="A226" i="6"/>
  <c r="H193" i="6"/>
  <c r="A207" i="6"/>
  <c r="H204" i="6"/>
  <c r="A218" i="6"/>
  <c r="H218" i="6" l="1"/>
  <c r="A232" i="6"/>
  <c r="H232" i="6" s="1"/>
  <c r="H226" i="6"/>
  <c r="A240" i="6"/>
  <c r="H240" i="6" s="1"/>
  <c r="H206" i="6"/>
  <c r="A220" i="6"/>
  <c r="H205" i="6"/>
  <c r="A219" i="6"/>
  <c r="H207" i="6"/>
  <c r="A221" i="6"/>
  <c r="H214" i="6"/>
  <c r="A228" i="6"/>
  <c r="H213" i="6"/>
  <c r="A227" i="6"/>
  <c r="H211" i="6"/>
  <c r="A225" i="6"/>
  <c r="H227" i="6" l="1"/>
  <c r="A241" i="6"/>
  <c r="H241" i="6" s="1"/>
  <c r="H221" i="6"/>
  <c r="A235" i="6"/>
  <c r="H235" i="6" s="1"/>
  <c r="H220" i="6"/>
  <c r="A234" i="6"/>
  <c r="H234" i="6" s="1"/>
  <c r="H225" i="6"/>
  <c r="A239" i="6"/>
  <c r="H239" i="6" s="1"/>
  <c r="H228" i="6"/>
  <c r="A242" i="6"/>
  <c r="H242" i="6" s="1"/>
  <c r="H219" i="6"/>
  <c r="A233" i="6"/>
  <c r="H233" i="6" s="1"/>
</calcChain>
</file>

<file path=xl/sharedStrings.xml><?xml version="1.0" encoding="utf-8"?>
<sst xmlns="http://schemas.openxmlformats.org/spreadsheetml/2006/main" count="184" uniqueCount="81">
  <si>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</si>
  <si>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</si>
  <si>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</si>
  <si>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</si>
  <si>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</si>
  <si>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</si>
  <si>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</si>
  <si>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</si>
  <si>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</si>
  <si>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</si>
  <si>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ai_cfg——ai表，ai相关参数配置。</t>
  </si>
  <si>
    <t>users_cfg——角色相关参数配置。</t>
  </si>
  <si>
    <t>int</t>
  </si>
  <si>
    <t>string</t>
  </si>
  <si>
    <t>drawtype</t>
  </si>
  <si>
    <t>item</t>
  </si>
  <si>
    <t>大奖类型</t>
  </si>
  <si>
    <t>item_id</t>
  </si>
  <si>
    <t>item_count</t>
  </si>
  <si>
    <t>item_probability</t>
  </si>
  <si>
    <t>unexport</t>
  </si>
  <si>
    <t>奖励编号</t>
  </si>
  <si>
    <t>道具ID</t>
  </si>
  <si>
    <t>道具数量</t>
  </si>
  <si>
    <t>道具概率</t>
  </si>
  <si>
    <t>列1</t>
  </si>
  <si>
    <t>i002</t>
  </si>
  <si>
    <t>i015</t>
    <phoneticPr fontId="4" type="noConversion"/>
  </si>
  <si>
    <t>i016</t>
  </si>
  <si>
    <t>i017</t>
  </si>
  <si>
    <t>i213</t>
    <phoneticPr fontId="4" type="noConversion"/>
  </si>
  <si>
    <t>1. 捕获x鱼y条，如果x为0则为任意鱼</t>
  </si>
  <si>
    <t>2. 使用x技能y次，如果x为0则为任意技能</t>
  </si>
  <si>
    <t>3. 角色等级x级</t>
  </si>
  <si>
    <t>4. 解锁炮台x倍</t>
  </si>
  <si>
    <t>5. 利用x鱼炸死y条其他鱼</t>
  </si>
  <si>
    <t>6. 获得炮台皮肤x个</t>
  </si>
  <si>
    <t>7. 单次开炮捕获鱼x条</t>
  </si>
  <si>
    <t>8. 单次开炮获得金币x</t>
  </si>
  <si>
    <t>9. 累计获得金币x</t>
  </si>
  <si>
    <t>10. 累计消耗钻石x</t>
  </si>
  <si>
    <t>11. 累计消耗金币x</t>
  </si>
  <si>
    <t>12. 分享x次</t>
  </si>
  <si>
    <t>13. 累计登录x天</t>
  </si>
  <si>
    <t>14. 获得排位x阶段位y次</t>
  </si>
  <si>
    <t>15. 成为VIPx</t>
  </si>
  <si>
    <t>16. 达成龙宫x星y次</t>
  </si>
  <si>
    <t>17. 获得x点成就点</t>
  </si>
  <si>
    <t>notice</t>
    <phoneticPr fontId="4" type="noConversion"/>
  </si>
  <si>
    <t>int</t>
    <phoneticPr fontId="4" type="noConversion"/>
  </si>
  <si>
    <t>是否公告</t>
    <phoneticPr fontId="4" type="noConversion"/>
  </si>
  <si>
    <t>18. 购买x次金币</t>
    <phoneticPr fontId="5" type="noConversion"/>
  </si>
  <si>
    <t>19. 充值x钻石，如果是每日充值参数1填1</t>
    <phoneticPr fontId="5" type="noConversion"/>
  </si>
  <si>
    <t>20. 参与保卫女神x次</t>
    <phoneticPr fontId="5" type="noConversion"/>
  </si>
  <si>
    <t>21. 放养x次鱼</t>
    <phoneticPr fontId="5" type="noConversion"/>
  </si>
  <si>
    <t>22. 保卫女神最高闯过x关</t>
    <phoneticPr fontId="5" type="noConversion"/>
  </si>
  <si>
    <t>23. 宠物鱼总等级x级</t>
    <phoneticPr fontId="5" type="noConversion"/>
  </si>
  <si>
    <t>24. 解锁x个女神</t>
    <phoneticPr fontId="5" type="noConversion"/>
  </si>
  <si>
    <t>25. 在x小游戏中获得y分（0接金币，1河豚）</t>
    <phoneticPr fontId="5" type="noConversion"/>
  </si>
  <si>
    <t>26. 金币大于等于xx,金币排名小于等于x名</t>
    <phoneticPr fontId="5" type="noConversion"/>
  </si>
  <si>
    <t>i220</t>
    <phoneticPr fontId="4" type="noConversion"/>
  </si>
  <si>
    <t>27. 排位赛获得最强王者段位</t>
    <phoneticPr fontId="5" type="noConversion"/>
  </si>
  <si>
    <t>28. 排位赛获得x次胜利</t>
    <phoneticPr fontId="5" type="noConversion"/>
  </si>
  <si>
    <t>29. 排位赛段位大于等于x</t>
    <phoneticPr fontId="5" type="noConversion"/>
  </si>
  <si>
    <t>i240</t>
    <phoneticPr fontId="4" type="noConversion"/>
  </si>
  <si>
    <t>i400</t>
  </si>
  <si>
    <t>i400</t>
    <phoneticPr fontId="4" type="noConversion"/>
  </si>
  <si>
    <t>i006</t>
    <phoneticPr fontId="4" type="noConversion"/>
  </si>
  <si>
    <t>i212</t>
    <phoneticPr fontId="4" type="noConversion"/>
  </si>
  <si>
    <t>i211</t>
    <phoneticPr fontId="4" type="noConversion"/>
  </si>
  <si>
    <t>i210</t>
    <phoneticPr fontId="4" type="noConversion"/>
  </si>
  <si>
    <t>i500</t>
    <phoneticPr fontId="4" type="noConversion"/>
  </si>
  <si>
    <t>i240</t>
    <phoneticPr fontId="4" type="noConversion"/>
  </si>
  <si>
    <t>i213</t>
    <phoneticPr fontId="4" type="noConversion"/>
  </si>
  <si>
    <t>i214</t>
    <phoneticPr fontId="4" type="noConversion"/>
  </si>
  <si>
    <t>显示概率</t>
    <phoneticPr fontId="4" type="noConversion"/>
  </si>
  <si>
    <t>int</t>
    <phoneticPr fontId="4" type="noConversion"/>
  </si>
  <si>
    <t>showratio</t>
    <phoneticPr fontId="4" type="noConversion"/>
  </si>
  <si>
    <t>ALL</t>
    <phoneticPr fontId="5" type="noConversion"/>
  </si>
  <si>
    <t>int</t>
    <phoneticPr fontId="5" type="noConversion"/>
  </si>
  <si>
    <t>i007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</si>
</sst>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27">
    <xf numFmtId="0" fontId="0" fillId="0" borderId="0" xfId="0" applyAlignment="1"/>
    <xf numFmtId="0" fontId="0" fillId="0" borderId="0" xfId="0" applyFont="1">
      <alignment vertical="center"/>
    </xf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/>
    <xf numFmtId="49" fontId="1" fillId="3" borderId="2" xfId="0" applyNumberFormat="1" applyFont="1" applyFill="1" applyBorder="1" applyAlignment="1">
      <alignment horizontal="center" vertical="center"/>
    </xf>
    <xf numFmtId="0" fontId="0" fillId="0" borderId="3" xfId="0" applyBorder="1">
      <alignment vertical="center"/>
    </xf>
    <xf numFmtId="49" fontId="1" fillId="2" borderId="1" xfId="0" applyNumberFormat="1" applyFont="1" applyFill="1" applyBorder="1" applyAlignment="1">
      <alignment horizontal="center"/>
    </xf>
    <xf numFmtId="0" fontId="1" fillId="4" borderId="1" xfId="0" applyFont="1" applyFill="1" applyBorder="1" applyAlignment="1" applyProtection="1">
      <alignment horizontal="center"/>
    </xf>
    <xf numFmtId="0" fontId="1" fillId="5" borderId="4" xfId="0" applyNumberFormat="1" applyFont="1" applyFill="1" applyBorder="1" applyAlignment="1">
      <alignment horizontal="center" vertical="center"/>
    </xf>
    <xf numFmtId="0" fontId="0" fillId="0" borderId="0" xfId="0" applyNumberFormat="1" applyAlignment="1"/>
    <xf numFmtId="0" fontId="3" fillId="0" borderId="0" xfId="1" applyNumberFormat="1" applyAlignment="1"/>
    <xf numFmtId="0" fontId="3" fillId="0" borderId="0" xfId="0" applyFont="1">
      <alignment vertical="center"/>
    </xf>
    <xf numFmtId="0" fontId="3" fillId="0" borderId="0" xfId="1" applyAlignment="1"/>
    <xf numFmtId="0" fontId="0" fillId="0" borderId="0" xfId="0" applyNumberFormat="1">
      <alignment vertical="center"/>
    </xf>
    <xf numFmtId="0" fontId="6" fillId="6" borderId="0" xfId="0" applyFont="1" applyFill="1" applyAlignment="1">
      <alignment vertical="center" wrapText="1"/>
    </xf>
    <xf numFmtId="0" fontId="6" fillId="6" borderId="0" xfId="0" applyFont="1" applyFill="1" applyAlignment="1">
      <alignment vertical="center"/>
    </xf>
    <xf numFmtId="0" fontId="6" fillId="6" borderId="0" xfId="0" applyFont="1" applyFill="1" applyAlignment="1">
      <alignment horizontal="center" vertical="center"/>
    </xf>
    <xf numFmtId="49" fontId="7" fillId="7" borderId="1" xfId="1" applyNumberFormat="1" applyFont="1" applyFill="1" applyBorder="1" applyAlignment="1">
      <alignment horizontal="right"/>
    </xf>
    <xf numFmtId="49" fontId="7" fillId="7" borderId="1" xfId="1" applyNumberFormat="1" applyFont="1" applyFill="1" applyBorder="1" applyAlignment="1">
      <alignment horizontal="center"/>
    </xf>
    <xf numFmtId="0" fontId="6" fillId="7" borderId="1" xfId="0" applyFont="1" applyFill="1" applyBorder="1" applyAlignment="1">
      <alignment vertical="center"/>
    </xf>
    <xf numFmtId="49" fontId="7" fillId="8" borderId="1" xfId="0" applyNumberFormat="1" applyFont="1" applyFill="1" applyBorder="1" applyAlignment="1">
      <alignment horizontal="right" vertical="center"/>
    </xf>
    <xf numFmtId="49" fontId="7" fillId="8" borderId="1" xfId="0" applyNumberFormat="1" applyFont="1" applyFill="1" applyBorder="1" applyAlignment="1">
      <alignment horizontal="center" vertical="center"/>
    </xf>
    <xf numFmtId="0" fontId="6" fillId="8" borderId="1" xfId="0" applyFont="1" applyFill="1" applyBorder="1" applyAlignment="1">
      <alignment vertical="center"/>
    </xf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0" fillId="0" borderId="0" xfId="0" applyNumberFormat="1" applyAlignment="1"/>
  </cellXfs>
  <cellStyles count="2">
    <cellStyle name="常规" xfId="0" builtinId="0"/>
    <cellStyle name="常规 2" xfId="1" xr:uid="{00000000-0005-0000-0000-000001000000}"/>
  </cellStyles>
  <dxfs count="1">
    <dxf>
      <numFmt numFmtId="0" formatCode="General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F23D4113-1478-4A56-B651-61B7C7B140E7}"/>
            </a:ext>
          </a:extLst>
        </xdr:cNvPr>
        <xdr:cNvSpPr/>
      </xdr:nvSpPr>
      <xdr:spPr>
        <a:xfrm>
          <a:off x="0" y="0"/>
          <a:ext cx="285750" cy="4572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tem_ite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cription"/>
      <sheetName val="ALL"/>
    </sheetNames>
    <sheetDataSet>
      <sheetData sheetId="0"/>
      <sheetData sheetId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表2" displayName="表2" ref="A4:H242" totalsRowShown="0">
  <autoFilter ref="A4:H242" xr:uid="{00000000-0009-0000-0100-000001000000}"/>
  <sortState ref="A5:H32">
    <sortCondition ref="A14"/>
  </sortState>
  <tableColumns count="8">
    <tableColumn id="1" xr3:uid="{00000000-0010-0000-0200-000001000000}" name="大奖类型"/>
    <tableColumn id="2" xr3:uid="{00000000-0010-0000-0200-000002000000}" name="奖励编号"/>
    <tableColumn id="3" xr3:uid="{00000000-0010-0000-0200-000003000000}" name="道具ID"/>
    <tableColumn id="4" xr3:uid="{00000000-0010-0000-0200-000004000000}" name="道具数量"/>
    <tableColumn id="5" xr3:uid="{00000000-0010-0000-0200-000005000000}" name="道具概率"/>
    <tableColumn id="8" xr3:uid="{A3A78595-F49E-4B28-9ABC-6A009E6E0300}" name="显示概率"/>
    <tableColumn id="7" xr3:uid="{00000000-0010-0000-0200-000007000000}" name="是否公告"/>
    <tableColumn id="6" xr3:uid="{00000000-0010-0000-0200-000006000000}" name="列1" dataDxfId="0">
      <calculatedColumnFormula>VLOOKUP(表2[[#This Row],[道具ID]],[1]!表1[[key值]:[名称]],12,FALSE)</calculatedColumnFormula>
    </tableColumn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5"/>
  <sheetViews>
    <sheetView topLeftCell="A7" workbookViewId="0">
      <selection activeCell="B37" sqref="B37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7" t="s">
        <v>0</v>
      </c>
      <c r="B1" t="s">
        <v>1</v>
      </c>
    </row>
    <row r="2" spans="1:2" ht="16.5" x14ac:dyDescent="0.15">
      <c r="A2" s="5" t="s">
        <v>2</v>
      </c>
      <c r="B2" t="s">
        <v>3</v>
      </c>
    </row>
    <row r="3" spans="1:2" ht="16.5" x14ac:dyDescent="0.3">
      <c r="A3" s="8" t="s">
        <v>4</v>
      </c>
      <c r="B3" t="s">
        <v>5</v>
      </c>
    </row>
    <row r="4" spans="1:2" ht="16.5" x14ac:dyDescent="0.15">
      <c r="A4" s="9" t="s">
        <v>6</v>
      </c>
      <c r="B4" t="s">
        <v>7</v>
      </c>
    </row>
    <row r="6" spans="1:2" x14ac:dyDescent="0.15">
      <c r="A6" s="24" t="s">
        <v>8</v>
      </c>
      <c r="B6" s="25"/>
    </row>
    <row r="7" spans="1:2" x14ac:dyDescent="0.15">
      <c r="A7" s="25"/>
      <c r="B7" s="25"/>
    </row>
    <row r="8" spans="1:2" x14ac:dyDescent="0.15">
      <c r="A8" s="25"/>
      <c r="B8" s="25"/>
    </row>
    <row r="9" spans="1:2" x14ac:dyDescent="0.15">
      <c r="A9" s="25"/>
      <c r="B9" s="25"/>
    </row>
    <row r="10" spans="1:2" x14ac:dyDescent="0.15">
      <c r="A10" s="25"/>
      <c r="B10" s="25"/>
    </row>
    <row r="11" spans="1:2" x14ac:dyDescent="0.15">
      <c r="A11" s="25"/>
      <c r="B11" s="25"/>
    </row>
    <row r="12" spans="1:2" x14ac:dyDescent="0.15">
      <c r="A12" s="25"/>
      <c r="B12" s="25"/>
    </row>
    <row r="13" spans="1:2" x14ac:dyDescent="0.15">
      <c r="A13" s="25"/>
      <c r="B13" s="25"/>
    </row>
    <row r="14" spans="1:2" x14ac:dyDescent="0.15">
      <c r="A14" s="25"/>
      <c r="B14" s="25"/>
    </row>
    <row r="15" spans="1:2" x14ac:dyDescent="0.15">
      <c r="A15" s="25"/>
      <c r="B15" s="25"/>
    </row>
    <row r="16" spans="1:2" ht="13.15" customHeight="1" x14ac:dyDescent="0.15">
      <c r="A16" s="25"/>
      <c r="B16" s="25"/>
    </row>
    <row r="17" spans="1:2" ht="4.1500000000000004" customHeight="1" x14ac:dyDescent="0.15">
      <c r="A17" s="25"/>
      <c r="B17" s="25"/>
    </row>
    <row r="18" spans="1:2" hidden="1" x14ac:dyDescent="0.15">
      <c r="A18" s="25"/>
      <c r="B18" s="25"/>
    </row>
    <row r="19" spans="1:2" hidden="1" x14ac:dyDescent="0.15">
      <c r="A19" s="25"/>
      <c r="B19" s="25"/>
    </row>
    <row r="20" spans="1:2" hidden="1" x14ac:dyDescent="0.15">
      <c r="A20" s="25"/>
      <c r="B20" s="25"/>
    </row>
    <row r="21" spans="1:2" ht="22.9" customHeight="1" x14ac:dyDescent="0.15">
      <c r="A21" s="25"/>
      <c r="B21" s="25"/>
    </row>
    <row r="22" spans="1:2" ht="45" customHeight="1" x14ac:dyDescent="0.15">
      <c r="A22" s="25"/>
      <c r="B22" s="25"/>
    </row>
    <row r="23" spans="1:2" ht="51" hidden="1" customHeight="1" x14ac:dyDescent="0.15">
      <c r="A23" s="25"/>
      <c r="B23" s="25"/>
    </row>
    <row r="24" spans="1:2" x14ac:dyDescent="0.15">
      <c r="A24" s="26" t="s">
        <v>9</v>
      </c>
      <c r="B24" s="26"/>
    </row>
    <row r="25" spans="1:2" x14ac:dyDescent="0.15">
      <c r="A25" s="26" t="s">
        <v>10</v>
      </c>
      <c r="B25" s="26"/>
    </row>
    <row r="26" spans="1:2" x14ac:dyDescent="0.15">
      <c r="A26" s="26" t="s">
        <v>11</v>
      </c>
      <c r="B26" s="26"/>
    </row>
    <row r="27" spans="1:2" x14ac:dyDescent="0.15">
      <c r="A27" s="10"/>
      <c r="B27" s="11" t="s">
        <v>31</v>
      </c>
    </row>
    <row r="28" spans="1:2" x14ac:dyDescent="0.15">
      <c r="A28" s="10"/>
      <c r="B28" s="11" t="s">
        <v>32</v>
      </c>
    </row>
    <row r="29" spans="1:2" x14ac:dyDescent="0.15">
      <c r="A29" s="10"/>
      <c r="B29" s="11" t="s">
        <v>33</v>
      </c>
    </row>
    <row r="30" spans="1:2" x14ac:dyDescent="0.15">
      <c r="A30" s="10"/>
      <c r="B30" s="11" t="s">
        <v>34</v>
      </c>
    </row>
    <row r="31" spans="1:2" x14ac:dyDescent="0.15">
      <c r="A31" s="10"/>
      <c r="B31" s="11" t="s">
        <v>35</v>
      </c>
    </row>
    <row r="32" spans="1:2" x14ac:dyDescent="0.15">
      <c r="A32" s="10"/>
      <c r="B32" s="11" t="s">
        <v>36</v>
      </c>
    </row>
    <row r="33" spans="1:2" x14ac:dyDescent="0.15">
      <c r="A33" s="10"/>
      <c r="B33" s="11" t="s">
        <v>37</v>
      </c>
    </row>
    <row r="34" spans="1:2" x14ac:dyDescent="0.15">
      <c r="A34" s="10"/>
      <c r="B34" s="11" t="s">
        <v>38</v>
      </c>
    </row>
    <row r="35" spans="1:2" x14ac:dyDescent="0.15">
      <c r="A35" s="10"/>
      <c r="B35" s="11" t="s">
        <v>39</v>
      </c>
    </row>
    <row r="36" spans="1:2" x14ac:dyDescent="0.15">
      <c r="A36" s="10"/>
      <c r="B36" s="11" t="s">
        <v>40</v>
      </c>
    </row>
    <row r="37" spans="1:2" x14ac:dyDescent="0.15">
      <c r="A37" s="10"/>
      <c r="B37" s="11" t="s">
        <v>41</v>
      </c>
    </row>
    <row r="38" spans="1:2" x14ac:dyDescent="0.15">
      <c r="A38" s="10"/>
      <c r="B38" s="11" t="s">
        <v>42</v>
      </c>
    </row>
    <row r="39" spans="1:2" x14ac:dyDescent="0.15">
      <c r="A39" s="10"/>
      <c r="B39" s="11" t="s">
        <v>43</v>
      </c>
    </row>
    <row r="40" spans="1:2" x14ac:dyDescent="0.15">
      <c r="A40" s="10"/>
      <c r="B40" s="11" t="s">
        <v>44</v>
      </c>
    </row>
    <row r="41" spans="1:2" x14ac:dyDescent="0.15">
      <c r="A41" s="10"/>
      <c r="B41" s="11" t="s">
        <v>45</v>
      </c>
    </row>
    <row r="42" spans="1:2" x14ac:dyDescent="0.15">
      <c r="A42" s="10"/>
      <c r="B42" s="11" t="s">
        <v>46</v>
      </c>
    </row>
    <row r="43" spans="1:2" x14ac:dyDescent="0.15">
      <c r="A43" s="10"/>
      <c r="B43" s="11" t="s">
        <v>47</v>
      </c>
    </row>
    <row r="44" spans="1:2" x14ac:dyDescent="0.15">
      <c r="A44" s="10"/>
      <c r="B44" s="11" t="s">
        <v>51</v>
      </c>
    </row>
    <row r="45" spans="1:2" x14ac:dyDescent="0.15">
      <c r="A45" s="10"/>
      <c r="B45" s="11" t="s">
        <v>52</v>
      </c>
    </row>
    <row r="46" spans="1:2" x14ac:dyDescent="0.15">
      <c r="B46" s="11" t="s">
        <v>53</v>
      </c>
    </row>
    <row r="47" spans="1:2" x14ac:dyDescent="0.15">
      <c r="B47" s="11" t="s">
        <v>54</v>
      </c>
    </row>
    <row r="48" spans="1:2" x14ac:dyDescent="0.15">
      <c r="B48" s="11" t="s">
        <v>55</v>
      </c>
    </row>
    <row r="49" spans="2:2" x14ac:dyDescent="0.15">
      <c r="B49" s="11" t="s">
        <v>56</v>
      </c>
    </row>
    <row r="50" spans="2:2" x14ac:dyDescent="0.15">
      <c r="B50" s="11" t="s">
        <v>57</v>
      </c>
    </row>
    <row r="51" spans="2:2" x14ac:dyDescent="0.15">
      <c r="B51" s="11" t="s">
        <v>58</v>
      </c>
    </row>
    <row r="52" spans="2:2" x14ac:dyDescent="0.15">
      <c r="B52" s="13" t="s">
        <v>59</v>
      </c>
    </row>
    <row r="53" spans="2:2" x14ac:dyDescent="0.15">
      <c r="B53" s="13" t="s">
        <v>61</v>
      </c>
    </row>
    <row r="54" spans="2:2" x14ac:dyDescent="0.15">
      <c r="B54" s="13" t="s">
        <v>62</v>
      </c>
    </row>
    <row r="55" spans="2:2" x14ac:dyDescent="0.15">
      <c r="B55" s="13" t="s">
        <v>63</v>
      </c>
    </row>
  </sheetData>
  <mergeCells count="4">
    <mergeCell ref="A6:B23"/>
    <mergeCell ref="A24:B24"/>
    <mergeCell ref="A25:B25"/>
    <mergeCell ref="A26:B26"/>
  </mergeCells>
  <phoneticPr fontId="4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A242"/>
  <sheetViews>
    <sheetView tabSelected="1" workbookViewId="0">
      <selection activeCell="E21" sqref="E20:E21"/>
    </sheetView>
  </sheetViews>
  <sheetFormatPr defaultColWidth="9" defaultRowHeight="13.5" x14ac:dyDescent="0.15"/>
  <cols>
    <col min="1" max="1" width="12.625" customWidth="1"/>
    <col min="2" max="2" width="14.875" customWidth="1"/>
    <col min="3" max="3" width="10.25" customWidth="1"/>
    <col min="4" max="4" width="12.125" customWidth="1"/>
    <col min="5" max="7" width="17.5" customWidth="1"/>
    <col min="8" max="8" width="12.25" customWidth="1"/>
  </cols>
  <sheetData>
    <row r="1" spans="1:27" s="16" customFormat="1" ht="12" customHeight="1" x14ac:dyDescent="0.15">
      <c r="A1" s="15"/>
      <c r="B1" s="16" t="s">
        <v>78</v>
      </c>
      <c r="C1" s="15"/>
      <c r="X1" s="17"/>
    </row>
    <row r="2" spans="1:27" s="20" customFormat="1" ht="12" customHeight="1" x14ac:dyDescent="0.15">
      <c r="A2" s="18" t="s">
        <v>14</v>
      </c>
      <c r="B2" s="19" t="s">
        <v>15</v>
      </c>
      <c r="C2" s="19" t="s">
        <v>17</v>
      </c>
      <c r="D2" s="19" t="s">
        <v>18</v>
      </c>
      <c r="E2" s="19" t="s">
        <v>19</v>
      </c>
      <c r="F2" s="19" t="s">
        <v>77</v>
      </c>
      <c r="G2" s="19" t="s">
        <v>48</v>
      </c>
      <c r="H2" s="19" t="s">
        <v>20</v>
      </c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</row>
    <row r="3" spans="1:27" s="23" customFormat="1" ht="12" customHeight="1" x14ac:dyDescent="0.15">
      <c r="A3" s="21" t="s">
        <v>79</v>
      </c>
      <c r="B3" s="22" t="s">
        <v>49</v>
      </c>
      <c r="C3" s="22" t="s">
        <v>13</v>
      </c>
      <c r="D3" s="22" t="s">
        <v>12</v>
      </c>
      <c r="E3" s="22" t="s">
        <v>12</v>
      </c>
      <c r="F3" s="22" t="s">
        <v>76</v>
      </c>
      <c r="G3" s="22" t="s">
        <v>49</v>
      </c>
      <c r="H3" s="22" t="s">
        <v>20</v>
      </c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</row>
    <row r="4" spans="1:27" x14ac:dyDescent="0.15">
      <c r="A4" s="1" t="s">
        <v>16</v>
      </c>
      <c r="B4" s="1" t="s">
        <v>21</v>
      </c>
      <c r="C4" s="2" t="s">
        <v>22</v>
      </c>
      <c r="D4" s="2" t="s">
        <v>23</v>
      </c>
      <c r="E4" s="2" t="s">
        <v>24</v>
      </c>
      <c r="F4" s="12" t="s">
        <v>75</v>
      </c>
      <c r="G4" s="12" t="s">
        <v>50</v>
      </c>
      <c r="H4" s="6" t="s">
        <v>25</v>
      </c>
    </row>
    <row r="5" spans="1:27" x14ac:dyDescent="0.15">
      <c r="A5" s="2">
        <v>1</v>
      </c>
      <c r="B5" s="2">
        <v>1</v>
      </c>
      <c r="C5" s="3" t="s">
        <v>26</v>
      </c>
      <c r="D5">
        <v>1000</v>
      </c>
      <c r="E5">
        <v>1</v>
      </c>
      <c r="F5">
        <v>10</v>
      </c>
      <c r="G5">
        <v>1</v>
      </c>
      <c r="H5" s="2" t="str">
        <f>VLOOKUP(表2[[#This Row],[道具ID]],[1]!表1[[key值]:[名称]],12,FALSE)</f>
        <v>钻石</v>
      </c>
    </row>
    <row r="6" spans="1:27" x14ac:dyDescent="0.15">
      <c r="A6" s="2">
        <v>1</v>
      </c>
      <c r="B6" s="2">
        <v>2</v>
      </c>
      <c r="C6" s="3" t="s">
        <v>60</v>
      </c>
      <c r="D6" s="2">
        <v>5</v>
      </c>
      <c r="E6">
        <v>19000</v>
      </c>
      <c r="F6">
        <v>18000</v>
      </c>
      <c r="G6">
        <v>0</v>
      </c>
      <c r="H6" s="2" t="str">
        <f>VLOOKUP(表2[[#This Row],[道具ID]],[1]!表1[[key值]:[名称]],12,FALSE)</f>
        <v>随机技能包</v>
      </c>
    </row>
    <row r="7" spans="1:27" x14ac:dyDescent="0.15">
      <c r="A7" s="2">
        <v>1</v>
      </c>
      <c r="B7" s="2">
        <v>3</v>
      </c>
      <c r="C7" s="3" t="s">
        <v>27</v>
      </c>
      <c r="D7" s="2">
        <v>1</v>
      </c>
      <c r="E7">
        <v>16000</v>
      </c>
      <c r="F7">
        <v>16000</v>
      </c>
      <c r="G7">
        <v>1</v>
      </c>
      <c r="H7" s="2" t="str">
        <f>VLOOKUP(表2[[#This Row],[道具ID]],[1]!表1[[key值]:[名称]],12,FALSE)</f>
        <v>青铜弹头</v>
      </c>
    </row>
    <row r="8" spans="1:27" x14ac:dyDescent="0.15">
      <c r="A8" s="2">
        <v>1</v>
      </c>
      <c r="B8" s="2">
        <v>4</v>
      </c>
      <c r="C8" s="3" t="s">
        <v>28</v>
      </c>
      <c r="D8" s="2">
        <v>1</v>
      </c>
      <c r="E8">
        <v>5000</v>
      </c>
      <c r="F8">
        <v>5000</v>
      </c>
      <c r="G8">
        <v>1</v>
      </c>
      <c r="H8" s="2" t="str">
        <f>VLOOKUP(表2[[#This Row],[道具ID]],[1]!表1[[key值]:[名称]],12,FALSE)</f>
        <v>白银弹头</v>
      </c>
    </row>
    <row r="9" spans="1:27" x14ac:dyDescent="0.15">
      <c r="A9" s="2">
        <v>1</v>
      </c>
      <c r="B9" s="2">
        <v>5</v>
      </c>
      <c r="C9" s="3" t="s">
        <v>29</v>
      </c>
      <c r="D9" s="2">
        <v>1</v>
      </c>
      <c r="E9">
        <v>200</v>
      </c>
      <c r="F9">
        <v>200</v>
      </c>
      <c r="G9">
        <v>1</v>
      </c>
      <c r="H9" s="2" t="str">
        <f>VLOOKUP(表2[[#This Row],[道具ID]],[1]!表1[[key值]:[名称]],12,FALSE)</f>
        <v>黄金弹头</v>
      </c>
    </row>
    <row r="10" spans="1:27" x14ac:dyDescent="0.15">
      <c r="A10" s="2">
        <v>1</v>
      </c>
      <c r="B10" s="2">
        <v>6</v>
      </c>
      <c r="C10" s="4" t="s">
        <v>64</v>
      </c>
      <c r="D10" s="2">
        <v>5</v>
      </c>
      <c r="E10">
        <v>16919</v>
      </c>
      <c r="F10">
        <v>16690</v>
      </c>
      <c r="G10">
        <v>0</v>
      </c>
      <c r="H10" s="2" t="str">
        <f>VLOOKUP(表2[[#This Row],[道具ID]],[1]!表1[[key值]:[名称]],12,FALSE)</f>
        <v>锻造材料包</v>
      </c>
    </row>
    <row r="11" spans="1:27" x14ac:dyDescent="0.15">
      <c r="A11" s="2">
        <v>1</v>
      </c>
      <c r="B11" s="2">
        <v>7</v>
      </c>
      <c r="C11" s="4" t="s">
        <v>66</v>
      </c>
      <c r="D11" s="2">
        <v>1</v>
      </c>
      <c r="E11">
        <v>13330</v>
      </c>
      <c r="F11">
        <v>10000</v>
      </c>
      <c r="G11">
        <v>0</v>
      </c>
      <c r="H11" s="2" t="str">
        <f>VLOOKUP(表2[[#This Row],[道具ID]],[1]!表1[[key值]:[名称]],12,FALSE)</f>
        <v>鲜花</v>
      </c>
    </row>
    <row r="12" spans="1:27" x14ac:dyDescent="0.15">
      <c r="A12" s="2">
        <v>1</v>
      </c>
      <c r="B12" s="2">
        <v>8</v>
      </c>
      <c r="C12" s="4" t="s">
        <v>65</v>
      </c>
      <c r="D12" s="2">
        <v>10</v>
      </c>
      <c r="E12">
        <v>1000</v>
      </c>
      <c r="F12">
        <v>1000</v>
      </c>
      <c r="G12">
        <v>1</v>
      </c>
      <c r="H12" s="2" t="str">
        <f>VLOOKUP(表2[[#This Row],[道具ID]],[1]!表1[[key值]:[名称]],12,FALSE)</f>
        <v>鲜花</v>
      </c>
    </row>
    <row r="13" spans="1:27" x14ac:dyDescent="0.15">
      <c r="A13" s="2">
        <v>1</v>
      </c>
      <c r="B13" s="2">
        <v>9</v>
      </c>
      <c r="C13" s="4" t="s">
        <v>67</v>
      </c>
      <c r="D13" s="2">
        <v>1</v>
      </c>
      <c r="E13">
        <v>12000</v>
      </c>
      <c r="F13">
        <v>10000</v>
      </c>
      <c r="G13">
        <v>0</v>
      </c>
      <c r="H13" s="2" t="str">
        <f>VLOOKUP(表2[[#This Row],[道具ID]],[1]!表1[[key值]:[名称]],12,FALSE)</f>
        <v>小喇叭</v>
      </c>
    </row>
    <row r="14" spans="1:27" x14ac:dyDescent="0.15">
      <c r="A14" s="2">
        <v>1</v>
      </c>
      <c r="B14" s="2">
        <v>10</v>
      </c>
      <c r="C14" s="4" t="s">
        <v>67</v>
      </c>
      <c r="D14" s="2">
        <v>10</v>
      </c>
      <c r="E14">
        <v>1000</v>
      </c>
      <c r="F14">
        <v>1000</v>
      </c>
      <c r="G14">
        <v>1</v>
      </c>
      <c r="H14" s="2" t="str">
        <f>VLOOKUP(表2[[#This Row],[道具ID]],[1]!表1[[key值]:[名称]],12,FALSE)</f>
        <v>小喇叭</v>
      </c>
    </row>
    <row r="15" spans="1:27" x14ac:dyDescent="0.15">
      <c r="A15" s="2">
        <v>1</v>
      </c>
      <c r="B15" s="2">
        <v>11</v>
      </c>
      <c r="C15" s="3" t="s">
        <v>26</v>
      </c>
      <c r="D15">
        <v>1</v>
      </c>
      <c r="E15">
        <v>10000</v>
      </c>
      <c r="F15">
        <v>12000</v>
      </c>
      <c r="G15">
        <v>0</v>
      </c>
      <c r="H15" s="2" t="str">
        <f>VLOOKUP(表2[[#This Row],[道具ID]],[1]!表1[[key值]:[名称]],12,FALSE)</f>
        <v>钻石</v>
      </c>
    </row>
    <row r="16" spans="1:27" x14ac:dyDescent="0.15">
      <c r="A16" s="2">
        <v>1</v>
      </c>
      <c r="B16" s="2">
        <v>12</v>
      </c>
      <c r="C16" s="3" t="s">
        <v>26</v>
      </c>
      <c r="D16">
        <v>5</v>
      </c>
      <c r="E16">
        <v>5000</v>
      </c>
      <c r="F16">
        <v>9000</v>
      </c>
      <c r="G16">
        <v>0</v>
      </c>
      <c r="H16" s="2" t="str">
        <f>VLOOKUP(表2[[#This Row],[道具ID]],[1]!表1[[key值]:[名称]],12,FALSE)</f>
        <v>钻石</v>
      </c>
    </row>
    <row r="17" spans="1:8" x14ac:dyDescent="0.15">
      <c r="A17" s="2">
        <v>1</v>
      </c>
      <c r="B17" s="2">
        <v>13</v>
      </c>
      <c r="C17" s="3" t="s">
        <v>26</v>
      </c>
      <c r="D17">
        <v>10</v>
      </c>
      <c r="E17">
        <v>500</v>
      </c>
      <c r="F17">
        <v>1000</v>
      </c>
      <c r="G17">
        <v>1</v>
      </c>
      <c r="H17" s="2" t="str">
        <f>VLOOKUP(表2[[#This Row],[道具ID]],[1]!表1[[key值]:[名称]],12,FALSE)</f>
        <v>钻石</v>
      </c>
    </row>
    <row r="18" spans="1:8" x14ac:dyDescent="0.15">
      <c r="A18" s="2">
        <v>1</v>
      </c>
      <c r="B18" s="2">
        <v>14</v>
      </c>
      <c r="C18" s="3" t="s">
        <v>26</v>
      </c>
      <c r="D18">
        <v>100</v>
      </c>
      <c r="E18">
        <v>50</v>
      </c>
      <c r="F18">
        <v>100</v>
      </c>
      <c r="G18">
        <v>1</v>
      </c>
      <c r="H18" s="2" t="str">
        <f>VLOOKUP(表2[[#This Row],[道具ID]],[1]!表1[[key值]:[名称]],12,FALSE)</f>
        <v>钻石</v>
      </c>
    </row>
    <row r="19" spans="1:8" x14ac:dyDescent="0.15">
      <c r="A19" s="2">
        <v>2</v>
      </c>
      <c r="B19" s="2">
        <v>1</v>
      </c>
      <c r="C19" s="4" t="s">
        <v>68</v>
      </c>
      <c r="D19" s="2">
        <v>1</v>
      </c>
      <c r="E19">
        <v>200</v>
      </c>
      <c r="F19">
        <v>500</v>
      </c>
      <c r="G19" s="2">
        <v>1</v>
      </c>
      <c r="H19" s="2" t="str">
        <f>VLOOKUP(表2[[#This Row],[道具ID]],[1]!表1[[key值]:[名称]],12,FALSE)</f>
        <v>100万金币卡</v>
      </c>
    </row>
    <row r="20" spans="1:8" x14ac:dyDescent="0.15">
      <c r="A20" s="2">
        <v>2</v>
      </c>
      <c r="B20" s="2">
        <v>2</v>
      </c>
      <c r="C20" s="3" t="s">
        <v>69</v>
      </c>
      <c r="D20" s="2">
        <v>1</v>
      </c>
      <c r="E20">
        <v>12000</v>
      </c>
      <c r="F20">
        <v>12000</v>
      </c>
      <c r="G20">
        <v>0</v>
      </c>
      <c r="H20" s="2" t="str">
        <f>VLOOKUP(表2[[#This Row],[道具ID]],[1]!表1[[key值]:[名称]],12,FALSE)</f>
        <v>10万金币卡</v>
      </c>
    </row>
    <row r="21" spans="1:8" x14ac:dyDescent="0.15">
      <c r="A21" s="2">
        <v>2</v>
      </c>
      <c r="B21" s="2">
        <v>3</v>
      </c>
      <c r="C21" s="3" t="s">
        <v>70</v>
      </c>
      <c r="D21" s="2">
        <v>1</v>
      </c>
      <c r="E21">
        <v>3500</v>
      </c>
      <c r="F21">
        <v>2000</v>
      </c>
      <c r="G21">
        <v>0</v>
      </c>
      <c r="H21" s="2" t="str">
        <f>VLOOKUP(表2[[#This Row],[道具ID]],[1]!表1[[key值]:[名称]],12,FALSE)</f>
        <v>1万金币卡</v>
      </c>
    </row>
    <row r="22" spans="1:8" x14ac:dyDescent="0.15">
      <c r="A22" s="2">
        <v>2</v>
      </c>
      <c r="B22" s="2">
        <v>4</v>
      </c>
      <c r="C22" s="3" t="s">
        <v>71</v>
      </c>
      <c r="D22" s="2">
        <v>1</v>
      </c>
      <c r="E22">
        <v>10000</v>
      </c>
      <c r="F22">
        <v>10000</v>
      </c>
      <c r="G22" s="2">
        <v>1</v>
      </c>
      <c r="H22" s="2" t="str">
        <f>VLOOKUP(表2[[#This Row],[道具ID]],[1]!表1[[key值]:[名称]],12,FALSE)</f>
        <v>陨石精华</v>
      </c>
    </row>
    <row r="23" spans="1:8" x14ac:dyDescent="0.15">
      <c r="A23" s="2">
        <v>2</v>
      </c>
      <c r="B23" s="2">
        <v>5</v>
      </c>
      <c r="C23" s="3" t="s">
        <v>27</v>
      </c>
      <c r="D23" s="2">
        <v>1</v>
      </c>
      <c r="E23">
        <v>30000</v>
      </c>
      <c r="F23">
        <v>30000</v>
      </c>
      <c r="G23">
        <v>1</v>
      </c>
      <c r="H23" s="2" t="str">
        <f>VLOOKUP(表2[[#This Row],[道具ID]],[1]!表1[[key值]:[名称]],12,FALSE)</f>
        <v>青铜弹头</v>
      </c>
    </row>
    <row r="24" spans="1:8" x14ac:dyDescent="0.15">
      <c r="A24" s="2">
        <v>2</v>
      </c>
      <c r="B24" s="2">
        <v>6</v>
      </c>
      <c r="C24" s="3" t="s">
        <v>28</v>
      </c>
      <c r="D24" s="2">
        <v>1</v>
      </c>
      <c r="E24">
        <v>11000</v>
      </c>
      <c r="F24">
        <v>11000</v>
      </c>
      <c r="G24">
        <v>1</v>
      </c>
      <c r="H24" s="2" t="str">
        <f>VLOOKUP(表2[[#This Row],[道具ID]],[1]!表1[[key值]:[名称]],12,FALSE)</f>
        <v>白银弹头</v>
      </c>
    </row>
    <row r="25" spans="1:8" x14ac:dyDescent="0.15">
      <c r="A25" s="2">
        <v>2</v>
      </c>
      <c r="B25" s="2">
        <v>7</v>
      </c>
      <c r="C25" s="3" t="s">
        <v>29</v>
      </c>
      <c r="D25" s="2">
        <v>1</v>
      </c>
      <c r="E25">
        <v>100</v>
      </c>
      <c r="F25">
        <v>110</v>
      </c>
      <c r="G25">
        <v>1</v>
      </c>
      <c r="H25" s="2" t="str">
        <f>VLOOKUP(表2[[#This Row],[道具ID]],[1]!表1[[key值]:[名称]],12,FALSE)</f>
        <v>黄金弹头</v>
      </c>
    </row>
    <row r="26" spans="1:8" x14ac:dyDescent="0.15">
      <c r="A26" s="2">
        <v>2</v>
      </c>
      <c r="B26" s="2">
        <v>8</v>
      </c>
      <c r="C26" s="3" t="s">
        <v>72</v>
      </c>
      <c r="D26" s="2">
        <v>10</v>
      </c>
      <c r="E26">
        <v>17458</v>
      </c>
      <c r="F26">
        <v>19680</v>
      </c>
      <c r="G26" s="2">
        <v>0</v>
      </c>
      <c r="H26" s="2" t="str">
        <f>VLOOKUP(表2[[#This Row],[道具ID]],[1]!表1[[key值]:[名称]],12,FALSE)</f>
        <v>锻造材料包</v>
      </c>
    </row>
    <row r="27" spans="1:8" x14ac:dyDescent="0.15">
      <c r="A27" s="2">
        <v>2</v>
      </c>
      <c r="B27" s="2">
        <v>9</v>
      </c>
      <c r="C27" s="3" t="s">
        <v>70</v>
      </c>
      <c r="D27" s="2">
        <v>1</v>
      </c>
      <c r="E27">
        <v>3500</v>
      </c>
      <c r="F27">
        <v>2000</v>
      </c>
      <c r="G27" s="2">
        <v>0</v>
      </c>
      <c r="H27" s="2" t="str">
        <f>VLOOKUP(表2[[#This Row],[道具ID]],[1]!表1[[key值]:[名称]],12,FALSE)</f>
        <v>1万金币卡</v>
      </c>
    </row>
    <row r="28" spans="1:8" x14ac:dyDescent="0.15">
      <c r="A28" s="2">
        <v>2</v>
      </c>
      <c r="B28" s="2">
        <v>10</v>
      </c>
      <c r="C28" s="3" t="s">
        <v>69</v>
      </c>
      <c r="D28" s="2">
        <v>1</v>
      </c>
      <c r="E28">
        <v>12000</v>
      </c>
      <c r="F28">
        <v>12000</v>
      </c>
      <c r="G28">
        <v>0</v>
      </c>
      <c r="H28" s="2" t="str">
        <f>VLOOKUP(表2[[#This Row],[道具ID]],[1]!表1[[key值]:[名称]],12,FALSE)</f>
        <v>10万金币卡</v>
      </c>
    </row>
    <row r="29" spans="1:8" x14ac:dyDescent="0.15">
      <c r="A29" s="2">
        <v>2</v>
      </c>
      <c r="B29" s="2">
        <v>11</v>
      </c>
      <c r="C29" s="4" t="s">
        <v>68</v>
      </c>
      <c r="D29" s="2">
        <v>1</v>
      </c>
      <c r="E29">
        <v>200</v>
      </c>
      <c r="F29">
        <v>500</v>
      </c>
      <c r="G29">
        <v>1</v>
      </c>
      <c r="H29" s="2" t="str">
        <f>VLOOKUP(表2[[#This Row],[道具ID]],[1]!表1[[key值]:[名称]],12,FALSE)</f>
        <v>100万金币卡</v>
      </c>
    </row>
    <row r="30" spans="1:8" x14ac:dyDescent="0.15">
      <c r="A30" s="2">
        <v>2</v>
      </c>
      <c r="B30" s="2">
        <v>12</v>
      </c>
      <c r="C30" s="4" t="s">
        <v>73</v>
      </c>
      <c r="D30" s="2">
        <v>1</v>
      </c>
      <c r="E30">
        <v>20</v>
      </c>
      <c r="F30">
        <v>100</v>
      </c>
      <c r="G30" s="2">
        <v>1</v>
      </c>
      <c r="H30" s="2" t="str">
        <f>VLOOKUP(表2[[#This Row],[道具ID]],[1]!表1[[key值]:[名称]],12,FALSE)</f>
        <v>1000万金币卡</v>
      </c>
    </row>
    <row r="31" spans="1:8" x14ac:dyDescent="0.15">
      <c r="A31" s="2">
        <v>2</v>
      </c>
      <c r="B31" s="2">
        <v>13</v>
      </c>
      <c r="C31" s="4" t="s">
        <v>74</v>
      </c>
      <c r="D31" s="2">
        <v>1</v>
      </c>
      <c r="E31">
        <v>2</v>
      </c>
      <c r="F31">
        <v>10</v>
      </c>
      <c r="G31">
        <v>1</v>
      </c>
      <c r="H31" s="2" t="str">
        <f>VLOOKUP(表2[[#This Row],[道具ID]],[1]!表1[[key值]:[名称]],12,FALSE)</f>
        <v>1亿金币卡</v>
      </c>
    </row>
    <row r="32" spans="1:8" x14ac:dyDescent="0.15">
      <c r="A32" s="2">
        <v>2</v>
      </c>
      <c r="B32" s="2">
        <v>14</v>
      </c>
      <c r="C32" s="4" t="s">
        <v>30</v>
      </c>
      <c r="D32" s="2">
        <v>1</v>
      </c>
      <c r="E32">
        <v>20</v>
      </c>
      <c r="F32">
        <v>100</v>
      </c>
      <c r="G32" s="2">
        <v>1</v>
      </c>
      <c r="H32" s="2" t="str">
        <f>VLOOKUP(表2[[#This Row],[道具ID]],[1]!表1[[key值]:[名称]],12,FALSE)</f>
        <v>1000万金币卡</v>
      </c>
    </row>
    <row r="33" spans="1:8" x14ac:dyDescent="0.15">
      <c r="A33" s="2">
        <v>101</v>
      </c>
      <c r="B33" s="2">
        <v>1</v>
      </c>
      <c r="C33" s="4" t="s">
        <v>68</v>
      </c>
      <c r="D33" s="2">
        <v>1</v>
      </c>
      <c r="E33">
        <v>10</v>
      </c>
      <c r="F33">
        <v>200</v>
      </c>
      <c r="G33" s="2">
        <v>1</v>
      </c>
      <c r="H33" s="14" t="str">
        <f>VLOOKUP(表2[[#This Row],[道具ID]],[1]!表1[[key值]:[名称]],12,FALSE)</f>
        <v>100万金币卡</v>
      </c>
    </row>
    <row r="34" spans="1:8" x14ac:dyDescent="0.15">
      <c r="A34" s="2">
        <v>101</v>
      </c>
      <c r="B34" s="2">
        <v>2</v>
      </c>
      <c r="C34" s="3" t="s">
        <v>69</v>
      </c>
      <c r="D34" s="2">
        <v>1</v>
      </c>
      <c r="E34">
        <v>200</v>
      </c>
      <c r="F34">
        <v>4000</v>
      </c>
      <c r="G34">
        <v>1</v>
      </c>
      <c r="H34" s="14" t="str">
        <f>VLOOKUP(表2[[#This Row],[道具ID]],[1]!表1[[key值]:[名称]],12,FALSE)</f>
        <v>10万金币卡</v>
      </c>
    </row>
    <row r="35" spans="1:8" x14ac:dyDescent="0.15">
      <c r="A35" s="2">
        <v>101</v>
      </c>
      <c r="B35" s="2">
        <v>3</v>
      </c>
      <c r="C35" s="3" t="s">
        <v>70</v>
      </c>
      <c r="D35" s="2">
        <v>1</v>
      </c>
      <c r="E35">
        <v>18000</v>
      </c>
      <c r="F35">
        <v>10800</v>
      </c>
      <c r="G35">
        <v>0</v>
      </c>
      <c r="H35" s="14" t="str">
        <f>VLOOKUP(表2[[#This Row],[道具ID]],[1]!表1[[key值]:[名称]],12,FALSE)</f>
        <v>1万金币卡</v>
      </c>
    </row>
    <row r="36" spans="1:8" x14ac:dyDescent="0.15">
      <c r="A36" s="2">
        <v>101</v>
      </c>
      <c r="B36" s="2">
        <v>4</v>
      </c>
      <c r="C36" s="3" t="str">
        <f>"w" &amp; 400+表2[[#This Row],[大奖类型]]</f>
        <v>w501</v>
      </c>
      <c r="D36" s="2">
        <v>1</v>
      </c>
      <c r="E36">
        <v>20690</v>
      </c>
      <c r="F36">
        <v>16000</v>
      </c>
      <c r="G36" s="2">
        <v>0</v>
      </c>
      <c r="H36" s="14" t="str">
        <f>VLOOKUP(表2[[#This Row],[道具ID]],[1]!表1[[key值]:[名称]],12,FALSE)</f>
        <v>火炮碎片</v>
      </c>
    </row>
    <row r="37" spans="1:8" x14ac:dyDescent="0.15">
      <c r="A37" s="2">
        <v>101</v>
      </c>
      <c r="B37" s="2">
        <v>5</v>
      </c>
      <c r="C37" s="3" t="str">
        <f>"w" &amp; 400+表2[[#This Row],[大奖类型]]</f>
        <v>w501</v>
      </c>
      <c r="D37" s="2">
        <v>2</v>
      </c>
      <c r="E37">
        <v>10000</v>
      </c>
      <c r="F37">
        <v>16000</v>
      </c>
      <c r="G37">
        <v>0</v>
      </c>
      <c r="H37" s="14" t="str">
        <f>VLOOKUP(表2[[#This Row],[道具ID]],[1]!表1[[key值]:[名称]],12,FALSE)</f>
        <v>火炮碎片</v>
      </c>
    </row>
    <row r="38" spans="1:8" x14ac:dyDescent="0.15">
      <c r="A38" s="2">
        <v>101</v>
      </c>
      <c r="B38" s="2">
        <v>6</v>
      </c>
      <c r="C38" s="3" t="str">
        <f>"w" &amp; 400+表2[[#This Row],[大奖类型]]</f>
        <v>w501</v>
      </c>
      <c r="D38" s="2">
        <v>10</v>
      </c>
      <c r="E38">
        <v>1000</v>
      </c>
      <c r="F38">
        <v>2500</v>
      </c>
      <c r="G38">
        <v>1</v>
      </c>
      <c r="H38" s="14" t="str">
        <f>VLOOKUP(表2[[#This Row],[道具ID]],[1]!表1[[key值]:[名称]],12,FALSE)</f>
        <v>火炮碎片</v>
      </c>
    </row>
    <row r="39" spans="1:8" x14ac:dyDescent="0.15">
      <c r="A39" s="2">
        <v>101</v>
      </c>
      <c r="B39" s="2">
        <v>7</v>
      </c>
      <c r="C39" s="3" t="str">
        <f>"w" &amp; 400+表2[[#This Row],[大奖类型]]</f>
        <v>w501</v>
      </c>
      <c r="D39" s="2">
        <v>50</v>
      </c>
      <c r="E39">
        <v>100</v>
      </c>
      <c r="F39">
        <v>500</v>
      </c>
      <c r="G39">
        <v>1</v>
      </c>
      <c r="H39" s="14" t="str">
        <f>VLOOKUP(表2[[#This Row],[道具ID]],[1]!表1[[key值]:[名称]],12,FALSE)</f>
        <v>火炮碎片</v>
      </c>
    </row>
    <row r="40" spans="1:8" x14ac:dyDescent="0.15">
      <c r="A40" s="2">
        <v>101</v>
      </c>
      <c r="B40" s="2">
        <v>8</v>
      </c>
      <c r="C40" s="3" t="s">
        <v>80</v>
      </c>
      <c r="D40" s="2">
        <v>1</v>
      </c>
      <c r="E40">
        <v>18000</v>
      </c>
      <c r="F40">
        <v>10800</v>
      </c>
      <c r="G40" s="2">
        <v>0</v>
      </c>
      <c r="H40" s="14" t="str">
        <f>VLOOKUP(表2[[#This Row],[道具ID]],[1]!表1[[key值]:[名称]],12,FALSE)</f>
        <v>海洋之心</v>
      </c>
    </row>
    <row r="41" spans="1:8" x14ac:dyDescent="0.15">
      <c r="A41" s="2">
        <v>101</v>
      </c>
      <c r="B41" s="2">
        <v>9</v>
      </c>
      <c r="C41" s="3" t="s">
        <v>80</v>
      </c>
      <c r="D41" s="2">
        <v>100</v>
      </c>
      <c r="E41">
        <v>200</v>
      </c>
      <c r="F41">
        <v>4000</v>
      </c>
      <c r="G41" s="2">
        <v>1</v>
      </c>
      <c r="H41" s="14" t="str">
        <f>VLOOKUP(表2[[#This Row],[道具ID]],[1]!表1[[key值]:[名称]],12,FALSE)</f>
        <v>海洋之心</v>
      </c>
    </row>
    <row r="42" spans="1:8" x14ac:dyDescent="0.15">
      <c r="A42" s="2">
        <v>101</v>
      </c>
      <c r="B42" s="2">
        <v>10</v>
      </c>
      <c r="C42" s="3" t="s">
        <v>80</v>
      </c>
      <c r="D42" s="2">
        <v>1000</v>
      </c>
      <c r="E42">
        <v>10</v>
      </c>
      <c r="F42">
        <v>200</v>
      </c>
      <c r="G42">
        <v>1</v>
      </c>
      <c r="H42" s="14" t="str">
        <f>VLOOKUP(表2[[#This Row],[道具ID]],[1]!表1[[key值]:[名称]],12,FALSE)</f>
        <v>海洋之心</v>
      </c>
    </row>
    <row r="43" spans="1:8" x14ac:dyDescent="0.15">
      <c r="A43" s="2">
        <v>101</v>
      </c>
      <c r="B43" s="2">
        <v>11</v>
      </c>
      <c r="C43" s="3" t="str">
        <f>"w" &amp; 400+表2[[#This Row],[大奖类型]]</f>
        <v>w501</v>
      </c>
      <c r="D43" s="2">
        <v>50</v>
      </c>
      <c r="E43">
        <v>100</v>
      </c>
      <c r="F43">
        <v>500</v>
      </c>
      <c r="G43">
        <v>1</v>
      </c>
      <c r="H43" s="14" t="str">
        <f>VLOOKUP(表2[[#This Row],[道具ID]],[1]!表1[[key值]:[名称]],12,FALSE)</f>
        <v>火炮碎片</v>
      </c>
    </row>
    <row r="44" spans="1:8" x14ac:dyDescent="0.15">
      <c r="A44" s="2">
        <v>101</v>
      </c>
      <c r="B44" s="2">
        <v>12</v>
      </c>
      <c r="C44" s="3" t="str">
        <f>"w" &amp; 400+表2[[#This Row],[大奖类型]]</f>
        <v>w501</v>
      </c>
      <c r="D44" s="2">
        <v>10</v>
      </c>
      <c r="E44">
        <v>1000</v>
      </c>
      <c r="F44">
        <v>2500</v>
      </c>
      <c r="G44" s="2">
        <v>1</v>
      </c>
      <c r="H44" s="14" t="str">
        <f>VLOOKUP(表2[[#This Row],[道具ID]],[1]!表1[[key值]:[名称]],12,FALSE)</f>
        <v>火炮碎片</v>
      </c>
    </row>
    <row r="45" spans="1:8" x14ac:dyDescent="0.15">
      <c r="A45" s="2">
        <v>101</v>
      </c>
      <c r="B45" s="2">
        <v>13</v>
      </c>
      <c r="C45" s="3" t="str">
        <f>"w" &amp; 400+表2[[#This Row],[大奖类型]]</f>
        <v>w501</v>
      </c>
      <c r="D45" s="2">
        <v>2</v>
      </c>
      <c r="E45">
        <v>10000</v>
      </c>
      <c r="F45">
        <v>16000</v>
      </c>
      <c r="G45">
        <v>0</v>
      </c>
      <c r="H45" s="14" t="str">
        <f>VLOOKUP(表2[[#This Row],[道具ID]],[1]!表1[[key值]:[名称]],12,FALSE)</f>
        <v>火炮碎片</v>
      </c>
    </row>
    <row r="46" spans="1:8" x14ac:dyDescent="0.15">
      <c r="A46" s="2">
        <v>101</v>
      </c>
      <c r="B46" s="2">
        <v>14</v>
      </c>
      <c r="C46" s="3" t="str">
        <f>"w" &amp; 400+表2[[#This Row],[大奖类型]]</f>
        <v>w501</v>
      </c>
      <c r="D46" s="2">
        <v>1</v>
      </c>
      <c r="E46">
        <v>20690</v>
      </c>
      <c r="F46">
        <v>16000</v>
      </c>
      <c r="G46" s="2">
        <v>0</v>
      </c>
      <c r="H46" s="14" t="str">
        <f>VLOOKUP(表2[[#This Row],[道具ID]],[1]!表1[[key值]:[名称]],12,FALSE)</f>
        <v>火炮碎片</v>
      </c>
    </row>
    <row r="47" spans="1:8" x14ac:dyDescent="0.15">
      <c r="A47" s="2">
        <f>A33+1</f>
        <v>102</v>
      </c>
      <c r="B47" s="2">
        <v>1</v>
      </c>
      <c r="C47" s="4" t="s">
        <v>68</v>
      </c>
      <c r="D47" s="2">
        <v>1</v>
      </c>
      <c r="E47">
        <v>10</v>
      </c>
      <c r="F47">
        <v>200</v>
      </c>
      <c r="G47" s="2">
        <v>1</v>
      </c>
      <c r="H47" s="14" t="str">
        <f>VLOOKUP(表2[[#This Row],[道具ID]],[1]!表1[[key值]:[名称]],12,FALSE)</f>
        <v>100万金币卡</v>
      </c>
    </row>
    <row r="48" spans="1:8" x14ac:dyDescent="0.15">
      <c r="A48" s="2">
        <f t="shared" ref="A48:A111" si="0">A34+1</f>
        <v>102</v>
      </c>
      <c r="B48" s="2">
        <v>2</v>
      </c>
      <c r="C48" s="3" t="s">
        <v>69</v>
      </c>
      <c r="D48" s="2">
        <v>1</v>
      </c>
      <c r="E48">
        <v>200</v>
      </c>
      <c r="F48">
        <v>4000</v>
      </c>
      <c r="G48">
        <v>1</v>
      </c>
      <c r="H48" s="14" t="str">
        <f>VLOOKUP(表2[[#This Row],[道具ID]],[1]!表1[[key值]:[名称]],12,FALSE)</f>
        <v>10万金币卡</v>
      </c>
    </row>
    <row r="49" spans="1:8" x14ac:dyDescent="0.15">
      <c r="A49" s="2">
        <f t="shared" si="0"/>
        <v>102</v>
      </c>
      <c r="B49" s="2">
        <v>3</v>
      </c>
      <c r="C49" s="3" t="s">
        <v>70</v>
      </c>
      <c r="D49" s="2">
        <v>1</v>
      </c>
      <c r="E49">
        <v>18000</v>
      </c>
      <c r="F49">
        <v>10800</v>
      </c>
      <c r="G49">
        <v>0</v>
      </c>
      <c r="H49" s="14" t="str">
        <f>VLOOKUP(表2[[#This Row],[道具ID]],[1]!表1[[key值]:[名称]],12,FALSE)</f>
        <v>1万金币卡</v>
      </c>
    </row>
    <row r="50" spans="1:8" x14ac:dyDescent="0.15">
      <c r="A50" s="2">
        <f t="shared" si="0"/>
        <v>102</v>
      </c>
      <c r="B50" s="2">
        <v>4</v>
      </c>
      <c r="C50" s="3" t="str">
        <f>"w" &amp; 400+表2[[#This Row],[大奖类型]]</f>
        <v>w502</v>
      </c>
      <c r="D50" s="2">
        <v>1</v>
      </c>
      <c r="E50">
        <v>20690</v>
      </c>
      <c r="F50">
        <v>16000</v>
      </c>
      <c r="G50" s="2">
        <v>0</v>
      </c>
      <c r="H50" s="14" t="str">
        <f>VLOOKUP(表2[[#This Row],[道具ID]],[1]!表1[[key值]:[名称]],12,FALSE)</f>
        <v>恶魔之血碎片</v>
      </c>
    </row>
    <row r="51" spans="1:8" x14ac:dyDescent="0.15">
      <c r="A51" s="2">
        <f t="shared" si="0"/>
        <v>102</v>
      </c>
      <c r="B51" s="2">
        <v>5</v>
      </c>
      <c r="C51" s="3" t="str">
        <f>"w" &amp; 400+表2[[#This Row],[大奖类型]]</f>
        <v>w502</v>
      </c>
      <c r="D51" s="2">
        <v>2</v>
      </c>
      <c r="E51">
        <v>10000</v>
      </c>
      <c r="F51">
        <v>16000</v>
      </c>
      <c r="G51">
        <v>0</v>
      </c>
      <c r="H51" s="14" t="str">
        <f>VLOOKUP(表2[[#This Row],[道具ID]],[1]!表1[[key值]:[名称]],12,FALSE)</f>
        <v>恶魔之血碎片</v>
      </c>
    </row>
    <row r="52" spans="1:8" x14ac:dyDescent="0.15">
      <c r="A52" s="2">
        <f t="shared" si="0"/>
        <v>102</v>
      </c>
      <c r="B52" s="2">
        <v>6</v>
      </c>
      <c r="C52" s="3" t="str">
        <f>"w" &amp; 400+表2[[#This Row],[大奖类型]]</f>
        <v>w502</v>
      </c>
      <c r="D52" s="2">
        <v>10</v>
      </c>
      <c r="E52">
        <v>1000</v>
      </c>
      <c r="F52">
        <v>2500</v>
      </c>
      <c r="G52">
        <v>1</v>
      </c>
      <c r="H52" s="14" t="str">
        <f>VLOOKUP(表2[[#This Row],[道具ID]],[1]!表1[[key值]:[名称]],12,FALSE)</f>
        <v>恶魔之血碎片</v>
      </c>
    </row>
    <row r="53" spans="1:8" x14ac:dyDescent="0.15">
      <c r="A53" s="2">
        <f t="shared" si="0"/>
        <v>102</v>
      </c>
      <c r="B53" s="2">
        <v>7</v>
      </c>
      <c r="C53" s="3" t="str">
        <f>"w" &amp; 400+表2[[#This Row],[大奖类型]]</f>
        <v>w502</v>
      </c>
      <c r="D53" s="2">
        <v>50</v>
      </c>
      <c r="E53">
        <v>100</v>
      </c>
      <c r="F53">
        <v>500</v>
      </c>
      <c r="G53">
        <v>1</v>
      </c>
      <c r="H53" s="14" t="str">
        <f>VLOOKUP(表2[[#This Row],[道具ID]],[1]!表1[[key值]:[名称]],12,FALSE)</f>
        <v>恶魔之血碎片</v>
      </c>
    </row>
    <row r="54" spans="1:8" x14ac:dyDescent="0.15">
      <c r="A54" s="2">
        <f t="shared" si="0"/>
        <v>102</v>
      </c>
      <c r="B54" s="2">
        <v>8</v>
      </c>
      <c r="C54" s="3" t="s">
        <v>80</v>
      </c>
      <c r="D54" s="2">
        <v>1</v>
      </c>
      <c r="E54">
        <v>18000</v>
      </c>
      <c r="F54">
        <v>10800</v>
      </c>
      <c r="G54" s="2">
        <v>0</v>
      </c>
      <c r="H54" s="14" t="str">
        <f>VLOOKUP(表2[[#This Row],[道具ID]],[1]!表1[[key值]:[名称]],12,FALSE)</f>
        <v>海洋之心</v>
      </c>
    </row>
    <row r="55" spans="1:8" x14ac:dyDescent="0.15">
      <c r="A55" s="2">
        <f t="shared" si="0"/>
        <v>102</v>
      </c>
      <c r="B55" s="2">
        <v>9</v>
      </c>
      <c r="C55" s="3" t="s">
        <v>80</v>
      </c>
      <c r="D55" s="2">
        <v>1</v>
      </c>
      <c r="E55">
        <v>200</v>
      </c>
      <c r="F55">
        <v>4000</v>
      </c>
      <c r="G55" s="2">
        <v>1</v>
      </c>
      <c r="H55" s="14" t="str">
        <f>VLOOKUP(表2[[#This Row],[道具ID]],[1]!表1[[key值]:[名称]],12,FALSE)</f>
        <v>海洋之心</v>
      </c>
    </row>
    <row r="56" spans="1:8" x14ac:dyDescent="0.15">
      <c r="A56" s="2">
        <f t="shared" si="0"/>
        <v>102</v>
      </c>
      <c r="B56" s="2">
        <v>10</v>
      </c>
      <c r="C56" s="3" t="s">
        <v>80</v>
      </c>
      <c r="D56" s="2">
        <v>1</v>
      </c>
      <c r="E56">
        <v>10</v>
      </c>
      <c r="F56">
        <v>200</v>
      </c>
      <c r="G56">
        <v>1</v>
      </c>
      <c r="H56" s="14" t="str">
        <f>VLOOKUP(表2[[#This Row],[道具ID]],[1]!表1[[key值]:[名称]],12,FALSE)</f>
        <v>海洋之心</v>
      </c>
    </row>
    <row r="57" spans="1:8" x14ac:dyDescent="0.15">
      <c r="A57" s="2">
        <f t="shared" si="0"/>
        <v>102</v>
      </c>
      <c r="B57" s="2">
        <v>11</v>
      </c>
      <c r="C57" s="3" t="str">
        <f>"w" &amp; 400+表2[[#This Row],[大奖类型]]</f>
        <v>w502</v>
      </c>
      <c r="D57" s="2">
        <v>50</v>
      </c>
      <c r="E57">
        <v>100</v>
      </c>
      <c r="F57">
        <v>500</v>
      </c>
      <c r="G57">
        <v>1</v>
      </c>
      <c r="H57" s="14" t="str">
        <f>VLOOKUP(表2[[#This Row],[道具ID]],[1]!表1[[key值]:[名称]],12,FALSE)</f>
        <v>恶魔之血碎片</v>
      </c>
    </row>
    <row r="58" spans="1:8" x14ac:dyDescent="0.15">
      <c r="A58" s="2">
        <f t="shared" si="0"/>
        <v>102</v>
      </c>
      <c r="B58" s="2">
        <v>12</v>
      </c>
      <c r="C58" s="3" t="str">
        <f>"w" &amp; 400+表2[[#This Row],[大奖类型]]</f>
        <v>w502</v>
      </c>
      <c r="D58" s="2">
        <v>10</v>
      </c>
      <c r="E58">
        <v>1000</v>
      </c>
      <c r="F58">
        <v>2500</v>
      </c>
      <c r="G58" s="2">
        <v>1</v>
      </c>
      <c r="H58" s="14" t="str">
        <f>VLOOKUP(表2[[#This Row],[道具ID]],[1]!表1[[key值]:[名称]],12,FALSE)</f>
        <v>恶魔之血碎片</v>
      </c>
    </row>
    <row r="59" spans="1:8" x14ac:dyDescent="0.15">
      <c r="A59" s="2">
        <f t="shared" si="0"/>
        <v>102</v>
      </c>
      <c r="B59" s="2">
        <v>13</v>
      </c>
      <c r="C59" s="3" t="str">
        <f>"w" &amp; 400+表2[[#This Row],[大奖类型]]</f>
        <v>w502</v>
      </c>
      <c r="D59" s="2">
        <v>2</v>
      </c>
      <c r="E59">
        <v>10000</v>
      </c>
      <c r="F59">
        <v>16000</v>
      </c>
      <c r="G59">
        <v>0</v>
      </c>
      <c r="H59" s="14" t="str">
        <f>VLOOKUP(表2[[#This Row],[道具ID]],[1]!表1[[key值]:[名称]],12,FALSE)</f>
        <v>恶魔之血碎片</v>
      </c>
    </row>
    <row r="60" spans="1:8" x14ac:dyDescent="0.15">
      <c r="A60" s="2">
        <f t="shared" si="0"/>
        <v>102</v>
      </c>
      <c r="B60" s="2">
        <v>14</v>
      </c>
      <c r="C60" s="3" t="str">
        <f>"w" &amp; 400+表2[[#This Row],[大奖类型]]</f>
        <v>w502</v>
      </c>
      <c r="D60" s="2">
        <v>1</v>
      </c>
      <c r="E60">
        <v>20690</v>
      </c>
      <c r="F60">
        <v>16000</v>
      </c>
      <c r="G60" s="2">
        <v>0</v>
      </c>
      <c r="H60" s="14" t="str">
        <f>VLOOKUP(表2[[#This Row],[道具ID]],[1]!表1[[key值]:[名称]],12,FALSE)</f>
        <v>恶魔之血碎片</v>
      </c>
    </row>
    <row r="61" spans="1:8" x14ac:dyDescent="0.15">
      <c r="A61" s="2">
        <f>A47+1</f>
        <v>103</v>
      </c>
      <c r="B61" s="2">
        <v>1</v>
      </c>
      <c r="C61" s="4" t="s">
        <v>68</v>
      </c>
      <c r="D61" s="2">
        <v>1</v>
      </c>
      <c r="E61">
        <v>10</v>
      </c>
      <c r="F61">
        <v>200</v>
      </c>
      <c r="G61" s="2">
        <v>1</v>
      </c>
      <c r="H61" s="14" t="str">
        <f>VLOOKUP(表2[[#This Row],[道具ID]],[1]!表1[[key值]:[名称]],12,FALSE)</f>
        <v>100万金币卡</v>
      </c>
    </row>
    <row r="62" spans="1:8" x14ac:dyDescent="0.15">
      <c r="A62" s="2">
        <f t="shared" si="0"/>
        <v>103</v>
      </c>
      <c r="B62" s="2">
        <v>2</v>
      </c>
      <c r="C62" s="3" t="s">
        <v>69</v>
      </c>
      <c r="D62" s="2">
        <v>1</v>
      </c>
      <c r="E62">
        <v>200</v>
      </c>
      <c r="F62">
        <v>4000</v>
      </c>
      <c r="G62">
        <v>1</v>
      </c>
      <c r="H62" s="14" t="str">
        <f>VLOOKUP(表2[[#This Row],[道具ID]],[1]!表1[[key值]:[名称]],12,FALSE)</f>
        <v>10万金币卡</v>
      </c>
    </row>
    <row r="63" spans="1:8" x14ac:dyDescent="0.15">
      <c r="A63" s="2">
        <f t="shared" si="0"/>
        <v>103</v>
      </c>
      <c r="B63" s="2">
        <v>3</v>
      </c>
      <c r="C63" s="3" t="s">
        <v>70</v>
      </c>
      <c r="D63" s="2">
        <v>1</v>
      </c>
      <c r="E63">
        <v>18000</v>
      </c>
      <c r="F63">
        <v>10800</v>
      </c>
      <c r="G63">
        <v>0</v>
      </c>
      <c r="H63" s="14" t="str">
        <f>VLOOKUP(表2[[#This Row],[道具ID]],[1]!表1[[key值]:[名称]],12,FALSE)</f>
        <v>1万金币卡</v>
      </c>
    </row>
    <row r="64" spans="1:8" x14ac:dyDescent="0.15">
      <c r="A64" s="2">
        <f t="shared" si="0"/>
        <v>103</v>
      </c>
      <c r="B64" s="2">
        <v>4</v>
      </c>
      <c r="C64" s="3" t="str">
        <f>"w" &amp; 400+表2[[#This Row],[大奖类型]]</f>
        <v>w503</v>
      </c>
      <c r="D64" s="2">
        <v>1</v>
      </c>
      <c r="E64">
        <v>20690</v>
      </c>
      <c r="F64">
        <v>16000</v>
      </c>
      <c r="G64" s="2">
        <v>0</v>
      </c>
      <c r="H64" s="14" t="str">
        <f>VLOOKUP(表2[[#This Row],[道具ID]],[1]!表1[[key值]:[名称]],12,FALSE)</f>
        <v>天使之眼碎片</v>
      </c>
    </row>
    <row r="65" spans="1:8" x14ac:dyDescent="0.15">
      <c r="A65" s="2">
        <f t="shared" si="0"/>
        <v>103</v>
      </c>
      <c r="B65" s="2">
        <v>5</v>
      </c>
      <c r="C65" s="3" t="str">
        <f>"w" &amp; 400+表2[[#This Row],[大奖类型]]</f>
        <v>w503</v>
      </c>
      <c r="D65" s="2">
        <v>2</v>
      </c>
      <c r="E65">
        <v>10000</v>
      </c>
      <c r="F65">
        <v>16000</v>
      </c>
      <c r="G65">
        <v>0</v>
      </c>
      <c r="H65" s="14" t="str">
        <f>VLOOKUP(表2[[#This Row],[道具ID]],[1]!表1[[key值]:[名称]],12,FALSE)</f>
        <v>天使之眼碎片</v>
      </c>
    </row>
    <row r="66" spans="1:8" x14ac:dyDescent="0.15">
      <c r="A66" s="2">
        <f t="shared" si="0"/>
        <v>103</v>
      </c>
      <c r="B66" s="2">
        <v>6</v>
      </c>
      <c r="C66" s="3" t="str">
        <f>"w" &amp; 400+表2[[#This Row],[大奖类型]]</f>
        <v>w503</v>
      </c>
      <c r="D66" s="2">
        <v>10</v>
      </c>
      <c r="E66">
        <v>1000</v>
      </c>
      <c r="F66">
        <v>2500</v>
      </c>
      <c r="G66">
        <v>1</v>
      </c>
      <c r="H66" s="14" t="str">
        <f>VLOOKUP(表2[[#This Row],[道具ID]],[1]!表1[[key值]:[名称]],12,FALSE)</f>
        <v>天使之眼碎片</v>
      </c>
    </row>
    <row r="67" spans="1:8" x14ac:dyDescent="0.15">
      <c r="A67" s="2">
        <f t="shared" si="0"/>
        <v>103</v>
      </c>
      <c r="B67" s="2">
        <v>7</v>
      </c>
      <c r="C67" s="3" t="str">
        <f>"w" &amp; 400+表2[[#This Row],[大奖类型]]</f>
        <v>w503</v>
      </c>
      <c r="D67" s="2">
        <v>50</v>
      </c>
      <c r="E67">
        <v>100</v>
      </c>
      <c r="F67">
        <v>500</v>
      </c>
      <c r="G67">
        <v>1</v>
      </c>
      <c r="H67" s="14" t="str">
        <f>VLOOKUP(表2[[#This Row],[道具ID]],[1]!表1[[key值]:[名称]],12,FALSE)</f>
        <v>天使之眼碎片</v>
      </c>
    </row>
    <row r="68" spans="1:8" x14ac:dyDescent="0.15">
      <c r="A68" s="2">
        <f t="shared" si="0"/>
        <v>103</v>
      </c>
      <c r="B68" s="2">
        <v>8</v>
      </c>
      <c r="C68" s="3" t="s">
        <v>80</v>
      </c>
      <c r="D68" s="2">
        <v>1</v>
      </c>
      <c r="E68">
        <v>18000</v>
      </c>
      <c r="F68">
        <v>10800</v>
      </c>
      <c r="G68" s="2">
        <v>0</v>
      </c>
      <c r="H68" s="14" t="str">
        <f>VLOOKUP(表2[[#This Row],[道具ID]],[1]!表1[[key值]:[名称]],12,FALSE)</f>
        <v>海洋之心</v>
      </c>
    </row>
    <row r="69" spans="1:8" x14ac:dyDescent="0.15">
      <c r="A69" s="2">
        <f t="shared" si="0"/>
        <v>103</v>
      </c>
      <c r="B69" s="2">
        <v>9</v>
      </c>
      <c r="C69" s="3" t="s">
        <v>80</v>
      </c>
      <c r="D69" s="2">
        <v>1</v>
      </c>
      <c r="E69">
        <v>200</v>
      </c>
      <c r="F69">
        <v>4000</v>
      </c>
      <c r="G69" s="2">
        <v>1</v>
      </c>
      <c r="H69" s="14" t="str">
        <f>VLOOKUP(表2[[#This Row],[道具ID]],[1]!表1[[key值]:[名称]],12,FALSE)</f>
        <v>海洋之心</v>
      </c>
    </row>
    <row r="70" spans="1:8" x14ac:dyDescent="0.15">
      <c r="A70" s="2">
        <f t="shared" si="0"/>
        <v>103</v>
      </c>
      <c r="B70" s="2">
        <v>10</v>
      </c>
      <c r="C70" s="3" t="s">
        <v>80</v>
      </c>
      <c r="D70" s="2">
        <v>1</v>
      </c>
      <c r="E70">
        <v>10</v>
      </c>
      <c r="F70">
        <v>200</v>
      </c>
      <c r="G70">
        <v>1</v>
      </c>
      <c r="H70" s="14" t="str">
        <f>VLOOKUP(表2[[#This Row],[道具ID]],[1]!表1[[key值]:[名称]],12,FALSE)</f>
        <v>海洋之心</v>
      </c>
    </row>
    <row r="71" spans="1:8" x14ac:dyDescent="0.15">
      <c r="A71" s="2">
        <f t="shared" si="0"/>
        <v>103</v>
      </c>
      <c r="B71" s="2">
        <v>11</v>
      </c>
      <c r="C71" s="3" t="str">
        <f>"w" &amp; 400+表2[[#This Row],[大奖类型]]</f>
        <v>w503</v>
      </c>
      <c r="D71" s="2">
        <v>50</v>
      </c>
      <c r="E71">
        <v>100</v>
      </c>
      <c r="F71">
        <v>500</v>
      </c>
      <c r="G71">
        <v>1</v>
      </c>
      <c r="H71" s="14" t="str">
        <f>VLOOKUP(表2[[#This Row],[道具ID]],[1]!表1[[key值]:[名称]],12,FALSE)</f>
        <v>天使之眼碎片</v>
      </c>
    </row>
    <row r="72" spans="1:8" x14ac:dyDescent="0.15">
      <c r="A72" s="2">
        <f t="shared" si="0"/>
        <v>103</v>
      </c>
      <c r="B72" s="2">
        <v>12</v>
      </c>
      <c r="C72" s="3" t="str">
        <f>"w" &amp; 400+表2[[#This Row],[大奖类型]]</f>
        <v>w503</v>
      </c>
      <c r="D72" s="2">
        <v>10</v>
      </c>
      <c r="E72">
        <v>1000</v>
      </c>
      <c r="F72">
        <v>2500</v>
      </c>
      <c r="G72" s="2">
        <v>1</v>
      </c>
      <c r="H72" s="14" t="str">
        <f>VLOOKUP(表2[[#This Row],[道具ID]],[1]!表1[[key值]:[名称]],12,FALSE)</f>
        <v>天使之眼碎片</v>
      </c>
    </row>
    <row r="73" spans="1:8" x14ac:dyDescent="0.15">
      <c r="A73" s="2">
        <f t="shared" si="0"/>
        <v>103</v>
      </c>
      <c r="B73" s="2">
        <v>13</v>
      </c>
      <c r="C73" s="3" t="str">
        <f>"w" &amp; 400+表2[[#This Row],[大奖类型]]</f>
        <v>w503</v>
      </c>
      <c r="D73" s="2">
        <v>2</v>
      </c>
      <c r="E73">
        <v>10000</v>
      </c>
      <c r="F73">
        <v>16000</v>
      </c>
      <c r="G73">
        <v>0</v>
      </c>
      <c r="H73" s="14" t="str">
        <f>VLOOKUP(表2[[#This Row],[道具ID]],[1]!表1[[key值]:[名称]],12,FALSE)</f>
        <v>天使之眼碎片</v>
      </c>
    </row>
    <row r="74" spans="1:8" x14ac:dyDescent="0.15">
      <c r="A74" s="2">
        <f t="shared" si="0"/>
        <v>103</v>
      </c>
      <c r="B74" s="2">
        <v>14</v>
      </c>
      <c r="C74" s="3" t="str">
        <f>"w" &amp; 400+表2[[#This Row],[大奖类型]]</f>
        <v>w503</v>
      </c>
      <c r="D74" s="2">
        <v>1</v>
      </c>
      <c r="E74">
        <v>20690</v>
      </c>
      <c r="F74">
        <v>16000</v>
      </c>
      <c r="G74" s="2">
        <v>0</v>
      </c>
      <c r="H74" s="14" t="str">
        <f>VLOOKUP(表2[[#This Row],[道具ID]],[1]!表1[[key值]:[名称]],12,FALSE)</f>
        <v>天使之眼碎片</v>
      </c>
    </row>
    <row r="75" spans="1:8" x14ac:dyDescent="0.15">
      <c r="A75" s="2">
        <f>A61+1</f>
        <v>104</v>
      </c>
      <c r="B75" s="2">
        <v>1</v>
      </c>
      <c r="C75" s="4" t="s">
        <v>68</v>
      </c>
      <c r="D75" s="2">
        <v>1</v>
      </c>
      <c r="E75">
        <v>10</v>
      </c>
      <c r="F75">
        <v>200</v>
      </c>
      <c r="G75" s="2">
        <v>1</v>
      </c>
      <c r="H75" s="14" t="str">
        <f>VLOOKUP(表2[[#This Row],[道具ID]],[1]!表1[[key值]:[名称]],12,FALSE)</f>
        <v>100万金币卡</v>
      </c>
    </row>
    <row r="76" spans="1:8" x14ac:dyDescent="0.15">
      <c r="A76" s="2">
        <f t="shared" si="0"/>
        <v>104</v>
      </c>
      <c r="B76" s="2">
        <v>2</v>
      </c>
      <c r="C76" s="3" t="s">
        <v>69</v>
      </c>
      <c r="D76" s="2">
        <v>1</v>
      </c>
      <c r="E76">
        <v>200</v>
      </c>
      <c r="F76">
        <v>4000</v>
      </c>
      <c r="G76">
        <v>1</v>
      </c>
      <c r="H76" s="14" t="str">
        <f>VLOOKUP(表2[[#This Row],[道具ID]],[1]!表1[[key值]:[名称]],12,FALSE)</f>
        <v>10万金币卡</v>
      </c>
    </row>
    <row r="77" spans="1:8" x14ac:dyDescent="0.15">
      <c r="A77" s="2">
        <f t="shared" si="0"/>
        <v>104</v>
      </c>
      <c r="B77" s="2">
        <v>3</v>
      </c>
      <c r="C77" s="3" t="s">
        <v>70</v>
      </c>
      <c r="D77" s="2">
        <v>1</v>
      </c>
      <c r="E77">
        <v>18000</v>
      </c>
      <c r="F77">
        <v>10800</v>
      </c>
      <c r="G77">
        <v>0</v>
      </c>
      <c r="H77" s="14" t="str">
        <f>VLOOKUP(表2[[#This Row],[道具ID]],[1]!表1[[key值]:[名称]],12,FALSE)</f>
        <v>1万金币卡</v>
      </c>
    </row>
    <row r="78" spans="1:8" x14ac:dyDescent="0.15">
      <c r="A78" s="2">
        <f t="shared" si="0"/>
        <v>104</v>
      </c>
      <c r="B78" s="2">
        <v>4</v>
      </c>
      <c r="C78" s="3" t="str">
        <f>"w" &amp; 400+表2[[#This Row],[大奖类型]]</f>
        <v>w504</v>
      </c>
      <c r="D78" s="2">
        <v>1</v>
      </c>
      <c r="E78">
        <v>20690</v>
      </c>
      <c r="F78">
        <v>16000</v>
      </c>
      <c r="G78" s="2">
        <v>0</v>
      </c>
      <c r="H78" s="14" t="str">
        <f>VLOOKUP(表2[[#This Row],[道具ID]],[1]!表1[[key值]:[名称]],12,FALSE)</f>
        <v>GX770电磁炮碎片</v>
      </c>
    </row>
    <row r="79" spans="1:8" x14ac:dyDescent="0.15">
      <c r="A79" s="2">
        <f t="shared" si="0"/>
        <v>104</v>
      </c>
      <c r="B79" s="2">
        <v>5</v>
      </c>
      <c r="C79" s="3" t="str">
        <f>"w" &amp; 400+表2[[#This Row],[大奖类型]]</f>
        <v>w504</v>
      </c>
      <c r="D79" s="2">
        <v>2</v>
      </c>
      <c r="E79">
        <v>10000</v>
      </c>
      <c r="F79">
        <v>16000</v>
      </c>
      <c r="G79">
        <v>0</v>
      </c>
      <c r="H79" s="14" t="str">
        <f>VLOOKUP(表2[[#This Row],[道具ID]],[1]!表1[[key值]:[名称]],12,FALSE)</f>
        <v>GX770电磁炮碎片</v>
      </c>
    </row>
    <row r="80" spans="1:8" x14ac:dyDescent="0.15">
      <c r="A80" s="2">
        <f t="shared" si="0"/>
        <v>104</v>
      </c>
      <c r="B80" s="2">
        <v>6</v>
      </c>
      <c r="C80" s="3" t="str">
        <f>"w" &amp; 400+表2[[#This Row],[大奖类型]]</f>
        <v>w504</v>
      </c>
      <c r="D80" s="2">
        <v>10</v>
      </c>
      <c r="E80">
        <v>1000</v>
      </c>
      <c r="F80">
        <v>2500</v>
      </c>
      <c r="G80">
        <v>1</v>
      </c>
      <c r="H80" s="14" t="str">
        <f>VLOOKUP(表2[[#This Row],[道具ID]],[1]!表1[[key值]:[名称]],12,FALSE)</f>
        <v>GX770电磁炮碎片</v>
      </c>
    </row>
    <row r="81" spans="1:8" x14ac:dyDescent="0.15">
      <c r="A81" s="2">
        <f t="shared" si="0"/>
        <v>104</v>
      </c>
      <c r="B81" s="2">
        <v>7</v>
      </c>
      <c r="C81" s="3" t="str">
        <f>"w" &amp; 400+表2[[#This Row],[大奖类型]]</f>
        <v>w504</v>
      </c>
      <c r="D81" s="2">
        <v>50</v>
      </c>
      <c r="E81">
        <v>100</v>
      </c>
      <c r="F81">
        <v>500</v>
      </c>
      <c r="G81">
        <v>1</v>
      </c>
      <c r="H81" s="14" t="str">
        <f>VLOOKUP(表2[[#This Row],[道具ID]],[1]!表1[[key值]:[名称]],12,FALSE)</f>
        <v>GX770电磁炮碎片</v>
      </c>
    </row>
    <row r="82" spans="1:8" x14ac:dyDescent="0.15">
      <c r="A82" s="2">
        <f t="shared" si="0"/>
        <v>104</v>
      </c>
      <c r="B82" s="2">
        <v>8</v>
      </c>
      <c r="C82" s="3" t="s">
        <v>80</v>
      </c>
      <c r="D82" s="2">
        <v>1</v>
      </c>
      <c r="E82">
        <v>18000</v>
      </c>
      <c r="F82">
        <v>10800</v>
      </c>
      <c r="G82" s="2">
        <v>0</v>
      </c>
      <c r="H82" s="14" t="str">
        <f>VLOOKUP(表2[[#This Row],[道具ID]],[1]!表1[[key值]:[名称]],12,FALSE)</f>
        <v>海洋之心</v>
      </c>
    </row>
    <row r="83" spans="1:8" x14ac:dyDescent="0.15">
      <c r="A83" s="2">
        <f t="shared" si="0"/>
        <v>104</v>
      </c>
      <c r="B83" s="2">
        <v>9</v>
      </c>
      <c r="C83" s="3" t="s">
        <v>80</v>
      </c>
      <c r="D83" s="2">
        <v>1</v>
      </c>
      <c r="E83">
        <v>200</v>
      </c>
      <c r="F83">
        <v>4000</v>
      </c>
      <c r="G83" s="2">
        <v>1</v>
      </c>
      <c r="H83" s="14" t="str">
        <f>VLOOKUP(表2[[#This Row],[道具ID]],[1]!表1[[key值]:[名称]],12,FALSE)</f>
        <v>海洋之心</v>
      </c>
    </row>
    <row r="84" spans="1:8" x14ac:dyDescent="0.15">
      <c r="A84" s="2">
        <f t="shared" si="0"/>
        <v>104</v>
      </c>
      <c r="B84" s="2">
        <v>10</v>
      </c>
      <c r="C84" s="3" t="s">
        <v>80</v>
      </c>
      <c r="D84" s="2">
        <v>1</v>
      </c>
      <c r="E84">
        <v>10</v>
      </c>
      <c r="F84">
        <v>200</v>
      </c>
      <c r="G84">
        <v>1</v>
      </c>
      <c r="H84" s="14" t="str">
        <f>VLOOKUP(表2[[#This Row],[道具ID]],[1]!表1[[key值]:[名称]],12,FALSE)</f>
        <v>海洋之心</v>
      </c>
    </row>
    <row r="85" spans="1:8" x14ac:dyDescent="0.15">
      <c r="A85" s="2">
        <f t="shared" si="0"/>
        <v>104</v>
      </c>
      <c r="B85" s="2">
        <v>11</v>
      </c>
      <c r="C85" s="3" t="str">
        <f>"w" &amp; 400+表2[[#This Row],[大奖类型]]</f>
        <v>w504</v>
      </c>
      <c r="D85" s="2">
        <v>50</v>
      </c>
      <c r="E85">
        <v>100</v>
      </c>
      <c r="F85">
        <v>500</v>
      </c>
      <c r="G85">
        <v>1</v>
      </c>
      <c r="H85" s="14" t="str">
        <f>VLOOKUP(表2[[#This Row],[道具ID]],[1]!表1[[key值]:[名称]],12,FALSE)</f>
        <v>GX770电磁炮碎片</v>
      </c>
    </row>
    <row r="86" spans="1:8" x14ac:dyDescent="0.15">
      <c r="A86" s="2">
        <f t="shared" si="0"/>
        <v>104</v>
      </c>
      <c r="B86" s="2">
        <v>12</v>
      </c>
      <c r="C86" s="3" t="str">
        <f>"w" &amp; 400+表2[[#This Row],[大奖类型]]</f>
        <v>w504</v>
      </c>
      <c r="D86" s="2">
        <v>10</v>
      </c>
      <c r="E86">
        <v>1000</v>
      </c>
      <c r="F86">
        <v>2500</v>
      </c>
      <c r="G86" s="2">
        <v>1</v>
      </c>
      <c r="H86" s="14" t="str">
        <f>VLOOKUP(表2[[#This Row],[道具ID]],[1]!表1[[key值]:[名称]],12,FALSE)</f>
        <v>GX770电磁炮碎片</v>
      </c>
    </row>
    <row r="87" spans="1:8" x14ac:dyDescent="0.15">
      <c r="A87" s="2">
        <f t="shared" si="0"/>
        <v>104</v>
      </c>
      <c r="B87" s="2">
        <v>13</v>
      </c>
      <c r="C87" s="3" t="str">
        <f>"w" &amp; 400+表2[[#This Row],[大奖类型]]</f>
        <v>w504</v>
      </c>
      <c r="D87" s="2">
        <v>2</v>
      </c>
      <c r="E87">
        <v>10000</v>
      </c>
      <c r="F87">
        <v>16000</v>
      </c>
      <c r="G87">
        <v>0</v>
      </c>
      <c r="H87" s="14" t="str">
        <f>VLOOKUP(表2[[#This Row],[道具ID]],[1]!表1[[key值]:[名称]],12,FALSE)</f>
        <v>GX770电磁炮碎片</v>
      </c>
    </row>
    <row r="88" spans="1:8" x14ac:dyDescent="0.15">
      <c r="A88" s="2">
        <f t="shared" si="0"/>
        <v>104</v>
      </c>
      <c r="B88" s="2">
        <v>14</v>
      </c>
      <c r="C88" s="3" t="str">
        <f>"w" &amp; 400+表2[[#This Row],[大奖类型]]</f>
        <v>w504</v>
      </c>
      <c r="D88" s="2">
        <v>1</v>
      </c>
      <c r="E88">
        <v>20690</v>
      </c>
      <c r="F88">
        <v>16000</v>
      </c>
      <c r="G88" s="2">
        <v>0</v>
      </c>
      <c r="H88" s="14" t="str">
        <f>VLOOKUP(表2[[#This Row],[道具ID]],[1]!表1[[key值]:[名称]],12,FALSE)</f>
        <v>GX770电磁炮碎片</v>
      </c>
    </row>
    <row r="89" spans="1:8" x14ac:dyDescent="0.15">
      <c r="A89" s="2">
        <f>A75+1</f>
        <v>105</v>
      </c>
      <c r="B89" s="2">
        <v>1</v>
      </c>
      <c r="C89" s="4" t="s">
        <v>68</v>
      </c>
      <c r="D89" s="2">
        <v>1</v>
      </c>
      <c r="E89">
        <v>10</v>
      </c>
      <c r="F89">
        <v>200</v>
      </c>
      <c r="G89" s="2">
        <v>1</v>
      </c>
      <c r="H89" s="14" t="str">
        <f>VLOOKUP(表2[[#This Row],[道具ID]],[1]!表1[[key值]:[名称]],12,FALSE)</f>
        <v>100万金币卡</v>
      </c>
    </row>
    <row r="90" spans="1:8" x14ac:dyDescent="0.15">
      <c r="A90" s="2">
        <f t="shared" si="0"/>
        <v>105</v>
      </c>
      <c r="B90" s="2">
        <v>2</v>
      </c>
      <c r="C90" s="3" t="s">
        <v>69</v>
      </c>
      <c r="D90" s="2">
        <v>1</v>
      </c>
      <c r="E90">
        <v>200</v>
      </c>
      <c r="F90">
        <v>4000</v>
      </c>
      <c r="G90">
        <v>1</v>
      </c>
      <c r="H90" s="14" t="str">
        <f>VLOOKUP(表2[[#This Row],[道具ID]],[1]!表1[[key值]:[名称]],12,FALSE)</f>
        <v>10万金币卡</v>
      </c>
    </row>
    <row r="91" spans="1:8" x14ac:dyDescent="0.15">
      <c r="A91" s="2">
        <f t="shared" si="0"/>
        <v>105</v>
      </c>
      <c r="B91" s="2">
        <v>3</v>
      </c>
      <c r="C91" s="3" t="s">
        <v>70</v>
      </c>
      <c r="D91" s="2">
        <v>1</v>
      </c>
      <c r="E91">
        <v>18000</v>
      </c>
      <c r="F91">
        <v>10800</v>
      </c>
      <c r="G91">
        <v>0</v>
      </c>
      <c r="H91" s="14" t="str">
        <f>VLOOKUP(表2[[#This Row],[道具ID]],[1]!表1[[key值]:[名称]],12,FALSE)</f>
        <v>1万金币卡</v>
      </c>
    </row>
    <row r="92" spans="1:8" x14ac:dyDescent="0.15">
      <c r="A92" s="2">
        <f t="shared" si="0"/>
        <v>105</v>
      </c>
      <c r="B92" s="2">
        <v>4</v>
      </c>
      <c r="C92" s="3" t="str">
        <f>"w" &amp; 400+表2[[#This Row],[大奖类型]]</f>
        <v>w505</v>
      </c>
      <c r="D92" s="2">
        <v>1</v>
      </c>
      <c r="E92">
        <v>20690</v>
      </c>
      <c r="F92">
        <v>16000</v>
      </c>
      <c r="G92" s="2">
        <v>0</v>
      </c>
      <c r="H92" s="14" t="str">
        <f>VLOOKUP(表2[[#This Row],[道具ID]],[1]!表1[[key值]:[名称]],12,FALSE)</f>
        <v>熔岩巨炮碎片</v>
      </c>
    </row>
    <row r="93" spans="1:8" x14ac:dyDescent="0.15">
      <c r="A93" s="2">
        <f t="shared" si="0"/>
        <v>105</v>
      </c>
      <c r="B93" s="2">
        <v>5</v>
      </c>
      <c r="C93" s="3" t="str">
        <f>"w" &amp; 400+表2[[#This Row],[大奖类型]]</f>
        <v>w505</v>
      </c>
      <c r="D93" s="2">
        <v>2</v>
      </c>
      <c r="E93">
        <v>10000</v>
      </c>
      <c r="F93">
        <v>16000</v>
      </c>
      <c r="G93">
        <v>0</v>
      </c>
      <c r="H93" s="14" t="str">
        <f>VLOOKUP(表2[[#This Row],[道具ID]],[1]!表1[[key值]:[名称]],12,FALSE)</f>
        <v>熔岩巨炮碎片</v>
      </c>
    </row>
    <row r="94" spans="1:8" x14ac:dyDescent="0.15">
      <c r="A94" s="2">
        <f t="shared" si="0"/>
        <v>105</v>
      </c>
      <c r="B94" s="2">
        <v>6</v>
      </c>
      <c r="C94" s="3" t="str">
        <f>"w" &amp; 400+表2[[#This Row],[大奖类型]]</f>
        <v>w505</v>
      </c>
      <c r="D94" s="2">
        <v>10</v>
      </c>
      <c r="E94">
        <v>1000</v>
      </c>
      <c r="F94">
        <v>2500</v>
      </c>
      <c r="G94">
        <v>1</v>
      </c>
      <c r="H94" s="14" t="str">
        <f>VLOOKUP(表2[[#This Row],[道具ID]],[1]!表1[[key值]:[名称]],12,FALSE)</f>
        <v>熔岩巨炮碎片</v>
      </c>
    </row>
    <row r="95" spans="1:8" x14ac:dyDescent="0.15">
      <c r="A95" s="2">
        <f t="shared" si="0"/>
        <v>105</v>
      </c>
      <c r="B95" s="2">
        <v>7</v>
      </c>
      <c r="C95" s="3" t="str">
        <f>"w" &amp; 400+表2[[#This Row],[大奖类型]]</f>
        <v>w505</v>
      </c>
      <c r="D95" s="2">
        <v>50</v>
      </c>
      <c r="E95">
        <v>100</v>
      </c>
      <c r="F95">
        <v>500</v>
      </c>
      <c r="G95">
        <v>1</v>
      </c>
      <c r="H95" s="14" t="str">
        <f>VLOOKUP(表2[[#This Row],[道具ID]],[1]!表1[[key值]:[名称]],12,FALSE)</f>
        <v>熔岩巨炮碎片</v>
      </c>
    </row>
    <row r="96" spans="1:8" x14ac:dyDescent="0.15">
      <c r="A96" s="2">
        <f t="shared" si="0"/>
        <v>105</v>
      </c>
      <c r="B96" s="2">
        <v>8</v>
      </c>
      <c r="C96" s="3" t="s">
        <v>80</v>
      </c>
      <c r="D96" s="2">
        <v>1</v>
      </c>
      <c r="E96">
        <v>18000</v>
      </c>
      <c r="F96">
        <v>10800</v>
      </c>
      <c r="G96" s="2">
        <v>0</v>
      </c>
      <c r="H96" s="14" t="str">
        <f>VLOOKUP(表2[[#This Row],[道具ID]],[1]!表1[[key值]:[名称]],12,FALSE)</f>
        <v>海洋之心</v>
      </c>
    </row>
    <row r="97" spans="1:8" x14ac:dyDescent="0.15">
      <c r="A97" s="2">
        <f t="shared" si="0"/>
        <v>105</v>
      </c>
      <c r="B97" s="2">
        <v>9</v>
      </c>
      <c r="C97" s="3" t="s">
        <v>80</v>
      </c>
      <c r="D97" s="2">
        <v>1</v>
      </c>
      <c r="E97">
        <v>200</v>
      </c>
      <c r="F97">
        <v>4000</v>
      </c>
      <c r="G97" s="2">
        <v>1</v>
      </c>
      <c r="H97" s="14" t="str">
        <f>VLOOKUP(表2[[#This Row],[道具ID]],[1]!表1[[key值]:[名称]],12,FALSE)</f>
        <v>海洋之心</v>
      </c>
    </row>
    <row r="98" spans="1:8" x14ac:dyDescent="0.15">
      <c r="A98" s="2">
        <f t="shared" si="0"/>
        <v>105</v>
      </c>
      <c r="B98" s="2">
        <v>10</v>
      </c>
      <c r="C98" s="3" t="s">
        <v>80</v>
      </c>
      <c r="D98" s="2">
        <v>1</v>
      </c>
      <c r="E98">
        <v>10</v>
      </c>
      <c r="F98">
        <v>200</v>
      </c>
      <c r="G98">
        <v>1</v>
      </c>
      <c r="H98" s="14" t="str">
        <f>VLOOKUP(表2[[#This Row],[道具ID]],[1]!表1[[key值]:[名称]],12,FALSE)</f>
        <v>海洋之心</v>
      </c>
    </row>
    <row r="99" spans="1:8" x14ac:dyDescent="0.15">
      <c r="A99" s="2">
        <f t="shared" si="0"/>
        <v>105</v>
      </c>
      <c r="B99" s="2">
        <v>11</v>
      </c>
      <c r="C99" s="3" t="str">
        <f>"w" &amp; 400+表2[[#This Row],[大奖类型]]</f>
        <v>w505</v>
      </c>
      <c r="D99" s="2">
        <v>50</v>
      </c>
      <c r="E99">
        <v>100</v>
      </c>
      <c r="F99">
        <v>500</v>
      </c>
      <c r="G99">
        <v>1</v>
      </c>
      <c r="H99" s="14" t="str">
        <f>VLOOKUP(表2[[#This Row],[道具ID]],[1]!表1[[key值]:[名称]],12,FALSE)</f>
        <v>熔岩巨炮碎片</v>
      </c>
    </row>
    <row r="100" spans="1:8" x14ac:dyDescent="0.15">
      <c r="A100" s="2">
        <f t="shared" si="0"/>
        <v>105</v>
      </c>
      <c r="B100" s="2">
        <v>12</v>
      </c>
      <c r="C100" s="3" t="str">
        <f>"w" &amp; 400+表2[[#This Row],[大奖类型]]</f>
        <v>w505</v>
      </c>
      <c r="D100" s="2">
        <v>10</v>
      </c>
      <c r="E100">
        <v>1000</v>
      </c>
      <c r="F100">
        <v>2500</v>
      </c>
      <c r="G100" s="2">
        <v>1</v>
      </c>
      <c r="H100" s="14" t="str">
        <f>VLOOKUP(表2[[#This Row],[道具ID]],[1]!表1[[key值]:[名称]],12,FALSE)</f>
        <v>熔岩巨炮碎片</v>
      </c>
    </row>
    <row r="101" spans="1:8" x14ac:dyDescent="0.15">
      <c r="A101" s="2">
        <f t="shared" si="0"/>
        <v>105</v>
      </c>
      <c r="B101" s="2">
        <v>13</v>
      </c>
      <c r="C101" s="3" t="str">
        <f>"w" &amp; 400+表2[[#This Row],[大奖类型]]</f>
        <v>w505</v>
      </c>
      <c r="D101" s="2">
        <v>2</v>
      </c>
      <c r="E101">
        <v>10000</v>
      </c>
      <c r="F101">
        <v>16000</v>
      </c>
      <c r="G101">
        <v>0</v>
      </c>
      <c r="H101" s="14" t="str">
        <f>VLOOKUP(表2[[#This Row],[道具ID]],[1]!表1[[key值]:[名称]],12,FALSE)</f>
        <v>熔岩巨炮碎片</v>
      </c>
    </row>
    <row r="102" spans="1:8" x14ac:dyDescent="0.15">
      <c r="A102" s="2">
        <f t="shared" si="0"/>
        <v>105</v>
      </c>
      <c r="B102" s="2">
        <v>14</v>
      </c>
      <c r="C102" s="3" t="str">
        <f>"w" &amp; 400+表2[[#This Row],[大奖类型]]</f>
        <v>w505</v>
      </c>
      <c r="D102" s="2">
        <v>1</v>
      </c>
      <c r="E102">
        <v>20690</v>
      </c>
      <c r="F102">
        <v>16000</v>
      </c>
      <c r="G102" s="2">
        <v>0</v>
      </c>
      <c r="H102" s="14" t="str">
        <f>VLOOKUP(表2[[#This Row],[道具ID]],[1]!表1[[key值]:[名称]],12,FALSE)</f>
        <v>熔岩巨炮碎片</v>
      </c>
    </row>
    <row r="103" spans="1:8" x14ac:dyDescent="0.15">
      <c r="A103" s="2">
        <f>A89+1</f>
        <v>106</v>
      </c>
      <c r="B103" s="2">
        <v>1</v>
      </c>
      <c r="C103" s="4" t="s">
        <v>68</v>
      </c>
      <c r="D103" s="2">
        <v>1</v>
      </c>
      <c r="E103">
        <v>10</v>
      </c>
      <c r="F103">
        <v>200</v>
      </c>
      <c r="G103" s="2">
        <v>1</v>
      </c>
      <c r="H103" s="14" t="str">
        <f>VLOOKUP(表2[[#This Row],[道具ID]],[1]!表1[[key值]:[名称]],12,FALSE)</f>
        <v>100万金币卡</v>
      </c>
    </row>
    <row r="104" spans="1:8" x14ac:dyDescent="0.15">
      <c r="A104" s="2">
        <f t="shared" si="0"/>
        <v>106</v>
      </c>
      <c r="B104" s="2">
        <v>2</v>
      </c>
      <c r="C104" s="3" t="s">
        <v>69</v>
      </c>
      <c r="D104" s="2">
        <v>1</v>
      </c>
      <c r="E104">
        <v>200</v>
      </c>
      <c r="F104">
        <v>4000</v>
      </c>
      <c r="G104">
        <v>1</v>
      </c>
      <c r="H104" s="14" t="str">
        <f>VLOOKUP(表2[[#This Row],[道具ID]],[1]!表1[[key值]:[名称]],12,FALSE)</f>
        <v>10万金币卡</v>
      </c>
    </row>
    <row r="105" spans="1:8" x14ac:dyDescent="0.15">
      <c r="A105" s="2">
        <f t="shared" si="0"/>
        <v>106</v>
      </c>
      <c r="B105" s="2">
        <v>3</v>
      </c>
      <c r="C105" s="3" t="s">
        <v>70</v>
      </c>
      <c r="D105" s="2">
        <v>1</v>
      </c>
      <c r="E105">
        <v>18000</v>
      </c>
      <c r="F105">
        <v>10800</v>
      </c>
      <c r="G105">
        <v>0</v>
      </c>
      <c r="H105" s="14" t="str">
        <f>VLOOKUP(表2[[#This Row],[道具ID]],[1]!表1[[key值]:[名称]],12,FALSE)</f>
        <v>1万金币卡</v>
      </c>
    </row>
    <row r="106" spans="1:8" x14ac:dyDescent="0.15">
      <c r="A106" s="2">
        <f t="shared" si="0"/>
        <v>106</v>
      </c>
      <c r="B106" s="2">
        <v>4</v>
      </c>
      <c r="C106" s="3" t="str">
        <f>"w" &amp; 400+表2[[#This Row],[大奖类型]]</f>
        <v>w506</v>
      </c>
      <c r="D106" s="2">
        <v>1</v>
      </c>
      <c r="E106">
        <v>20690</v>
      </c>
      <c r="F106">
        <v>16000</v>
      </c>
      <c r="G106" s="2">
        <v>0</v>
      </c>
      <c r="H106" s="14" t="str">
        <f>VLOOKUP(表2[[#This Row],[道具ID]],[1]!表1[[key值]:[名称]],12,FALSE)</f>
        <v>蛤蟆文太碎片</v>
      </c>
    </row>
    <row r="107" spans="1:8" x14ac:dyDescent="0.15">
      <c r="A107" s="2">
        <f t="shared" si="0"/>
        <v>106</v>
      </c>
      <c r="B107" s="2">
        <v>5</v>
      </c>
      <c r="C107" s="3" t="str">
        <f>"w" &amp; 400+表2[[#This Row],[大奖类型]]</f>
        <v>w506</v>
      </c>
      <c r="D107" s="2">
        <v>2</v>
      </c>
      <c r="E107">
        <v>10000</v>
      </c>
      <c r="F107">
        <v>16000</v>
      </c>
      <c r="G107">
        <v>0</v>
      </c>
      <c r="H107" s="14" t="str">
        <f>VLOOKUP(表2[[#This Row],[道具ID]],[1]!表1[[key值]:[名称]],12,FALSE)</f>
        <v>蛤蟆文太碎片</v>
      </c>
    </row>
    <row r="108" spans="1:8" x14ac:dyDescent="0.15">
      <c r="A108" s="2">
        <f t="shared" si="0"/>
        <v>106</v>
      </c>
      <c r="B108" s="2">
        <v>6</v>
      </c>
      <c r="C108" s="3" t="str">
        <f>"w" &amp; 400+表2[[#This Row],[大奖类型]]</f>
        <v>w506</v>
      </c>
      <c r="D108" s="2">
        <v>10</v>
      </c>
      <c r="E108">
        <v>1000</v>
      </c>
      <c r="F108">
        <v>2500</v>
      </c>
      <c r="G108">
        <v>1</v>
      </c>
      <c r="H108" s="14" t="str">
        <f>VLOOKUP(表2[[#This Row],[道具ID]],[1]!表1[[key值]:[名称]],12,FALSE)</f>
        <v>蛤蟆文太碎片</v>
      </c>
    </row>
    <row r="109" spans="1:8" x14ac:dyDescent="0.15">
      <c r="A109" s="2">
        <f t="shared" si="0"/>
        <v>106</v>
      </c>
      <c r="B109" s="2">
        <v>7</v>
      </c>
      <c r="C109" s="3" t="str">
        <f>"w" &amp; 400+表2[[#This Row],[大奖类型]]</f>
        <v>w506</v>
      </c>
      <c r="D109" s="2">
        <v>50</v>
      </c>
      <c r="E109">
        <v>100</v>
      </c>
      <c r="F109">
        <v>500</v>
      </c>
      <c r="G109">
        <v>1</v>
      </c>
      <c r="H109" s="14" t="str">
        <f>VLOOKUP(表2[[#This Row],[道具ID]],[1]!表1[[key值]:[名称]],12,FALSE)</f>
        <v>蛤蟆文太碎片</v>
      </c>
    </row>
    <row r="110" spans="1:8" x14ac:dyDescent="0.15">
      <c r="A110" s="2">
        <f t="shared" si="0"/>
        <v>106</v>
      </c>
      <c r="B110" s="2">
        <v>8</v>
      </c>
      <c r="C110" s="3" t="s">
        <v>80</v>
      </c>
      <c r="D110" s="2">
        <v>1</v>
      </c>
      <c r="E110">
        <v>18000</v>
      </c>
      <c r="F110">
        <v>10800</v>
      </c>
      <c r="G110" s="2">
        <v>0</v>
      </c>
      <c r="H110" s="14" t="str">
        <f>VLOOKUP(表2[[#This Row],[道具ID]],[1]!表1[[key值]:[名称]],12,FALSE)</f>
        <v>海洋之心</v>
      </c>
    </row>
    <row r="111" spans="1:8" x14ac:dyDescent="0.15">
      <c r="A111" s="2">
        <f t="shared" si="0"/>
        <v>106</v>
      </c>
      <c r="B111" s="2">
        <v>9</v>
      </c>
      <c r="C111" s="3" t="s">
        <v>80</v>
      </c>
      <c r="D111" s="2">
        <v>1</v>
      </c>
      <c r="E111">
        <v>200</v>
      </c>
      <c r="F111">
        <v>4000</v>
      </c>
      <c r="G111" s="2">
        <v>1</v>
      </c>
      <c r="H111" s="14" t="str">
        <f>VLOOKUP(表2[[#This Row],[道具ID]],[1]!表1[[key值]:[名称]],12,FALSE)</f>
        <v>海洋之心</v>
      </c>
    </row>
    <row r="112" spans="1:8" x14ac:dyDescent="0.15">
      <c r="A112" s="2">
        <f t="shared" ref="A112:A116" si="1">A98+1</f>
        <v>106</v>
      </c>
      <c r="B112" s="2">
        <v>10</v>
      </c>
      <c r="C112" s="3" t="s">
        <v>80</v>
      </c>
      <c r="D112" s="2">
        <v>1</v>
      </c>
      <c r="E112">
        <v>10</v>
      </c>
      <c r="F112">
        <v>200</v>
      </c>
      <c r="G112">
        <v>1</v>
      </c>
      <c r="H112" s="14" t="str">
        <f>VLOOKUP(表2[[#This Row],[道具ID]],[1]!表1[[key值]:[名称]],12,FALSE)</f>
        <v>海洋之心</v>
      </c>
    </row>
    <row r="113" spans="1:8" x14ac:dyDescent="0.15">
      <c r="A113" s="2">
        <f t="shared" si="1"/>
        <v>106</v>
      </c>
      <c r="B113" s="2">
        <v>11</v>
      </c>
      <c r="C113" s="3" t="str">
        <f>"w" &amp; 400+表2[[#This Row],[大奖类型]]</f>
        <v>w506</v>
      </c>
      <c r="D113" s="2">
        <v>50</v>
      </c>
      <c r="E113">
        <v>100</v>
      </c>
      <c r="F113">
        <v>500</v>
      </c>
      <c r="G113">
        <v>1</v>
      </c>
      <c r="H113" s="14" t="str">
        <f>VLOOKUP(表2[[#This Row],[道具ID]],[1]!表1[[key值]:[名称]],12,FALSE)</f>
        <v>蛤蟆文太碎片</v>
      </c>
    </row>
    <row r="114" spans="1:8" x14ac:dyDescent="0.15">
      <c r="A114" s="2">
        <f t="shared" si="1"/>
        <v>106</v>
      </c>
      <c r="B114" s="2">
        <v>12</v>
      </c>
      <c r="C114" s="3" t="str">
        <f>"w" &amp; 400+表2[[#This Row],[大奖类型]]</f>
        <v>w506</v>
      </c>
      <c r="D114" s="2">
        <v>10</v>
      </c>
      <c r="E114">
        <v>1000</v>
      </c>
      <c r="F114">
        <v>2500</v>
      </c>
      <c r="G114" s="2">
        <v>1</v>
      </c>
      <c r="H114" s="14" t="str">
        <f>VLOOKUP(表2[[#This Row],[道具ID]],[1]!表1[[key值]:[名称]],12,FALSE)</f>
        <v>蛤蟆文太碎片</v>
      </c>
    </row>
    <row r="115" spans="1:8" x14ac:dyDescent="0.15">
      <c r="A115" s="2">
        <f t="shared" si="1"/>
        <v>106</v>
      </c>
      <c r="B115" s="2">
        <v>13</v>
      </c>
      <c r="C115" s="3" t="str">
        <f>"w" &amp; 400+表2[[#This Row],[大奖类型]]</f>
        <v>w506</v>
      </c>
      <c r="D115" s="2">
        <v>2</v>
      </c>
      <c r="E115">
        <v>10000</v>
      </c>
      <c r="F115">
        <v>16000</v>
      </c>
      <c r="G115">
        <v>0</v>
      </c>
      <c r="H115" s="14" t="str">
        <f>VLOOKUP(表2[[#This Row],[道具ID]],[1]!表1[[key值]:[名称]],12,FALSE)</f>
        <v>蛤蟆文太碎片</v>
      </c>
    </row>
    <row r="116" spans="1:8" x14ac:dyDescent="0.15">
      <c r="A116" s="2">
        <f t="shared" si="1"/>
        <v>106</v>
      </c>
      <c r="B116" s="2">
        <v>14</v>
      </c>
      <c r="C116" s="3" t="str">
        <f>"w" &amp; 400+表2[[#This Row],[大奖类型]]</f>
        <v>w506</v>
      </c>
      <c r="D116" s="2">
        <v>1</v>
      </c>
      <c r="E116">
        <v>20690</v>
      </c>
      <c r="F116">
        <v>16000</v>
      </c>
      <c r="G116" s="2">
        <v>0</v>
      </c>
      <c r="H116" s="14" t="str">
        <f>VLOOKUP(表2[[#This Row],[道具ID]],[1]!表1[[key值]:[名称]],12,FALSE)</f>
        <v>蛤蟆文太碎片</v>
      </c>
    </row>
    <row r="117" spans="1:8" x14ac:dyDescent="0.15">
      <c r="A117" s="2">
        <f>A103+1</f>
        <v>107</v>
      </c>
      <c r="B117" s="2">
        <v>1</v>
      </c>
      <c r="C117" s="4" t="s">
        <v>68</v>
      </c>
      <c r="D117" s="2">
        <v>1</v>
      </c>
      <c r="E117">
        <v>10</v>
      </c>
      <c r="F117">
        <v>200</v>
      </c>
      <c r="G117" s="2">
        <v>1</v>
      </c>
      <c r="H117" s="14" t="str">
        <f>VLOOKUP(表2[[#This Row],[道具ID]],[1]!表1[[key值]:[名称]],12,FALSE)</f>
        <v>100万金币卡</v>
      </c>
    </row>
    <row r="118" spans="1:8" x14ac:dyDescent="0.15">
      <c r="A118" s="2">
        <f t="shared" ref="A118:A130" si="2">A104+1</f>
        <v>107</v>
      </c>
      <c r="B118" s="2">
        <v>2</v>
      </c>
      <c r="C118" s="3" t="s">
        <v>69</v>
      </c>
      <c r="D118" s="2">
        <v>1</v>
      </c>
      <c r="E118">
        <v>200</v>
      </c>
      <c r="F118">
        <v>4000</v>
      </c>
      <c r="G118">
        <v>1</v>
      </c>
      <c r="H118" s="14" t="str">
        <f>VLOOKUP(表2[[#This Row],[道具ID]],[1]!表1[[key值]:[名称]],12,FALSE)</f>
        <v>10万金币卡</v>
      </c>
    </row>
    <row r="119" spans="1:8" x14ac:dyDescent="0.15">
      <c r="A119" s="2">
        <f t="shared" si="2"/>
        <v>107</v>
      </c>
      <c r="B119" s="2">
        <v>3</v>
      </c>
      <c r="C119" s="3" t="s">
        <v>70</v>
      </c>
      <c r="D119" s="2">
        <v>1</v>
      </c>
      <c r="E119">
        <v>18000</v>
      </c>
      <c r="F119">
        <v>10800</v>
      </c>
      <c r="G119">
        <v>0</v>
      </c>
      <c r="H119" s="14" t="str">
        <f>VLOOKUP(表2[[#This Row],[道具ID]],[1]!表1[[key值]:[名称]],12,FALSE)</f>
        <v>1万金币卡</v>
      </c>
    </row>
    <row r="120" spans="1:8" x14ac:dyDescent="0.15">
      <c r="A120" s="2">
        <f t="shared" si="2"/>
        <v>107</v>
      </c>
      <c r="B120" s="2">
        <v>4</v>
      </c>
      <c r="C120" s="3" t="str">
        <f>"w" &amp; 400+表2[[#This Row],[大奖类型]]</f>
        <v>w507</v>
      </c>
      <c r="D120" s="2">
        <v>1</v>
      </c>
      <c r="E120">
        <v>20690</v>
      </c>
      <c r="F120">
        <v>16000</v>
      </c>
      <c r="G120" s="2">
        <v>0</v>
      </c>
      <c r="H120" s="14" t="str">
        <f>VLOOKUP(表2[[#This Row],[道具ID]],[1]!表1[[key值]:[名称]],12,FALSE)</f>
        <v>星舰·黎明碎片</v>
      </c>
    </row>
    <row r="121" spans="1:8" x14ac:dyDescent="0.15">
      <c r="A121" s="2">
        <f t="shared" si="2"/>
        <v>107</v>
      </c>
      <c r="B121" s="2">
        <v>5</v>
      </c>
      <c r="C121" s="3" t="str">
        <f>"w" &amp; 400+表2[[#This Row],[大奖类型]]</f>
        <v>w507</v>
      </c>
      <c r="D121" s="2">
        <v>2</v>
      </c>
      <c r="E121">
        <v>10000</v>
      </c>
      <c r="F121">
        <v>16000</v>
      </c>
      <c r="G121">
        <v>0</v>
      </c>
      <c r="H121" s="14" t="str">
        <f>VLOOKUP(表2[[#This Row],[道具ID]],[1]!表1[[key值]:[名称]],12,FALSE)</f>
        <v>星舰·黎明碎片</v>
      </c>
    </row>
    <row r="122" spans="1:8" x14ac:dyDescent="0.15">
      <c r="A122" s="2">
        <f t="shared" si="2"/>
        <v>107</v>
      </c>
      <c r="B122" s="2">
        <v>6</v>
      </c>
      <c r="C122" s="3" t="str">
        <f>"w" &amp; 400+表2[[#This Row],[大奖类型]]</f>
        <v>w507</v>
      </c>
      <c r="D122" s="2">
        <v>10</v>
      </c>
      <c r="E122">
        <v>1000</v>
      </c>
      <c r="F122">
        <v>2500</v>
      </c>
      <c r="G122">
        <v>1</v>
      </c>
      <c r="H122" s="14" t="str">
        <f>VLOOKUP(表2[[#This Row],[道具ID]],[1]!表1[[key值]:[名称]],12,FALSE)</f>
        <v>星舰·黎明碎片</v>
      </c>
    </row>
    <row r="123" spans="1:8" x14ac:dyDescent="0.15">
      <c r="A123" s="2">
        <f t="shared" si="2"/>
        <v>107</v>
      </c>
      <c r="B123" s="2">
        <v>7</v>
      </c>
      <c r="C123" s="3" t="str">
        <f>"w" &amp; 400+表2[[#This Row],[大奖类型]]</f>
        <v>w507</v>
      </c>
      <c r="D123" s="2">
        <v>50</v>
      </c>
      <c r="E123">
        <v>100</v>
      </c>
      <c r="F123">
        <v>500</v>
      </c>
      <c r="G123">
        <v>1</v>
      </c>
      <c r="H123" s="14" t="str">
        <f>VLOOKUP(表2[[#This Row],[道具ID]],[1]!表1[[key值]:[名称]],12,FALSE)</f>
        <v>星舰·黎明碎片</v>
      </c>
    </row>
    <row r="124" spans="1:8" x14ac:dyDescent="0.15">
      <c r="A124" s="2">
        <f t="shared" si="2"/>
        <v>107</v>
      </c>
      <c r="B124" s="2">
        <v>8</v>
      </c>
      <c r="C124" s="3" t="s">
        <v>80</v>
      </c>
      <c r="D124" s="2">
        <v>1</v>
      </c>
      <c r="E124">
        <v>18000</v>
      </c>
      <c r="F124">
        <v>10800</v>
      </c>
      <c r="G124" s="2">
        <v>0</v>
      </c>
      <c r="H124" s="14" t="str">
        <f>VLOOKUP(表2[[#This Row],[道具ID]],[1]!表1[[key值]:[名称]],12,FALSE)</f>
        <v>海洋之心</v>
      </c>
    </row>
    <row r="125" spans="1:8" x14ac:dyDescent="0.15">
      <c r="A125" s="2">
        <f t="shared" si="2"/>
        <v>107</v>
      </c>
      <c r="B125" s="2">
        <v>9</v>
      </c>
      <c r="C125" s="3" t="s">
        <v>80</v>
      </c>
      <c r="D125" s="2">
        <v>1</v>
      </c>
      <c r="E125">
        <v>200</v>
      </c>
      <c r="F125">
        <v>4000</v>
      </c>
      <c r="G125" s="2">
        <v>1</v>
      </c>
      <c r="H125" s="14" t="str">
        <f>VLOOKUP(表2[[#This Row],[道具ID]],[1]!表1[[key值]:[名称]],12,FALSE)</f>
        <v>海洋之心</v>
      </c>
    </row>
    <row r="126" spans="1:8" x14ac:dyDescent="0.15">
      <c r="A126" s="2">
        <f t="shared" si="2"/>
        <v>107</v>
      </c>
      <c r="B126" s="2">
        <v>10</v>
      </c>
      <c r="C126" s="3" t="s">
        <v>80</v>
      </c>
      <c r="D126" s="2">
        <v>1</v>
      </c>
      <c r="E126">
        <v>10</v>
      </c>
      <c r="F126">
        <v>200</v>
      </c>
      <c r="G126">
        <v>1</v>
      </c>
      <c r="H126" s="14" t="str">
        <f>VLOOKUP(表2[[#This Row],[道具ID]],[1]!表1[[key值]:[名称]],12,FALSE)</f>
        <v>海洋之心</v>
      </c>
    </row>
    <row r="127" spans="1:8" x14ac:dyDescent="0.15">
      <c r="A127" s="2">
        <f t="shared" si="2"/>
        <v>107</v>
      </c>
      <c r="B127" s="2">
        <v>11</v>
      </c>
      <c r="C127" s="3" t="str">
        <f>"w" &amp; 400+表2[[#This Row],[大奖类型]]</f>
        <v>w507</v>
      </c>
      <c r="D127" s="2">
        <v>50</v>
      </c>
      <c r="E127">
        <v>100</v>
      </c>
      <c r="F127">
        <v>500</v>
      </c>
      <c r="G127">
        <v>1</v>
      </c>
      <c r="H127" s="14" t="str">
        <f>VLOOKUP(表2[[#This Row],[道具ID]],[1]!表1[[key值]:[名称]],12,FALSE)</f>
        <v>星舰·黎明碎片</v>
      </c>
    </row>
    <row r="128" spans="1:8" x14ac:dyDescent="0.15">
      <c r="A128" s="2">
        <f t="shared" si="2"/>
        <v>107</v>
      </c>
      <c r="B128" s="2">
        <v>12</v>
      </c>
      <c r="C128" s="3" t="str">
        <f>"w" &amp; 400+表2[[#This Row],[大奖类型]]</f>
        <v>w507</v>
      </c>
      <c r="D128" s="2">
        <v>10</v>
      </c>
      <c r="E128">
        <v>1000</v>
      </c>
      <c r="F128">
        <v>2500</v>
      </c>
      <c r="G128" s="2">
        <v>1</v>
      </c>
      <c r="H128" s="14" t="str">
        <f>VLOOKUP(表2[[#This Row],[道具ID]],[1]!表1[[key值]:[名称]],12,FALSE)</f>
        <v>星舰·黎明碎片</v>
      </c>
    </row>
    <row r="129" spans="1:8" x14ac:dyDescent="0.15">
      <c r="A129" s="2">
        <f t="shared" si="2"/>
        <v>107</v>
      </c>
      <c r="B129" s="2">
        <v>13</v>
      </c>
      <c r="C129" s="3" t="str">
        <f>"w" &amp; 400+表2[[#This Row],[大奖类型]]</f>
        <v>w507</v>
      </c>
      <c r="D129" s="2">
        <v>2</v>
      </c>
      <c r="E129">
        <v>10000</v>
      </c>
      <c r="F129">
        <v>16000</v>
      </c>
      <c r="G129">
        <v>0</v>
      </c>
      <c r="H129" s="14" t="str">
        <f>VLOOKUP(表2[[#This Row],[道具ID]],[1]!表1[[key值]:[名称]],12,FALSE)</f>
        <v>星舰·黎明碎片</v>
      </c>
    </row>
    <row r="130" spans="1:8" x14ac:dyDescent="0.15">
      <c r="A130" s="2">
        <f t="shared" si="2"/>
        <v>107</v>
      </c>
      <c r="B130" s="2">
        <v>14</v>
      </c>
      <c r="C130" s="3" t="str">
        <f>"w" &amp; 400+表2[[#This Row],[大奖类型]]</f>
        <v>w507</v>
      </c>
      <c r="D130" s="2">
        <v>1</v>
      </c>
      <c r="E130">
        <v>20690</v>
      </c>
      <c r="F130">
        <v>16000</v>
      </c>
      <c r="G130" s="2">
        <v>0</v>
      </c>
      <c r="H130" s="14" t="str">
        <f>VLOOKUP(表2[[#This Row],[道具ID]],[1]!表1[[key值]:[名称]],12,FALSE)</f>
        <v>星舰·黎明碎片</v>
      </c>
    </row>
    <row r="131" spans="1:8" x14ac:dyDescent="0.15">
      <c r="A131" s="2">
        <f>A117+1</f>
        <v>108</v>
      </c>
      <c r="B131" s="2">
        <v>1</v>
      </c>
      <c r="C131" s="4" t="s">
        <v>68</v>
      </c>
      <c r="D131" s="2">
        <v>1</v>
      </c>
      <c r="E131">
        <v>10</v>
      </c>
      <c r="F131">
        <v>200</v>
      </c>
      <c r="G131" s="2">
        <v>1</v>
      </c>
      <c r="H131" s="14" t="str">
        <f>VLOOKUP(表2[[#This Row],[道具ID]],[1]!表1[[key值]:[名称]],12,FALSE)</f>
        <v>100万金币卡</v>
      </c>
    </row>
    <row r="132" spans="1:8" x14ac:dyDescent="0.15">
      <c r="A132" s="2">
        <f t="shared" ref="A132:A144" si="3">A118+1</f>
        <v>108</v>
      </c>
      <c r="B132" s="2">
        <v>2</v>
      </c>
      <c r="C132" s="3" t="s">
        <v>69</v>
      </c>
      <c r="D132" s="2">
        <v>1</v>
      </c>
      <c r="E132">
        <v>200</v>
      </c>
      <c r="F132">
        <v>4000</v>
      </c>
      <c r="G132">
        <v>1</v>
      </c>
      <c r="H132" s="14" t="str">
        <f>VLOOKUP(表2[[#This Row],[道具ID]],[1]!表1[[key值]:[名称]],12,FALSE)</f>
        <v>10万金币卡</v>
      </c>
    </row>
    <row r="133" spans="1:8" x14ac:dyDescent="0.15">
      <c r="A133" s="2">
        <f t="shared" si="3"/>
        <v>108</v>
      </c>
      <c r="B133" s="2">
        <v>3</v>
      </c>
      <c r="C133" s="3" t="s">
        <v>70</v>
      </c>
      <c r="D133" s="2">
        <v>1</v>
      </c>
      <c r="E133">
        <v>18000</v>
      </c>
      <c r="F133">
        <v>10800</v>
      </c>
      <c r="G133">
        <v>0</v>
      </c>
      <c r="H133" s="14" t="str">
        <f>VLOOKUP(表2[[#This Row],[道具ID]],[1]!表1[[key值]:[名称]],12,FALSE)</f>
        <v>1万金币卡</v>
      </c>
    </row>
    <row r="134" spans="1:8" x14ac:dyDescent="0.15">
      <c r="A134" s="2">
        <f t="shared" si="3"/>
        <v>108</v>
      </c>
      <c r="B134" s="2">
        <v>4</v>
      </c>
      <c r="C134" s="3" t="str">
        <f>"w" &amp; 400+表2[[#This Row],[大奖类型]]</f>
        <v>w508</v>
      </c>
      <c r="D134" s="2">
        <v>1</v>
      </c>
      <c r="E134">
        <v>20690</v>
      </c>
      <c r="F134">
        <v>16000</v>
      </c>
      <c r="G134" s="2">
        <v>0</v>
      </c>
      <c r="H134" s="14" t="str">
        <f>VLOOKUP(表2[[#This Row],[道具ID]],[1]!表1[[key值]:[名称]],12,FALSE)</f>
        <v>泡泡膛碎片</v>
      </c>
    </row>
    <row r="135" spans="1:8" x14ac:dyDescent="0.15">
      <c r="A135" s="2">
        <f t="shared" si="3"/>
        <v>108</v>
      </c>
      <c r="B135" s="2">
        <v>5</v>
      </c>
      <c r="C135" s="3" t="str">
        <f>"w" &amp; 400+表2[[#This Row],[大奖类型]]</f>
        <v>w508</v>
      </c>
      <c r="D135" s="2">
        <v>2</v>
      </c>
      <c r="E135">
        <v>10000</v>
      </c>
      <c r="F135">
        <v>16000</v>
      </c>
      <c r="G135">
        <v>0</v>
      </c>
      <c r="H135" s="14" t="str">
        <f>VLOOKUP(表2[[#This Row],[道具ID]],[1]!表1[[key值]:[名称]],12,FALSE)</f>
        <v>泡泡膛碎片</v>
      </c>
    </row>
    <row r="136" spans="1:8" x14ac:dyDescent="0.15">
      <c r="A136" s="2">
        <f t="shared" si="3"/>
        <v>108</v>
      </c>
      <c r="B136" s="2">
        <v>6</v>
      </c>
      <c r="C136" s="3" t="str">
        <f>"w" &amp; 400+表2[[#This Row],[大奖类型]]</f>
        <v>w508</v>
      </c>
      <c r="D136" s="2">
        <v>10</v>
      </c>
      <c r="E136">
        <v>1000</v>
      </c>
      <c r="F136">
        <v>2500</v>
      </c>
      <c r="G136">
        <v>1</v>
      </c>
      <c r="H136" s="14" t="str">
        <f>VLOOKUP(表2[[#This Row],[道具ID]],[1]!表1[[key值]:[名称]],12,FALSE)</f>
        <v>泡泡膛碎片</v>
      </c>
    </row>
    <row r="137" spans="1:8" x14ac:dyDescent="0.15">
      <c r="A137" s="2">
        <f t="shared" si="3"/>
        <v>108</v>
      </c>
      <c r="B137" s="2">
        <v>7</v>
      </c>
      <c r="C137" s="3" t="str">
        <f>"w" &amp; 400+表2[[#This Row],[大奖类型]]</f>
        <v>w508</v>
      </c>
      <c r="D137" s="2">
        <v>50</v>
      </c>
      <c r="E137">
        <v>100</v>
      </c>
      <c r="F137">
        <v>500</v>
      </c>
      <c r="G137">
        <v>1</v>
      </c>
      <c r="H137" s="14" t="str">
        <f>VLOOKUP(表2[[#This Row],[道具ID]],[1]!表1[[key值]:[名称]],12,FALSE)</f>
        <v>泡泡膛碎片</v>
      </c>
    </row>
    <row r="138" spans="1:8" x14ac:dyDescent="0.15">
      <c r="A138" s="2">
        <f t="shared" si="3"/>
        <v>108</v>
      </c>
      <c r="B138" s="2">
        <v>8</v>
      </c>
      <c r="C138" s="3" t="s">
        <v>80</v>
      </c>
      <c r="D138" s="2">
        <v>1</v>
      </c>
      <c r="E138">
        <v>18000</v>
      </c>
      <c r="F138">
        <v>10800</v>
      </c>
      <c r="G138" s="2">
        <v>0</v>
      </c>
      <c r="H138" s="14" t="str">
        <f>VLOOKUP(表2[[#This Row],[道具ID]],[1]!表1[[key值]:[名称]],12,FALSE)</f>
        <v>海洋之心</v>
      </c>
    </row>
    <row r="139" spans="1:8" x14ac:dyDescent="0.15">
      <c r="A139" s="2">
        <f t="shared" si="3"/>
        <v>108</v>
      </c>
      <c r="B139" s="2">
        <v>9</v>
      </c>
      <c r="C139" s="3" t="s">
        <v>80</v>
      </c>
      <c r="D139" s="2">
        <v>1</v>
      </c>
      <c r="E139">
        <v>200</v>
      </c>
      <c r="F139">
        <v>4000</v>
      </c>
      <c r="G139" s="2">
        <v>1</v>
      </c>
      <c r="H139" s="14" t="str">
        <f>VLOOKUP(表2[[#This Row],[道具ID]],[1]!表1[[key值]:[名称]],12,FALSE)</f>
        <v>海洋之心</v>
      </c>
    </row>
    <row r="140" spans="1:8" x14ac:dyDescent="0.15">
      <c r="A140" s="2">
        <f t="shared" si="3"/>
        <v>108</v>
      </c>
      <c r="B140" s="2">
        <v>10</v>
      </c>
      <c r="C140" s="3" t="s">
        <v>80</v>
      </c>
      <c r="D140" s="2">
        <v>1</v>
      </c>
      <c r="E140">
        <v>10</v>
      </c>
      <c r="F140">
        <v>200</v>
      </c>
      <c r="G140">
        <v>1</v>
      </c>
      <c r="H140" s="14" t="str">
        <f>VLOOKUP(表2[[#This Row],[道具ID]],[1]!表1[[key值]:[名称]],12,FALSE)</f>
        <v>海洋之心</v>
      </c>
    </row>
    <row r="141" spans="1:8" x14ac:dyDescent="0.15">
      <c r="A141" s="2">
        <f t="shared" si="3"/>
        <v>108</v>
      </c>
      <c r="B141" s="2">
        <v>11</v>
      </c>
      <c r="C141" s="3" t="str">
        <f>"w" &amp; 400+表2[[#This Row],[大奖类型]]</f>
        <v>w508</v>
      </c>
      <c r="D141" s="2">
        <v>50</v>
      </c>
      <c r="E141">
        <v>100</v>
      </c>
      <c r="F141">
        <v>500</v>
      </c>
      <c r="G141">
        <v>1</v>
      </c>
      <c r="H141" s="14" t="str">
        <f>VLOOKUP(表2[[#This Row],[道具ID]],[1]!表1[[key值]:[名称]],12,FALSE)</f>
        <v>泡泡膛碎片</v>
      </c>
    </row>
    <row r="142" spans="1:8" x14ac:dyDescent="0.15">
      <c r="A142" s="2">
        <f t="shared" si="3"/>
        <v>108</v>
      </c>
      <c r="B142" s="2">
        <v>12</v>
      </c>
      <c r="C142" s="3" t="str">
        <f>"w" &amp; 400+表2[[#This Row],[大奖类型]]</f>
        <v>w508</v>
      </c>
      <c r="D142" s="2">
        <v>10</v>
      </c>
      <c r="E142">
        <v>1000</v>
      </c>
      <c r="F142">
        <v>2500</v>
      </c>
      <c r="G142" s="2">
        <v>1</v>
      </c>
      <c r="H142" s="14" t="str">
        <f>VLOOKUP(表2[[#This Row],[道具ID]],[1]!表1[[key值]:[名称]],12,FALSE)</f>
        <v>泡泡膛碎片</v>
      </c>
    </row>
    <row r="143" spans="1:8" x14ac:dyDescent="0.15">
      <c r="A143" s="2">
        <f t="shared" si="3"/>
        <v>108</v>
      </c>
      <c r="B143" s="2">
        <v>13</v>
      </c>
      <c r="C143" s="3" t="str">
        <f>"w" &amp; 400+表2[[#This Row],[大奖类型]]</f>
        <v>w508</v>
      </c>
      <c r="D143" s="2">
        <v>2</v>
      </c>
      <c r="E143">
        <v>10000</v>
      </c>
      <c r="F143">
        <v>16000</v>
      </c>
      <c r="G143">
        <v>0</v>
      </c>
      <c r="H143" s="14" t="str">
        <f>VLOOKUP(表2[[#This Row],[道具ID]],[1]!表1[[key值]:[名称]],12,FALSE)</f>
        <v>泡泡膛碎片</v>
      </c>
    </row>
    <row r="144" spans="1:8" x14ac:dyDescent="0.15">
      <c r="A144" s="2">
        <f t="shared" si="3"/>
        <v>108</v>
      </c>
      <c r="B144" s="2">
        <v>14</v>
      </c>
      <c r="C144" s="3" t="str">
        <f>"w" &amp; 400+表2[[#This Row],[大奖类型]]</f>
        <v>w508</v>
      </c>
      <c r="D144" s="2">
        <v>1</v>
      </c>
      <c r="E144">
        <v>20690</v>
      </c>
      <c r="F144">
        <v>16000</v>
      </c>
      <c r="G144" s="2">
        <v>0</v>
      </c>
      <c r="H144" s="14" t="str">
        <f>VLOOKUP(表2[[#This Row],[道具ID]],[1]!表1[[key值]:[名称]],12,FALSE)</f>
        <v>泡泡膛碎片</v>
      </c>
    </row>
    <row r="145" spans="1:8" x14ac:dyDescent="0.15">
      <c r="A145" s="2">
        <f>A131+1</f>
        <v>109</v>
      </c>
      <c r="B145" s="2">
        <v>1</v>
      </c>
      <c r="C145" s="4" t="s">
        <v>68</v>
      </c>
      <c r="D145" s="2">
        <v>1</v>
      </c>
      <c r="E145">
        <v>10</v>
      </c>
      <c r="F145">
        <v>200</v>
      </c>
      <c r="G145" s="2">
        <v>1</v>
      </c>
      <c r="H145" s="14" t="str">
        <f>VLOOKUP(表2[[#This Row],[道具ID]],[1]!表1[[key值]:[名称]],12,FALSE)</f>
        <v>100万金币卡</v>
      </c>
    </row>
    <row r="146" spans="1:8" x14ac:dyDescent="0.15">
      <c r="A146" s="2">
        <f t="shared" ref="A146:A158" si="4">A132+1</f>
        <v>109</v>
      </c>
      <c r="B146" s="2">
        <v>2</v>
      </c>
      <c r="C146" s="3" t="s">
        <v>69</v>
      </c>
      <c r="D146" s="2">
        <v>1</v>
      </c>
      <c r="E146">
        <v>200</v>
      </c>
      <c r="F146">
        <v>4000</v>
      </c>
      <c r="G146">
        <v>1</v>
      </c>
      <c r="H146" s="14" t="str">
        <f>VLOOKUP(表2[[#This Row],[道具ID]],[1]!表1[[key值]:[名称]],12,FALSE)</f>
        <v>10万金币卡</v>
      </c>
    </row>
    <row r="147" spans="1:8" x14ac:dyDescent="0.15">
      <c r="A147" s="2">
        <f t="shared" si="4"/>
        <v>109</v>
      </c>
      <c r="B147" s="2">
        <v>3</v>
      </c>
      <c r="C147" s="3" t="s">
        <v>70</v>
      </c>
      <c r="D147" s="2">
        <v>1</v>
      </c>
      <c r="E147">
        <v>18000</v>
      </c>
      <c r="F147">
        <v>10800</v>
      </c>
      <c r="G147">
        <v>0</v>
      </c>
      <c r="H147" s="14" t="str">
        <f>VLOOKUP(表2[[#This Row],[道具ID]],[1]!表1[[key值]:[名称]],12,FALSE)</f>
        <v>1万金币卡</v>
      </c>
    </row>
    <row r="148" spans="1:8" x14ac:dyDescent="0.15">
      <c r="A148" s="2">
        <f t="shared" si="4"/>
        <v>109</v>
      </c>
      <c r="B148" s="2">
        <v>4</v>
      </c>
      <c r="C148" s="3" t="str">
        <f>"w" &amp; 400+表2[[#This Row],[大奖类型]]</f>
        <v>w509</v>
      </c>
      <c r="D148" s="2">
        <v>1</v>
      </c>
      <c r="E148">
        <v>20690</v>
      </c>
      <c r="F148">
        <v>16000</v>
      </c>
      <c r="G148" s="2">
        <v>0</v>
      </c>
      <c r="H148" s="14" t="str">
        <f>VLOOKUP(表2[[#This Row],[道具ID]],[1]!表1[[key值]:[名称]],12,FALSE)</f>
        <v>黄金加特林碎片</v>
      </c>
    </row>
    <row r="149" spans="1:8" x14ac:dyDescent="0.15">
      <c r="A149" s="2">
        <f t="shared" si="4"/>
        <v>109</v>
      </c>
      <c r="B149" s="2">
        <v>5</v>
      </c>
      <c r="C149" s="3" t="str">
        <f>"w" &amp; 400+表2[[#This Row],[大奖类型]]</f>
        <v>w509</v>
      </c>
      <c r="D149" s="2">
        <v>2</v>
      </c>
      <c r="E149">
        <v>10000</v>
      </c>
      <c r="F149">
        <v>16000</v>
      </c>
      <c r="G149">
        <v>0</v>
      </c>
      <c r="H149" s="14" t="str">
        <f>VLOOKUP(表2[[#This Row],[道具ID]],[1]!表1[[key值]:[名称]],12,FALSE)</f>
        <v>黄金加特林碎片</v>
      </c>
    </row>
    <row r="150" spans="1:8" x14ac:dyDescent="0.15">
      <c r="A150" s="2">
        <f t="shared" si="4"/>
        <v>109</v>
      </c>
      <c r="B150" s="2">
        <v>6</v>
      </c>
      <c r="C150" s="3" t="str">
        <f>"w" &amp; 400+表2[[#This Row],[大奖类型]]</f>
        <v>w509</v>
      </c>
      <c r="D150" s="2">
        <v>10</v>
      </c>
      <c r="E150">
        <v>1000</v>
      </c>
      <c r="F150">
        <v>2500</v>
      </c>
      <c r="G150">
        <v>1</v>
      </c>
      <c r="H150" s="14" t="str">
        <f>VLOOKUP(表2[[#This Row],[道具ID]],[1]!表1[[key值]:[名称]],12,FALSE)</f>
        <v>黄金加特林碎片</v>
      </c>
    </row>
    <row r="151" spans="1:8" x14ac:dyDescent="0.15">
      <c r="A151" s="2">
        <f t="shared" si="4"/>
        <v>109</v>
      </c>
      <c r="B151" s="2">
        <v>7</v>
      </c>
      <c r="C151" s="3" t="str">
        <f>"w" &amp; 400+表2[[#This Row],[大奖类型]]</f>
        <v>w509</v>
      </c>
      <c r="D151" s="2">
        <v>50</v>
      </c>
      <c r="E151">
        <v>100</v>
      </c>
      <c r="F151">
        <v>500</v>
      </c>
      <c r="G151">
        <v>1</v>
      </c>
      <c r="H151" s="14" t="str">
        <f>VLOOKUP(表2[[#This Row],[道具ID]],[1]!表1[[key值]:[名称]],12,FALSE)</f>
        <v>黄金加特林碎片</v>
      </c>
    </row>
    <row r="152" spans="1:8" x14ac:dyDescent="0.15">
      <c r="A152" s="2">
        <f t="shared" si="4"/>
        <v>109</v>
      </c>
      <c r="B152" s="2">
        <v>8</v>
      </c>
      <c r="C152" s="3" t="s">
        <v>80</v>
      </c>
      <c r="D152" s="2">
        <v>1</v>
      </c>
      <c r="E152">
        <v>18000</v>
      </c>
      <c r="F152">
        <v>10800</v>
      </c>
      <c r="G152" s="2">
        <v>0</v>
      </c>
      <c r="H152" s="14" t="str">
        <f>VLOOKUP(表2[[#This Row],[道具ID]],[1]!表1[[key值]:[名称]],12,FALSE)</f>
        <v>海洋之心</v>
      </c>
    </row>
    <row r="153" spans="1:8" x14ac:dyDescent="0.15">
      <c r="A153" s="2">
        <f t="shared" si="4"/>
        <v>109</v>
      </c>
      <c r="B153" s="2">
        <v>9</v>
      </c>
      <c r="C153" s="3" t="s">
        <v>80</v>
      </c>
      <c r="D153" s="2">
        <v>1</v>
      </c>
      <c r="E153">
        <v>200</v>
      </c>
      <c r="F153">
        <v>4000</v>
      </c>
      <c r="G153" s="2">
        <v>1</v>
      </c>
      <c r="H153" s="14" t="str">
        <f>VLOOKUP(表2[[#This Row],[道具ID]],[1]!表1[[key值]:[名称]],12,FALSE)</f>
        <v>海洋之心</v>
      </c>
    </row>
    <row r="154" spans="1:8" x14ac:dyDescent="0.15">
      <c r="A154" s="2">
        <f t="shared" si="4"/>
        <v>109</v>
      </c>
      <c r="B154" s="2">
        <v>10</v>
      </c>
      <c r="C154" s="3" t="s">
        <v>80</v>
      </c>
      <c r="D154" s="2">
        <v>1</v>
      </c>
      <c r="E154">
        <v>10</v>
      </c>
      <c r="F154">
        <v>200</v>
      </c>
      <c r="G154">
        <v>1</v>
      </c>
      <c r="H154" s="14" t="str">
        <f>VLOOKUP(表2[[#This Row],[道具ID]],[1]!表1[[key值]:[名称]],12,FALSE)</f>
        <v>海洋之心</v>
      </c>
    </row>
    <row r="155" spans="1:8" x14ac:dyDescent="0.15">
      <c r="A155" s="2">
        <f t="shared" si="4"/>
        <v>109</v>
      </c>
      <c r="B155" s="2">
        <v>11</v>
      </c>
      <c r="C155" s="3" t="str">
        <f>"w" &amp; 400+表2[[#This Row],[大奖类型]]</f>
        <v>w509</v>
      </c>
      <c r="D155" s="2">
        <v>50</v>
      </c>
      <c r="E155">
        <v>100</v>
      </c>
      <c r="F155">
        <v>500</v>
      </c>
      <c r="G155">
        <v>1</v>
      </c>
      <c r="H155" s="14" t="str">
        <f>VLOOKUP(表2[[#This Row],[道具ID]],[1]!表1[[key值]:[名称]],12,FALSE)</f>
        <v>黄金加特林碎片</v>
      </c>
    </row>
    <row r="156" spans="1:8" x14ac:dyDescent="0.15">
      <c r="A156" s="2">
        <f t="shared" si="4"/>
        <v>109</v>
      </c>
      <c r="B156" s="2">
        <v>12</v>
      </c>
      <c r="C156" s="3" t="str">
        <f>"w" &amp; 400+表2[[#This Row],[大奖类型]]</f>
        <v>w509</v>
      </c>
      <c r="D156" s="2">
        <v>10</v>
      </c>
      <c r="E156">
        <v>1000</v>
      </c>
      <c r="F156">
        <v>2500</v>
      </c>
      <c r="G156" s="2">
        <v>1</v>
      </c>
      <c r="H156" s="14" t="str">
        <f>VLOOKUP(表2[[#This Row],[道具ID]],[1]!表1[[key值]:[名称]],12,FALSE)</f>
        <v>黄金加特林碎片</v>
      </c>
    </row>
    <row r="157" spans="1:8" x14ac:dyDescent="0.15">
      <c r="A157" s="2">
        <f t="shared" si="4"/>
        <v>109</v>
      </c>
      <c r="B157" s="2">
        <v>13</v>
      </c>
      <c r="C157" s="3" t="str">
        <f>"w" &amp; 400+表2[[#This Row],[大奖类型]]</f>
        <v>w509</v>
      </c>
      <c r="D157" s="2">
        <v>2</v>
      </c>
      <c r="E157">
        <v>10000</v>
      </c>
      <c r="F157">
        <v>16000</v>
      </c>
      <c r="G157">
        <v>0</v>
      </c>
      <c r="H157" s="14" t="str">
        <f>VLOOKUP(表2[[#This Row],[道具ID]],[1]!表1[[key值]:[名称]],12,FALSE)</f>
        <v>黄金加特林碎片</v>
      </c>
    </row>
    <row r="158" spans="1:8" x14ac:dyDescent="0.15">
      <c r="A158" s="2">
        <f t="shared" si="4"/>
        <v>109</v>
      </c>
      <c r="B158" s="2">
        <v>14</v>
      </c>
      <c r="C158" s="3" t="str">
        <f>"w" &amp; 400+表2[[#This Row],[大奖类型]]</f>
        <v>w509</v>
      </c>
      <c r="D158" s="2">
        <v>1</v>
      </c>
      <c r="E158">
        <v>20690</v>
      </c>
      <c r="F158">
        <v>16000</v>
      </c>
      <c r="G158" s="2">
        <v>0</v>
      </c>
      <c r="H158" s="14" t="str">
        <f>VLOOKUP(表2[[#This Row],[道具ID]],[1]!表1[[key值]:[名称]],12,FALSE)</f>
        <v>黄金加特林碎片</v>
      </c>
    </row>
    <row r="159" spans="1:8" x14ac:dyDescent="0.15">
      <c r="A159" s="2">
        <f>A145+1</f>
        <v>110</v>
      </c>
      <c r="B159" s="2">
        <v>1</v>
      </c>
      <c r="C159" s="4" t="s">
        <v>68</v>
      </c>
      <c r="D159" s="2">
        <v>1</v>
      </c>
      <c r="E159">
        <v>10</v>
      </c>
      <c r="F159">
        <v>200</v>
      </c>
      <c r="G159" s="2">
        <v>1</v>
      </c>
      <c r="H159" s="14" t="str">
        <f>VLOOKUP(表2[[#This Row],[道具ID]],[1]!表1[[key值]:[名称]],12,FALSE)</f>
        <v>100万金币卡</v>
      </c>
    </row>
    <row r="160" spans="1:8" x14ac:dyDescent="0.15">
      <c r="A160" s="2">
        <f t="shared" ref="A160:A172" si="5">A146+1</f>
        <v>110</v>
      </c>
      <c r="B160" s="2">
        <v>2</v>
      </c>
      <c r="C160" s="3" t="s">
        <v>69</v>
      </c>
      <c r="D160" s="2">
        <v>1</v>
      </c>
      <c r="E160">
        <v>200</v>
      </c>
      <c r="F160">
        <v>4000</v>
      </c>
      <c r="G160">
        <v>1</v>
      </c>
      <c r="H160" s="14" t="str">
        <f>VLOOKUP(表2[[#This Row],[道具ID]],[1]!表1[[key值]:[名称]],12,FALSE)</f>
        <v>10万金币卡</v>
      </c>
    </row>
    <row r="161" spans="1:8" x14ac:dyDescent="0.15">
      <c r="A161" s="2">
        <f t="shared" si="5"/>
        <v>110</v>
      </c>
      <c r="B161" s="2">
        <v>3</v>
      </c>
      <c r="C161" s="3" t="s">
        <v>70</v>
      </c>
      <c r="D161" s="2">
        <v>1</v>
      </c>
      <c r="E161">
        <v>18000</v>
      </c>
      <c r="F161">
        <v>10800</v>
      </c>
      <c r="G161">
        <v>0</v>
      </c>
      <c r="H161" s="14" t="str">
        <f>VLOOKUP(表2[[#This Row],[道具ID]],[1]!表1[[key值]:[名称]],12,FALSE)</f>
        <v>1万金币卡</v>
      </c>
    </row>
    <row r="162" spans="1:8" x14ac:dyDescent="0.15">
      <c r="A162" s="2">
        <f t="shared" si="5"/>
        <v>110</v>
      </c>
      <c r="B162" s="2">
        <v>4</v>
      </c>
      <c r="C162" s="3" t="str">
        <f>"w" &amp; 400+表2[[#This Row],[大奖类型]]</f>
        <v>w510</v>
      </c>
      <c r="D162" s="2">
        <v>1</v>
      </c>
      <c r="E162">
        <v>20690</v>
      </c>
      <c r="F162">
        <v>16000</v>
      </c>
      <c r="G162" s="2">
        <v>0</v>
      </c>
      <c r="H162" s="14" t="str">
        <f>VLOOKUP(表2[[#This Row],[道具ID]],[1]!表1[[key值]:[名称]],12,FALSE)</f>
        <v>星舰·孤狼碎片</v>
      </c>
    </row>
    <row r="163" spans="1:8" x14ac:dyDescent="0.15">
      <c r="A163" s="2">
        <f t="shared" si="5"/>
        <v>110</v>
      </c>
      <c r="B163" s="2">
        <v>5</v>
      </c>
      <c r="C163" s="3" t="str">
        <f>"w" &amp; 400+表2[[#This Row],[大奖类型]]</f>
        <v>w510</v>
      </c>
      <c r="D163" s="2">
        <v>2</v>
      </c>
      <c r="E163">
        <v>10000</v>
      </c>
      <c r="F163">
        <v>16000</v>
      </c>
      <c r="G163">
        <v>0</v>
      </c>
      <c r="H163" s="14" t="str">
        <f>VLOOKUP(表2[[#This Row],[道具ID]],[1]!表1[[key值]:[名称]],12,FALSE)</f>
        <v>星舰·孤狼碎片</v>
      </c>
    </row>
    <row r="164" spans="1:8" x14ac:dyDescent="0.15">
      <c r="A164" s="2">
        <f t="shared" si="5"/>
        <v>110</v>
      </c>
      <c r="B164" s="2">
        <v>6</v>
      </c>
      <c r="C164" s="3" t="str">
        <f>"w" &amp; 400+表2[[#This Row],[大奖类型]]</f>
        <v>w510</v>
      </c>
      <c r="D164" s="2">
        <v>10</v>
      </c>
      <c r="E164">
        <v>1000</v>
      </c>
      <c r="F164">
        <v>2500</v>
      </c>
      <c r="G164">
        <v>1</v>
      </c>
      <c r="H164" s="14" t="str">
        <f>VLOOKUP(表2[[#This Row],[道具ID]],[1]!表1[[key值]:[名称]],12,FALSE)</f>
        <v>星舰·孤狼碎片</v>
      </c>
    </row>
    <row r="165" spans="1:8" x14ac:dyDescent="0.15">
      <c r="A165" s="2">
        <f t="shared" si="5"/>
        <v>110</v>
      </c>
      <c r="B165" s="2">
        <v>7</v>
      </c>
      <c r="C165" s="3" t="str">
        <f>"w" &amp; 400+表2[[#This Row],[大奖类型]]</f>
        <v>w510</v>
      </c>
      <c r="D165" s="2">
        <v>50</v>
      </c>
      <c r="E165">
        <v>100</v>
      </c>
      <c r="F165">
        <v>500</v>
      </c>
      <c r="G165">
        <v>1</v>
      </c>
      <c r="H165" s="14" t="str">
        <f>VLOOKUP(表2[[#This Row],[道具ID]],[1]!表1[[key值]:[名称]],12,FALSE)</f>
        <v>星舰·孤狼碎片</v>
      </c>
    </row>
    <row r="166" spans="1:8" x14ac:dyDescent="0.15">
      <c r="A166" s="2">
        <f t="shared" si="5"/>
        <v>110</v>
      </c>
      <c r="B166" s="2">
        <v>8</v>
      </c>
      <c r="C166" s="3" t="s">
        <v>80</v>
      </c>
      <c r="D166" s="2">
        <v>1</v>
      </c>
      <c r="E166">
        <v>18000</v>
      </c>
      <c r="F166">
        <v>10800</v>
      </c>
      <c r="G166" s="2">
        <v>0</v>
      </c>
      <c r="H166" s="14" t="str">
        <f>VLOOKUP(表2[[#This Row],[道具ID]],[1]!表1[[key值]:[名称]],12,FALSE)</f>
        <v>海洋之心</v>
      </c>
    </row>
    <row r="167" spans="1:8" x14ac:dyDescent="0.15">
      <c r="A167" s="2">
        <f t="shared" si="5"/>
        <v>110</v>
      </c>
      <c r="B167" s="2">
        <v>9</v>
      </c>
      <c r="C167" s="3" t="s">
        <v>80</v>
      </c>
      <c r="D167" s="2">
        <v>1</v>
      </c>
      <c r="E167">
        <v>200</v>
      </c>
      <c r="F167">
        <v>4000</v>
      </c>
      <c r="G167" s="2">
        <v>1</v>
      </c>
      <c r="H167" s="14" t="str">
        <f>VLOOKUP(表2[[#This Row],[道具ID]],[1]!表1[[key值]:[名称]],12,FALSE)</f>
        <v>海洋之心</v>
      </c>
    </row>
    <row r="168" spans="1:8" x14ac:dyDescent="0.15">
      <c r="A168" s="2">
        <f t="shared" si="5"/>
        <v>110</v>
      </c>
      <c r="B168" s="2">
        <v>10</v>
      </c>
      <c r="C168" s="3" t="s">
        <v>80</v>
      </c>
      <c r="D168" s="2">
        <v>1</v>
      </c>
      <c r="E168">
        <v>10</v>
      </c>
      <c r="F168">
        <v>200</v>
      </c>
      <c r="G168">
        <v>1</v>
      </c>
      <c r="H168" s="14" t="str">
        <f>VLOOKUP(表2[[#This Row],[道具ID]],[1]!表1[[key值]:[名称]],12,FALSE)</f>
        <v>海洋之心</v>
      </c>
    </row>
    <row r="169" spans="1:8" x14ac:dyDescent="0.15">
      <c r="A169" s="2">
        <f t="shared" si="5"/>
        <v>110</v>
      </c>
      <c r="B169" s="2">
        <v>11</v>
      </c>
      <c r="C169" s="3" t="str">
        <f>"w" &amp; 400+表2[[#This Row],[大奖类型]]</f>
        <v>w510</v>
      </c>
      <c r="D169" s="2">
        <v>50</v>
      </c>
      <c r="E169">
        <v>100</v>
      </c>
      <c r="F169">
        <v>500</v>
      </c>
      <c r="G169">
        <v>1</v>
      </c>
      <c r="H169" s="14" t="str">
        <f>VLOOKUP(表2[[#This Row],[道具ID]],[1]!表1[[key值]:[名称]],12,FALSE)</f>
        <v>星舰·孤狼碎片</v>
      </c>
    </row>
    <row r="170" spans="1:8" x14ac:dyDescent="0.15">
      <c r="A170" s="2">
        <f t="shared" si="5"/>
        <v>110</v>
      </c>
      <c r="B170" s="2">
        <v>12</v>
      </c>
      <c r="C170" s="3" t="str">
        <f>"w" &amp; 400+表2[[#This Row],[大奖类型]]</f>
        <v>w510</v>
      </c>
      <c r="D170" s="2">
        <v>10</v>
      </c>
      <c r="E170">
        <v>1000</v>
      </c>
      <c r="F170">
        <v>2500</v>
      </c>
      <c r="G170" s="2">
        <v>1</v>
      </c>
      <c r="H170" s="14" t="str">
        <f>VLOOKUP(表2[[#This Row],[道具ID]],[1]!表1[[key值]:[名称]],12,FALSE)</f>
        <v>星舰·孤狼碎片</v>
      </c>
    </row>
    <row r="171" spans="1:8" x14ac:dyDescent="0.15">
      <c r="A171" s="2">
        <f t="shared" si="5"/>
        <v>110</v>
      </c>
      <c r="B171" s="2">
        <v>13</v>
      </c>
      <c r="C171" s="3" t="str">
        <f>"w" &amp; 400+表2[[#This Row],[大奖类型]]</f>
        <v>w510</v>
      </c>
      <c r="D171" s="2">
        <v>2</v>
      </c>
      <c r="E171">
        <v>10000</v>
      </c>
      <c r="F171">
        <v>16000</v>
      </c>
      <c r="G171">
        <v>0</v>
      </c>
      <c r="H171" s="14" t="str">
        <f>VLOOKUP(表2[[#This Row],[道具ID]],[1]!表1[[key值]:[名称]],12,FALSE)</f>
        <v>星舰·孤狼碎片</v>
      </c>
    </row>
    <row r="172" spans="1:8" x14ac:dyDescent="0.15">
      <c r="A172" s="2">
        <f t="shared" si="5"/>
        <v>110</v>
      </c>
      <c r="B172" s="2">
        <v>14</v>
      </c>
      <c r="C172" s="3" t="str">
        <f>"w" &amp; 400+表2[[#This Row],[大奖类型]]</f>
        <v>w510</v>
      </c>
      <c r="D172" s="2">
        <v>1</v>
      </c>
      <c r="E172">
        <v>20690</v>
      </c>
      <c r="F172">
        <v>16000</v>
      </c>
      <c r="G172" s="2">
        <v>0</v>
      </c>
      <c r="H172" s="14" t="str">
        <f>VLOOKUP(表2[[#This Row],[道具ID]],[1]!表1[[key值]:[名称]],12,FALSE)</f>
        <v>星舰·孤狼碎片</v>
      </c>
    </row>
    <row r="173" spans="1:8" x14ac:dyDescent="0.15">
      <c r="A173" s="2">
        <f>A159+1</f>
        <v>111</v>
      </c>
      <c r="B173" s="2">
        <v>1</v>
      </c>
      <c r="C173" s="4" t="s">
        <v>68</v>
      </c>
      <c r="D173" s="2">
        <v>1</v>
      </c>
      <c r="E173">
        <v>10</v>
      </c>
      <c r="F173">
        <v>200</v>
      </c>
      <c r="G173" s="2">
        <v>1</v>
      </c>
      <c r="H173" s="14" t="str">
        <f>VLOOKUP(表2[[#This Row],[道具ID]],[1]!表1[[key值]:[名称]],12,FALSE)</f>
        <v>100万金币卡</v>
      </c>
    </row>
    <row r="174" spans="1:8" x14ac:dyDescent="0.15">
      <c r="A174" s="2">
        <f t="shared" ref="A174:A186" si="6">A160+1</f>
        <v>111</v>
      </c>
      <c r="B174" s="2">
        <v>2</v>
      </c>
      <c r="C174" s="3" t="s">
        <v>69</v>
      </c>
      <c r="D174" s="2">
        <v>1</v>
      </c>
      <c r="E174">
        <v>200</v>
      </c>
      <c r="F174">
        <v>4000</v>
      </c>
      <c r="G174">
        <v>1</v>
      </c>
      <c r="H174" s="14" t="str">
        <f>VLOOKUP(表2[[#This Row],[道具ID]],[1]!表1[[key值]:[名称]],12,FALSE)</f>
        <v>10万金币卡</v>
      </c>
    </row>
    <row r="175" spans="1:8" x14ac:dyDescent="0.15">
      <c r="A175" s="2">
        <f t="shared" si="6"/>
        <v>111</v>
      </c>
      <c r="B175" s="2">
        <v>3</v>
      </c>
      <c r="C175" s="3" t="s">
        <v>70</v>
      </c>
      <c r="D175" s="2">
        <v>1</v>
      </c>
      <c r="E175">
        <v>18000</v>
      </c>
      <c r="F175">
        <v>10800</v>
      </c>
      <c r="G175">
        <v>0</v>
      </c>
      <c r="H175" s="14" t="str">
        <f>VLOOKUP(表2[[#This Row],[道具ID]],[1]!表1[[key值]:[名称]],12,FALSE)</f>
        <v>1万金币卡</v>
      </c>
    </row>
    <row r="176" spans="1:8" x14ac:dyDescent="0.15">
      <c r="A176" s="2">
        <f t="shared" si="6"/>
        <v>111</v>
      </c>
      <c r="B176" s="2">
        <v>4</v>
      </c>
      <c r="C176" s="3" t="str">
        <f>"w" &amp; 400+表2[[#This Row],[大奖类型]]</f>
        <v>w511</v>
      </c>
      <c r="D176" s="2">
        <v>1</v>
      </c>
      <c r="E176">
        <v>20690</v>
      </c>
      <c r="F176">
        <v>16000</v>
      </c>
      <c r="G176" s="2">
        <v>0</v>
      </c>
      <c r="H176" s="14" t="str">
        <f>VLOOKUP(表2[[#This Row],[道具ID]],[1]!表1[[key值]:[名称]],12,FALSE)</f>
        <v>电玩精英碎片</v>
      </c>
    </row>
    <row r="177" spans="1:8" x14ac:dyDescent="0.15">
      <c r="A177" s="2">
        <f t="shared" si="6"/>
        <v>111</v>
      </c>
      <c r="B177" s="2">
        <v>5</v>
      </c>
      <c r="C177" s="3" t="str">
        <f>"w" &amp; 400+表2[[#This Row],[大奖类型]]</f>
        <v>w511</v>
      </c>
      <c r="D177" s="2">
        <v>2</v>
      </c>
      <c r="E177">
        <v>10000</v>
      </c>
      <c r="F177">
        <v>16000</v>
      </c>
      <c r="G177">
        <v>0</v>
      </c>
      <c r="H177" s="14" t="str">
        <f>VLOOKUP(表2[[#This Row],[道具ID]],[1]!表1[[key值]:[名称]],12,FALSE)</f>
        <v>电玩精英碎片</v>
      </c>
    </row>
    <row r="178" spans="1:8" x14ac:dyDescent="0.15">
      <c r="A178" s="2">
        <f t="shared" si="6"/>
        <v>111</v>
      </c>
      <c r="B178" s="2">
        <v>6</v>
      </c>
      <c r="C178" s="3" t="str">
        <f>"w" &amp; 400+表2[[#This Row],[大奖类型]]</f>
        <v>w511</v>
      </c>
      <c r="D178" s="2">
        <v>10</v>
      </c>
      <c r="E178">
        <v>1000</v>
      </c>
      <c r="F178">
        <v>2500</v>
      </c>
      <c r="G178">
        <v>1</v>
      </c>
      <c r="H178" s="14" t="str">
        <f>VLOOKUP(表2[[#This Row],[道具ID]],[1]!表1[[key值]:[名称]],12,FALSE)</f>
        <v>电玩精英碎片</v>
      </c>
    </row>
    <row r="179" spans="1:8" x14ac:dyDescent="0.15">
      <c r="A179" s="2">
        <f t="shared" si="6"/>
        <v>111</v>
      </c>
      <c r="B179" s="2">
        <v>7</v>
      </c>
      <c r="C179" s="3" t="str">
        <f>"w" &amp; 400+表2[[#This Row],[大奖类型]]</f>
        <v>w511</v>
      </c>
      <c r="D179" s="2">
        <v>50</v>
      </c>
      <c r="E179">
        <v>100</v>
      </c>
      <c r="F179">
        <v>500</v>
      </c>
      <c r="G179">
        <v>1</v>
      </c>
      <c r="H179" s="14" t="str">
        <f>VLOOKUP(表2[[#This Row],[道具ID]],[1]!表1[[key值]:[名称]],12,FALSE)</f>
        <v>电玩精英碎片</v>
      </c>
    </row>
    <row r="180" spans="1:8" x14ac:dyDescent="0.15">
      <c r="A180" s="2">
        <f t="shared" si="6"/>
        <v>111</v>
      </c>
      <c r="B180" s="2">
        <v>8</v>
      </c>
      <c r="C180" s="3" t="s">
        <v>80</v>
      </c>
      <c r="D180" s="2">
        <v>1</v>
      </c>
      <c r="E180">
        <v>18000</v>
      </c>
      <c r="F180">
        <v>10800</v>
      </c>
      <c r="G180" s="2">
        <v>0</v>
      </c>
      <c r="H180" s="14" t="str">
        <f>VLOOKUP(表2[[#This Row],[道具ID]],[1]!表1[[key值]:[名称]],12,FALSE)</f>
        <v>海洋之心</v>
      </c>
    </row>
    <row r="181" spans="1:8" x14ac:dyDescent="0.15">
      <c r="A181" s="2">
        <f t="shared" si="6"/>
        <v>111</v>
      </c>
      <c r="B181" s="2">
        <v>9</v>
      </c>
      <c r="C181" s="3" t="s">
        <v>80</v>
      </c>
      <c r="D181" s="2">
        <v>1</v>
      </c>
      <c r="E181">
        <v>200</v>
      </c>
      <c r="F181">
        <v>4000</v>
      </c>
      <c r="G181" s="2">
        <v>1</v>
      </c>
      <c r="H181" s="14" t="str">
        <f>VLOOKUP(表2[[#This Row],[道具ID]],[1]!表1[[key值]:[名称]],12,FALSE)</f>
        <v>海洋之心</v>
      </c>
    </row>
    <row r="182" spans="1:8" x14ac:dyDescent="0.15">
      <c r="A182" s="2">
        <f t="shared" si="6"/>
        <v>111</v>
      </c>
      <c r="B182" s="2">
        <v>10</v>
      </c>
      <c r="C182" s="3" t="s">
        <v>80</v>
      </c>
      <c r="D182" s="2">
        <v>1</v>
      </c>
      <c r="E182">
        <v>10</v>
      </c>
      <c r="F182">
        <v>200</v>
      </c>
      <c r="G182">
        <v>1</v>
      </c>
      <c r="H182" s="14" t="str">
        <f>VLOOKUP(表2[[#This Row],[道具ID]],[1]!表1[[key值]:[名称]],12,FALSE)</f>
        <v>海洋之心</v>
      </c>
    </row>
    <row r="183" spans="1:8" x14ac:dyDescent="0.15">
      <c r="A183" s="2">
        <f t="shared" si="6"/>
        <v>111</v>
      </c>
      <c r="B183" s="2">
        <v>11</v>
      </c>
      <c r="C183" s="3" t="str">
        <f>"w" &amp; 400+表2[[#This Row],[大奖类型]]</f>
        <v>w511</v>
      </c>
      <c r="D183" s="2">
        <v>50</v>
      </c>
      <c r="E183">
        <v>100</v>
      </c>
      <c r="F183">
        <v>500</v>
      </c>
      <c r="G183">
        <v>1</v>
      </c>
      <c r="H183" s="14" t="str">
        <f>VLOOKUP(表2[[#This Row],[道具ID]],[1]!表1[[key值]:[名称]],12,FALSE)</f>
        <v>电玩精英碎片</v>
      </c>
    </row>
    <row r="184" spans="1:8" x14ac:dyDescent="0.15">
      <c r="A184" s="2">
        <f t="shared" si="6"/>
        <v>111</v>
      </c>
      <c r="B184" s="2">
        <v>12</v>
      </c>
      <c r="C184" s="3" t="str">
        <f>"w" &amp; 400+表2[[#This Row],[大奖类型]]</f>
        <v>w511</v>
      </c>
      <c r="D184" s="2">
        <v>10</v>
      </c>
      <c r="E184">
        <v>1000</v>
      </c>
      <c r="F184">
        <v>2500</v>
      </c>
      <c r="G184" s="2">
        <v>1</v>
      </c>
      <c r="H184" s="14" t="str">
        <f>VLOOKUP(表2[[#This Row],[道具ID]],[1]!表1[[key值]:[名称]],12,FALSE)</f>
        <v>电玩精英碎片</v>
      </c>
    </row>
    <row r="185" spans="1:8" x14ac:dyDescent="0.15">
      <c r="A185" s="2">
        <f t="shared" si="6"/>
        <v>111</v>
      </c>
      <c r="B185" s="2">
        <v>13</v>
      </c>
      <c r="C185" s="3" t="str">
        <f>"w" &amp; 400+表2[[#This Row],[大奖类型]]</f>
        <v>w511</v>
      </c>
      <c r="D185" s="2">
        <v>2</v>
      </c>
      <c r="E185">
        <v>10000</v>
      </c>
      <c r="F185">
        <v>16000</v>
      </c>
      <c r="G185">
        <v>0</v>
      </c>
      <c r="H185" s="14" t="str">
        <f>VLOOKUP(表2[[#This Row],[道具ID]],[1]!表1[[key值]:[名称]],12,FALSE)</f>
        <v>电玩精英碎片</v>
      </c>
    </row>
    <row r="186" spans="1:8" x14ac:dyDescent="0.15">
      <c r="A186" s="2">
        <f t="shared" si="6"/>
        <v>111</v>
      </c>
      <c r="B186" s="2">
        <v>14</v>
      </c>
      <c r="C186" s="3" t="str">
        <f>"w" &amp; 400+表2[[#This Row],[大奖类型]]</f>
        <v>w511</v>
      </c>
      <c r="D186" s="2">
        <v>1</v>
      </c>
      <c r="E186">
        <v>20690</v>
      </c>
      <c r="F186">
        <v>16000</v>
      </c>
      <c r="G186" s="2">
        <v>0</v>
      </c>
      <c r="H186" s="14" t="str">
        <f>VLOOKUP(表2[[#This Row],[道具ID]],[1]!表1[[key值]:[名称]],12,FALSE)</f>
        <v>电玩精英碎片</v>
      </c>
    </row>
    <row r="187" spans="1:8" x14ac:dyDescent="0.15">
      <c r="A187" s="2">
        <f>A173+1</f>
        <v>112</v>
      </c>
      <c r="B187" s="2">
        <v>1</v>
      </c>
      <c r="C187" s="4" t="s">
        <v>68</v>
      </c>
      <c r="D187" s="2">
        <v>1</v>
      </c>
      <c r="E187">
        <v>10</v>
      </c>
      <c r="F187">
        <v>200</v>
      </c>
      <c r="G187" s="2">
        <v>1</v>
      </c>
      <c r="H187" s="14" t="str">
        <f>VLOOKUP(表2[[#This Row],[道具ID]],[1]!表1[[key值]:[名称]],12,FALSE)</f>
        <v>100万金币卡</v>
      </c>
    </row>
    <row r="188" spans="1:8" x14ac:dyDescent="0.15">
      <c r="A188" s="2">
        <f t="shared" ref="A188:A200" si="7">A174+1</f>
        <v>112</v>
      </c>
      <c r="B188" s="2">
        <v>2</v>
      </c>
      <c r="C188" s="3" t="s">
        <v>69</v>
      </c>
      <c r="D188" s="2">
        <v>1</v>
      </c>
      <c r="E188">
        <v>200</v>
      </c>
      <c r="F188">
        <v>4000</v>
      </c>
      <c r="G188">
        <v>1</v>
      </c>
      <c r="H188" s="14" t="str">
        <f>VLOOKUP(表2[[#This Row],[道具ID]],[1]!表1[[key值]:[名称]],12,FALSE)</f>
        <v>10万金币卡</v>
      </c>
    </row>
    <row r="189" spans="1:8" x14ac:dyDescent="0.15">
      <c r="A189" s="2">
        <f t="shared" si="7"/>
        <v>112</v>
      </c>
      <c r="B189" s="2">
        <v>3</v>
      </c>
      <c r="C189" s="3" t="s">
        <v>70</v>
      </c>
      <c r="D189" s="2">
        <v>1</v>
      </c>
      <c r="E189">
        <v>18000</v>
      </c>
      <c r="F189">
        <v>10800</v>
      </c>
      <c r="G189">
        <v>0</v>
      </c>
      <c r="H189" s="14" t="str">
        <f>VLOOKUP(表2[[#This Row],[道具ID]],[1]!表1[[key值]:[名称]],12,FALSE)</f>
        <v>1万金币卡</v>
      </c>
    </row>
    <row r="190" spans="1:8" x14ac:dyDescent="0.15">
      <c r="A190" s="2">
        <f t="shared" si="7"/>
        <v>112</v>
      </c>
      <c r="B190" s="2">
        <v>4</v>
      </c>
      <c r="C190" s="3" t="str">
        <f>"w" &amp; 400+表2[[#This Row],[大奖类型]]</f>
        <v>w512</v>
      </c>
      <c r="D190" s="2">
        <v>1</v>
      </c>
      <c r="E190">
        <v>20690</v>
      </c>
      <c r="F190">
        <v>16000</v>
      </c>
      <c r="G190" s="2">
        <v>0</v>
      </c>
      <c r="H190" s="14" t="str">
        <f>VLOOKUP(表2[[#This Row],[道具ID]],[1]!表1[[key值]:[名称]],12,FALSE)</f>
        <v>霜之哀伤碎片</v>
      </c>
    </row>
    <row r="191" spans="1:8" x14ac:dyDescent="0.15">
      <c r="A191" s="2">
        <f t="shared" si="7"/>
        <v>112</v>
      </c>
      <c r="B191" s="2">
        <v>5</v>
      </c>
      <c r="C191" s="3" t="str">
        <f>"w" &amp; 400+表2[[#This Row],[大奖类型]]</f>
        <v>w512</v>
      </c>
      <c r="D191" s="2">
        <v>2</v>
      </c>
      <c r="E191">
        <v>10000</v>
      </c>
      <c r="F191">
        <v>16000</v>
      </c>
      <c r="G191">
        <v>0</v>
      </c>
      <c r="H191" s="14" t="str">
        <f>VLOOKUP(表2[[#This Row],[道具ID]],[1]!表1[[key值]:[名称]],12,FALSE)</f>
        <v>霜之哀伤碎片</v>
      </c>
    </row>
    <row r="192" spans="1:8" x14ac:dyDescent="0.15">
      <c r="A192" s="2">
        <f t="shared" si="7"/>
        <v>112</v>
      </c>
      <c r="B192" s="2">
        <v>6</v>
      </c>
      <c r="C192" s="3" t="str">
        <f>"w" &amp; 400+表2[[#This Row],[大奖类型]]</f>
        <v>w512</v>
      </c>
      <c r="D192" s="2">
        <v>10</v>
      </c>
      <c r="E192">
        <v>1000</v>
      </c>
      <c r="F192">
        <v>2500</v>
      </c>
      <c r="G192">
        <v>1</v>
      </c>
      <c r="H192" s="14" t="str">
        <f>VLOOKUP(表2[[#This Row],[道具ID]],[1]!表1[[key值]:[名称]],12,FALSE)</f>
        <v>霜之哀伤碎片</v>
      </c>
    </row>
    <row r="193" spans="1:8" x14ac:dyDescent="0.15">
      <c r="A193" s="2">
        <f t="shared" si="7"/>
        <v>112</v>
      </c>
      <c r="B193" s="2">
        <v>7</v>
      </c>
      <c r="C193" s="3" t="str">
        <f>"w" &amp; 400+表2[[#This Row],[大奖类型]]</f>
        <v>w512</v>
      </c>
      <c r="D193" s="2">
        <v>50</v>
      </c>
      <c r="E193">
        <v>100</v>
      </c>
      <c r="F193">
        <v>500</v>
      </c>
      <c r="G193">
        <v>1</v>
      </c>
      <c r="H193" s="14" t="str">
        <f>VLOOKUP(表2[[#This Row],[道具ID]],[1]!表1[[key值]:[名称]],12,FALSE)</f>
        <v>霜之哀伤碎片</v>
      </c>
    </row>
    <row r="194" spans="1:8" x14ac:dyDescent="0.15">
      <c r="A194" s="2">
        <f t="shared" si="7"/>
        <v>112</v>
      </c>
      <c r="B194" s="2">
        <v>8</v>
      </c>
      <c r="C194" s="3" t="s">
        <v>80</v>
      </c>
      <c r="D194" s="2">
        <v>1</v>
      </c>
      <c r="E194">
        <v>18000</v>
      </c>
      <c r="F194">
        <v>10800</v>
      </c>
      <c r="G194" s="2">
        <v>0</v>
      </c>
      <c r="H194" s="14" t="str">
        <f>VLOOKUP(表2[[#This Row],[道具ID]],[1]!表1[[key值]:[名称]],12,FALSE)</f>
        <v>海洋之心</v>
      </c>
    </row>
    <row r="195" spans="1:8" x14ac:dyDescent="0.15">
      <c r="A195" s="2">
        <f t="shared" si="7"/>
        <v>112</v>
      </c>
      <c r="B195" s="2">
        <v>9</v>
      </c>
      <c r="C195" s="3" t="s">
        <v>80</v>
      </c>
      <c r="D195" s="2">
        <v>1</v>
      </c>
      <c r="E195">
        <v>200</v>
      </c>
      <c r="F195">
        <v>4000</v>
      </c>
      <c r="G195" s="2">
        <v>1</v>
      </c>
      <c r="H195" s="14" t="str">
        <f>VLOOKUP(表2[[#This Row],[道具ID]],[1]!表1[[key值]:[名称]],12,FALSE)</f>
        <v>海洋之心</v>
      </c>
    </row>
    <row r="196" spans="1:8" x14ac:dyDescent="0.15">
      <c r="A196" s="2">
        <f t="shared" si="7"/>
        <v>112</v>
      </c>
      <c r="B196" s="2">
        <v>10</v>
      </c>
      <c r="C196" s="3" t="s">
        <v>80</v>
      </c>
      <c r="D196" s="2">
        <v>1</v>
      </c>
      <c r="E196">
        <v>10</v>
      </c>
      <c r="F196">
        <v>200</v>
      </c>
      <c r="G196">
        <v>1</v>
      </c>
      <c r="H196" s="14" t="str">
        <f>VLOOKUP(表2[[#This Row],[道具ID]],[1]!表1[[key值]:[名称]],12,FALSE)</f>
        <v>海洋之心</v>
      </c>
    </row>
    <row r="197" spans="1:8" x14ac:dyDescent="0.15">
      <c r="A197" s="2">
        <f t="shared" si="7"/>
        <v>112</v>
      </c>
      <c r="B197" s="2">
        <v>11</v>
      </c>
      <c r="C197" s="3" t="str">
        <f>"w" &amp; 400+表2[[#This Row],[大奖类型]]</f>
        <v>w512</v>
      </c>
      <c r="D197" s="2">
        <v>50</v>
      </c>
      <c r="E197">
        <v>100</v>
      </c>
      <c r="F197">
        <v>500</v>
      </c>
      <c r="G197">
        <v>1</v>
      </c>
      <c r="H197" s="14" t="str">
        <f>VLOOKUP(表2[[#This Row],[道具ID]],[1]!表1[[key值]:[名称]],12,FALSE)</f>
        <v>霜之哀伤碎片</v>
      </c>
    </row>
    <row r="198" spans="1:8" x14ac:dyDescent="0.15">
      <c r="A198" s="2">
        <f t="shared" si="7"/>
        <v>112</v>
      </c>
      <c r="B198" s="2">
        <v>12</v>
      </c>
      <c r="C198" s="3" t="str">
        <f>"w" &amp; 400+表2[[#This Row],[大奖类型]]</f>
        <v>w512</v>
      </c>
      <c r="D198" s="2">
        <v>10</v>
      </c>
      <c r="E198">
        <v>1000</v>
      </c>
      <c r="F198">
        <v>2500</v>
      </c>
      <c r="G198" s="2">
        <v>1</v>
      </c>
      <c r="H198" s="14" t="str">
        <f>VLOOKUP(表2[[#This Row],[道具ID]],[1]!表1[[key值]:[名称]],12,FALSE)</f>
        <v>霜之哀伤碎片</v>
      </c>
    </row>
    <row r="199" spans="1:8" x14ac:dyDescent="0.15">
      <c r="A199" s="2">
        <f t="shared" si="7"/>
        <v>112</v>
      </c>
      <c r="B199" s="2">
        <v>13</v>
      </c>
      <c r="C199" s="3" t="str">
        <f>"w" &amp; 400+表2[[#This Row],[大奖类型]]</f>
        <v>w512</v>
      </c>
      <c r="D199" s="2">
        <v>2</v>
      </c>
      <c r="E199">
        <v>10000</v>
      </c>
      <c r="F199">
        <v>16000</v>
      </c>
      <c r="G199">
        <v>0</v>
      </c>
      <c r="H199" s="14" t="str">
        <f>VLOOKUP(表2[[#This Row],[道具ID]],[1]!表1[[key值]:[名称]],12,FALSE)</f>
        <v>霜之哀伤碎片</v>
      </c>
    </row>
    <row r="200" spans="1:8" x14ac:dyDescent="0.15">
      <c r="A200" s="2">
        <f t="shared" si="7"/>
        <v>112</v>
      </c>
      <c r="B200" s="2">
        <v>14</v>
      </c>
      <c r="C200" s="3" t="str">
        <f>"w" &amp; 400+表2[[#This Row],[大奖类型]]</f>
        <v>w512</v>
      </c>
      <c r="D200" s="2">
        <v>1</v>
      </c>
      <c r="E200">
        <v>20690</v>
      </c>
      <c r="F200">
        <v>16000</v>
      </c>
      <c r="G200" s="2">
        <v>0</v>
      </c>
      <c r="H200" s="14" t="str">
        <f>VLOOKUP(表2[[#This Row],[道具ID]],[1]!表1[[key值]:[名称]],12,FALSE)</f>
        <v>霜之哀伤碎片</v>
      </c>
    </row>
    <row r="201" spans="1:8" x14ac:dyDescent="0.15">
      <c r="A201" s="2">
        <f>A187+1</f>
        <v>113</v>
      </c>
      <c r="B201" s="2">
        <v>1</v>
      </c>
      <c r="C201" s="4" t="s">
        <v>68</v>
      </c>
      <c r="D201" s="2">
        <v>1</v>
      </c>
      <c r="E201">
        <v>10</v>
      </c>
      <c r="F201">
        <v>200</v>
      </c>
      <c r="G201" s="2">
        <v>1</v>
      </c>
      <c r="H201" s="14" t="str">
        <f>VLOOKUP(表2[[#This Row],[道具ID]],[1]!表1[[key值]:[名称]],12,FALSE)</f>
        <v>100万金币卡</v>
      </c>
    </row>
    <row r="202" spans="1:8" x14ac:dyDescent="0.15">
      <c r="A202" s="2">
        <f t="shared" ref="A202:A214" si="8">A188+1</f>
        <v>113</v>
      </c>
      <c r="B202" s="2">
        <v>2</v>
      </c>
      <c r="C202" s="3" t="s">
        <v>69</v>
      </c>
      <c r="D202" s="2">
        <v>1</v>
      </c>
      <c r="E202">
        <v>200</v>
      </c>
      <c r="F202">
        <v>4000</v>
      </c>
      <c r="G202">
        <v>1</v>
      </c>
      <c r="H202" s="14" t="str">
        <f>VLOOKUP(表2[[#This Row],[道具ID]],[1]!表1[[key值]:[名称]],12,FALSE)</f>
        <v>10万金币卡</v>
      </c>
    </row>
    <row r="203" spans="1:8" x14ac:dyDescent="0.15">
      <c r="A203" s="2">
        <f t="shared" si="8"/>
        <v>113</v>
      </c>
      <c r="B203" s="2">
        <v>3</v>
      </c>
      <c r="C203" s="3" t="s">
        <v>70</v>
      </c>
      <c r="D203" s="2">
        <v>1</v>
      </c>
      <c r="E203">
        <v>18000</v>
      </c>
      <c r="F203">
        <v>10800</v>
      </c>
      <c r="G203">
        <v>0</v>
      </c>
      <c r="H203" s="14" t="str">
        <f>VLOOKUP(表2[[#This Row],[道具ID]],[1]!表1[[key值]:[名称]],12,FALSE)</f>
        <v>1万金币卡</v>
      </c>
    </row>
    <row r="204" spans="1:8" x14ac:dyDescent="0.15">
      <c r="A204" s="2">
        <f t="shared" si="8"/>
        <v>113</v>
      </c>
      <c r="B204" s="2">
        <v>4</v>
      </c>
      <c r="C204" s="3" t="str">
        <f>"w" &amp; 400+表2[[#This Row],[大奖类型]]</f>
        <v>w513</v>
      </c>
      <c r="D204" s="2">
        <v>1</v>
      </c>
      <c r="E204">
        <v>20690</v>
      </c>
      <c r="F204">
        <v>16000</v>
      </c>
      <c r="G204" s="2">
        <v>0</v>
      </c>
      <c r="H204" s="14" t="str">
        <f>VLOOKUP(表2[[#This Row],[道具ID]],[1]!表1[[key值]:[名称]],12,FALSE)</f>
        <v>赤炎女神的诅咒碎片</v>
      </c>
    </row>
    <row r="205" spans="1:8" x14ac:dyDescent="0.15">
      <c r="A205" s="2">
        <f t="shared" si="8"/>
        <v>113</v>
      </c>
      <c r="B205" s="2">
        <v>5</v>
      </c>
      <c r="C205" s="3" t="str">
        <f>"w" &amp; 400+表2[[#This Row],[大奖类型]]</f>
        <v>w513</v>
      </c>
      <c r="D205" s="2">
        <v>2</v>
      </c>
      <c r="E205">
        <v>10000</v>
      </c>
      <c r="F205">
        <v>16000</v>
      </c>
      <c r="G205">
        <v>0</v>
      </c>
      <c r="H205" s="14" t="str">
        <f>VLOOKUP(表2[[#This Row],[道具ID]],[1]!表1[[key值]:[名称]],12,FALSE)</f>
        <v>赤炎女神的诅咒碎片</v>
      </c>
    </row>
    <row r="206" spans="1:8" x14ac:dyDescent="0.15">
      <c r="A206" s="2">
        <f t="shared" si="8"/>
        <v>113</v>
      </c>
      <c r="B206" s="2">
        <v>6</v>
      </c>
      <c r="C206" s="3" t="str">
        <f>"w" &amp; 400+表2[[#This Row],[大奖类型]]</f>
        <v>w513</v>
      </c>
      <c r="D206" s="2">
        <v>10</v>
      </c>
      <c r="E206">
        <v>1000</v>
      </c>
      <c r="F206">
        <v>2500</v>
      </c>
      <c r="G206">
        <v>1</v>
      </c>
      <c r="H206" s="14" t="str">
        <f>VLOOKUP(表2[[#This Row],[道具ID]],[1]!表1[[key值]:[名称]],12,FALSE)</f>
        <v>赤炎女神的诅咒碎片</v>
      </c>
    </row>
    <row r="207" spans="1:8" x14ac:dyDescent="0.15">
      <c r="A207" s="2">
        <f t="shared" si="8"/>
        <v>113</v>
      </c>
      <c r="B207" s="2">
        <v>7</v>
      </c>
      <c r="C207" s="3" t="str">
        <f>"w" &amp; 400+表2[[#This Row],[大奖类型]]</f>
        <v>w513</v>
      </c>
      <c r="D207" s="2">
        <v>50</v>
      </c>
      <c r="E207">
        <v>100</v>
      </c>
      <c r="F207">
        <v>500</v>
      </c>
      <c r="G207">
        <v>1</v>
      </c>
      <c r="H207" s="14" t="str">
        <f>VLOOKUP(表2[[#This Row],[道具ID]],[1]!表1[[key值]:[名称]],12,FALSE)</f>
        <v>赤炎女神的诅咒碎片</v>
      </c>
    </row>
    <row r="208" spans="1:8" x14ac:dyDescent="0.15">
      <c r="A208" s="2">
        <f t="shared" si="8"/>
        <v>113</v>
      </c>
      <c r="B208" s="2">
        <v>8</v>
      </c>
      <c r="C208" s="3" t="s">
        <v>80</v>
      </c>
      <c r="D208" s="2">
        <v>1</v>
      </c>
      <c r="E208">
        <v>18000</v>
      </c>
      <c r="F208">
        <v>10800</v>
      </c>
      <c r="G208" s="2">
        <v>0</v>
      </c>
      <c r="H208" s="14" t="str">
        <f>VLOOKUP(表2[[#This Row],[道具ID]],[1]!表1[[key值]:[名称]],12,FALSE)</f>
        <v>海洋之心</v>
      </c>
    </row>
    <row r="209" spans="1:8" x14ac:dyDescent="0.15">
      <c r="A209" s="2">
        <f t="shared" si="8"/>
        <v>113</v>
      </c>
      <c r="B209" s="2">
        <v>9</v>
      </c>
      <c r="C209" s="3" t="s">
        <v>80</v>
      </c>
      <c r="D209" s="2">
        <v>1</v>
      </c>
      <c r="E209">
        <v>200</v>
      </c>
      <c r="F209">
        <v>4000</v>
      </c>
      <c r="G209" s="2">
        <v>1</v>
      </c>
      <c r="H209" s="14" t="str">
        <f>VLOOKUP(表2[[#This Row],[道具ID]],[1]!表1[[key值]:[名称]],12,FALSE)</f>
        <v>海洋之心</v>
      </c>
    </row>
    <row r="210" spans="1:8" x14ac:dyDescent="0.15">
      <c r="A210" s="2">
        <f t="shared" si="8"/>
        <v>113</v>
      </c>
      <c r="B210" s="2">
        <v>10</v>
      </c>
      <c r="C210" s="3" t="s">
        <v>80</v>
      </c>
      <c r="D210" s="2">
        <v>1</v>
      </c>
      <c r="E210">
        <v>10</v>
      </c>
      <c r="F210">
        <v>200</v>
      </c>
      <c r="G210">
        <v>1</v>
      </c>
      <c r="H210" s="14" t="str">
        <f>VLOOKUP(表2[[#This Row],[道具ID]],[1]!表1[[key值]:[名称]],12,FALSE)</f>
        <v>海洋之心</v>
      </c>
    </row>
    <row r="211" spans="1:8" x14ac:dyDescent="0.15">
      <c r="A211" s="2">
        <f t="shared" si="8"/>
        <v>113</v>
      </c>
      <c r="B211" s="2">
        <v>11</v>
      </c>
      <c r="C211" s="3" t="str">
        <f>"w" &amp; 400+表2[[#This Row],[大奖类型]]</f>
        <v>w513</v>
      </c>
      <c r="D211" s="2">
        <v>50</v>
      </c>
      <c r="E211">
        <v>100</v>
      </c>
      <c r="F211">
        <v>500</v>
      </c>
      <c r="G211">
        <v>1</v>
      </c>
      <c r="H211" s="14" t="str">
        <f>VLOOKUP(表2[[#This Row],[道具ID]],[1]!表1[[key值]:[名称]],12,FALSE)</f>
        <v>赤炎女神的诅咒碎片</v>
      </c>
    </row>
    <row r="212" spans="1:8" x14ac:dyDescent="0.15">
      <c r="A212" s="2">
        <f t="shared" si="8"/>
        <v>113</v>
      </c>
      <c r="B212" s="2">
        <v>12</v>
      </c>
      <c r="C212" s="3" t="str">
        <f>"w" &amp; 400+表2[[#This Row],[大奖类型]]</f>
        <v>w513</v>
      </c>
      <c r="D212" s="2">
        <v>10</v>
      </c>
      <c r="E212">
        <v>1000</v>
      </c>
      <c r="F212">
        <v>2500</v>
      </c>
      <c r="G212" s="2">
        <v>1</v>
      </c>
      <c r="H212" s="14" t="str">
        <f>VLOOKUP(表2[[#This Row],[道具ID]],[1]!表1[[key值]:[名称]],12,FALSE)</f>
        <v>赤炎女神的诅咒碎片</v>
      </c>
    </row>
    <row r="213" spans="1:8" x14ac:dyDescent="0.15">
      <c r="A213" s="2">
        <f t="shared" si="8"/>
        <v>113</v>
      </c>
      <c r="B213" s="2">
        <v>13</v>
      </c>
      <c r="C213" s="3" t="str">
        <f>"w" &amp; 400+表2[[#This Row],[大奖类型]]</f>
        <v>w513</v>
      </c>
      <c r="D213" s="2">
        <v>2</v>
      </c>
      <c r="E213">
        <v>10000</v>
      </c>
      <c r="F213">
        <v>16000</v>
      </c>
      <c r="G213">
        <v>0</v>
      </c>
      <c r="H213" s="14" t="str">
        <f>VLOOKUP(表2[[#This Row],[道具ID]],[1]!表1[[key值]:[名称]],12,FALSE)</f>
        <v>赤炎女神的诅咒碎片</v>
      </c>
    </row>
    <row r="214" spans="1:8" x14ac:dyDescent="0.15">
      <c r="A214" s="2">
        <f t="shared" si="8"/>
        <v>113</v>
      </c>
      <c r="B214" s="2">
        <v>14</v>
      </c>
      <c r="C214" s="3" t="str">
        <f>"w" &amp; 400+表2[[#This Row],[大奖类型]]</f>
        <v>w513</v>
      </c>
      <c r="D214" s="2">
        <v>1</v>
      </c>
      <c r="E214">
        <v>20690</v>
      </c>
      <c r="F214">
        <v>16000</v>
      </c>
      <c r="G214" s="2">
        <v>0</v>
      </c>
      <c r="H214" s="14" t="str">
        <f>VLOOKUP(表2[[#This Row],[道具ID]],[1]!表1[[key值]:[名称]],12,FALSE)</f>
        <v>赤炎女神的诅咒碎片</v>
      </c>
    </row>
    <row r="215" spans="1:8" x14ac:dyDescent="0.15">
      <c r="A215" s="2">
        <f>A201+1</f>
        <v>114</v>
      </c>
      <c r="B215" s="2">
        <v>1</v>
      </c>
      <c r="C215" s="4" t="s">
        <v>68</v>
      </c>
      <c r="D215" s="2">
        <v>1</v>
      </c>
      <c r="E215">
        <v>10</v>
      </c>
      <c r="F215">
        <v>200</v>
      </c>
      <c r="G215" s="2">
        <v>1</v>
      </c>
      <c r="H215" s="14" t="str">
        <f>VLOOKUP(表2[[#This Row],[道具ID]],[1]!表1[[key值]:[名称]],12,FALSE)</f>
        <v>100万金币卡</v>
      </c>
    </row>
    <row r="216" spans="1:8" x14ac:dyDescent="0.15">
      <c r="A216" s="2">
        <f t="shared" ref="A216:A228" si="9">A202+1</f>
        <v>114</v>
      </c>
      <c r="B216" s="2">
        <v>2</v>
      </c>
      <c r="C216" s="3" t="s">
        <v>69</v>
      </c>
      <c r="D216" s="2">
        <v>1</v>
      </c>
      <c r="E216">
        <v>200</v>
      </c>
      <c r="F216">
        <v>4000</v>
      </c>
      <c r="G216">
        <v>1</v>
      </c>
      <c r="H216" s="14" t="str">
        <f>VLOOKUP(表2[[#This Row],[道具ID]],[1]!表1[[key值]:[名称]],12,FALSE)</f>
        <v>10万金币卡</v>
      </c>
    </row>
    <row r="217" spans="1:8" x14ac:dyDescent="0.15">
      <c r="A217" s="2">
        <f t="shared" si="9"/>
        <v>114</v>
      </c>
      <c r="B217" s="2">
        <v>3</v>
      </c>
      <c r="C217" s="3" t="s">
        <v>70</v>
      </c>
      <c r="D217" s="2">
        <v>1</v>
      </c>
      <c r="E217">
        <v>18000</v>
      </c>
      <c r="F217">
        <v>10800</v>
      </c>
      <c r="G217">
        <v>0</v>
      </c>
      <c r="H217" s="14" t="str">
        <f>VLOOKUP(表2[[#This Row],[道具ID]],[1]!表1[[key值]:[名称]],12,FALSE)</f>
        <v>1万金币卡</v>
      </c>
    </row>
    <row r="218" spans="1:8" x14ac:dyDescent="0.15">
      <c r="A218" s="2">
        <f t="shared" si="9"/>
        <v>114</v>
      </c>
      <c r="B218" s="2">
        <v>4</v>
      </c>
      <c r="C218" s="3" t="str">
        <f>"w" &amp; 400+表2[[#This Row],[大奖类型]]</f>
        <v>w514</v>
      </c>
      <c r="D218" s="2">
        <v>1</v>
      </c>
      <c r="E218">
        <v>20690</v>
      </c>
      <c r="F218">
        <v>16000</v>
      </c>
      <c r="G218" s="2">
        <v>0</v>
      </c>
      <c r="H218" s="14" t="str">
        <f>VLOOKUP(表2[[#This Row],[道具ID]],[1]!表1[[key值]:[名称]],12,FALSE)</f>
        <v>月亮兔碎片</v>
      </c>
    </row>
    <row r="219" spans="1:8" x14ac:dyDescent="0.15">
      <c r="A219" s="2">
        <f t="shared" si="9"/>
        <v>114</v>
      </c>
      <c r="B219" s="2">
        <v>5</v>
      </c>
      <c r="C219" s="3" t="str">
        <f>"w" &amp; 400+表2[[#This Row],[大奖类型]]</f>
        <v>w514</v>
      </c>
      <c r="D219" s="2">
        <v>2</v>
      </c>
      <c r="E219">
        <v>10000</v>
      </c>
      <c r="F219">
        <v>16000</v>
      </c>
      <c r="G219">
        <v>0</v>
      </c>
      <c r="H219" s="14" t="str">
        <f>VLOOKUP(表2[[#This Row],[道具ID]],[1]!表1[[key值]:[名称]],12,FALSE)</f>
        <v>月亮兔碎片</v>
      </c>
    </row>
    <row r="220" spans="1:8" x14ac:dyDescent="0.15">
      <c r="A220" s="2">
        <f t="shared" si="9"/>
        <v>114</v>
      </c>
      <c r="B220" s="2">
        <v>6</v>
      </c>
      <c r="C220" s="3" t="str">
        <f>"w" &amp; 400+表2[[#This Row],[大奖类型]]</f>
        <v>w514</v>
      </c>
      <c r="D220" s="2">
        <v>10</v>
      </c>
      <c r="E220">
        <v>1000</v>
      </c>
      <c r="F220">
        <v>2500</v>
      </c>
      <c r="G220">
        <v>1</v>
      </c>
      <c r="H220" s="14" t="str">
        <f>VLOOKUP(表2[[#This Row],[道具ID]],[1]!表1[[key值]:[名称]],12,FALSE)</f>
        <v>月亮兔碎片</v>
      </c>
    </row>
    <row r="221" spans="1:8" x14ac:dyDescent="0.15">
      <c r="A221" s="2">
        <f t="shared" si="9"/>
        <v>114</v>
      </c>
      <c r="B221" s="2">
        <v>7</v>
      </c>
      <c r="C221" s="3" t="str">
        <f>"w" &amp; 400+表2[[#This Row],[大奖类型]]</f>
        <v>w514</v>
      </c>
      <c r="D221" s="2">
        <v>50</v>
      </c>
      <c r="E221">
        <v>100</v>
      </c>
      <c r="F221">
        <v>500</v>
      </c>
      <c r="G221">
        <v>1</v>
      </c>
      <c r="H221" s="14" t="str">
        <f>VLOOKUP(表2[[#This Row],[道具ID]],[1]!表1[[key值]:[名称]],12,FALSE)</f>
        <v>月亮兔碎片</v>
      </c>
    </row>
    <row r="222" spans="1:8" x14ac:dyDescent="0.15">
      <c r="A222" s="2">
        <f t="shared" si="9"/>
        <v>114</v>
      </c>
      <c r="B222" s="2">
        <v>8</v>
      </c>
      <c r="C222" s="3" t="s">
        <v>80</v>
      </c>
      <c r="D222" s="2">
        <v>1</v>
      </c>
      <c r="E222">
        <v>18000</v>
      </c>
      <c r="F222">
        <v>10800</v>
      </c>
      <c r="G222" s="2">
        <v>0</v>
      </c>
      <c r="H222" s="14" t="str">
        <f>VLOOKUP(表2[[#This Row],[道具ID]],[1]!表1[[key值]:[名称]],12,FALSE)</f>
        <v>海洋之心</v>
      </c>
    </row>
    <row r="223" spans="1:8" x14ac:dyDescent="0.15">
      <c r="A223" s="2">
        <f t="shared" si="9"/>
        <v>114</v>
      </c>
      <c r="B223" s="2">
        <v>9</v>
      </c>
      <c r="C223" s="3" t="s">
        <v>80</v>
      </c>
      <c r="D223" s="2">
        <v>1</v>
      </c>
      <c r="E223">
        <v>200</v>
      </c>
      <c r="F223">
        <v>4000</v>
      </c>
      <c r="G223" s="2">
        <v>1</v>
      </c>
      <c r="H223" s="14" t="str">
        <f>VLOOKUP(表2[[#This Row],[道具ID]],[1]!表1[[key值]:[名称]],12,FALSE)</f>
        <v>海洋之心</v>
      </c>
    </row>
    <row r="224" spans="1:8" x14ac:dyDescent="0.15">
      <c r="A224" s="2">
        <f t="shared" si="9"/>
        <v>114</v>
      </c>
      <c r="B224" s="2">
        <v>10</v>
      </c>
      <c r="C224" s="3" t="s">
        <v>80</v>
      </c>
      <c r="D224" s="2">
        <v>1</v>
      </c>
      <c r="E224">
        <v>10</v>
      </c>
      <c r="F224">
        <v>200</v>
      </c>
      <c r="G224">
        <v>1</v>
      </c>
      <c r="H224" s="14" t="str">
        <f>VLOOKUP(表2[[#This Row],[道具ID]],[1]!表1[[key值]:[名称]],12,FALSE)</f>
        <v>海洋之心</v>
      </c>
    </row>
    <row r="225" spans="1:8" x14ac:dyDescent="0.15">
      <c r="A225" s="2">
        <f t="shared" si="9"/>
        <v>114</v>
      </c>
      <c r="B225" s="2">
        <v>11</v>
      </c>
      <c r="C225" s="3" t="str">
        <f>"w" &amp; 400+表2[[#This Row],[大奖类型]]</f>
        <v>w514</v>
      </c>
      <c r="D225" s="2">
        <v>50</v>
      </c>
      <c r="E225">
        <v>100</v>
      </c>
      <c r="F225">
        <v>500</v>
      </c>
      <c r="G225">
        <v>1</v>
      </c>
      <c r="H225" s="14" t="str">
        <f>VLOOKUP(表2[[#This Row],[道具ID]],[1]!表1[[key值]:[名称]],12,FALSE)</f>
        <v>月亮兔碎片</v>
      </c>
    </row>
    <row r="226" spans="1:8" x14ac:dyDescent="0.15">
      <c r="A226" s="2">
        <f t="shared" si="9"/>
        <v>114</v>
      </c>
      <c r="B226" s="2">
        <v>12</v>
      </c>
      <c r="C226" s="3" t="str">
        <f>"w" &amp; 400+表2[[#This Row],[大奖类型]]</f>
        <v>w514</v>
      </c>
      <c r="D226" s="2">
        <v>10</v>
      </c>
      <c r="E226">
        <v>1000</v>
      </c>
      <c r="F226">
        <v>2500</v>
      </c>
      <c r="G226" s="2">
        <v>1</v>
      </c>
      <c r="H226" s="14" t="str">
        <f>VLOOKUP(表2[[#This Row],[道具ID]],[1]!表1[[key值]:[名称]],12,FALSE)</f>
        <v>月亮兔碎片</v>
      </c>
    </row>
    <row r="227" spans="1:8" x14ac:dyDescent="0.15">
      <c r="A227" s="2">
        <f t="shared" si="9"/>
        <v>114</v>
      </c>
      <c r="B227" s="2">
        <v>13</v>
      </c>
      <c r="C227" s="3" t="str">
        <f>"w" &amp; 400+表2[[#This Row],[大奖类型]]</f>
        <v>w514</v>
      </c>
      <c r="D227" s="2">
        <v>2</v>
      </c>
      <c r="E227">
        <v>10000</v>
      </c>
      <c r="F227">
        <v>16000</v>
      </c>
      <c r="G227">
        <v>0</v>
      </c>
      <c r="H227" s="14" t="str">
        <f>VLOOKUP(表2[[#This Row],[道具ID]],[1]!表1[[key值]:[名称]],12,FALSE)</f>
        <v>月亮兔碎片</v>
      </c>
    </row>
    <row r="228" spans="1:8" x14ac:dyDescent="0.15">
      <c r="A228" s="2">
        <f t="shared" si="9"/>
        <v>114</v>
      </c>
      <c r="B228" s="2">
        <v>14</v>
      </c>
      <c r="C228" s="3" t="str">
        <f>"w" &amp; 400+表2[[#This Row],[大奖类型]]</f>
        <v>w514</v>
      </c>
      <c r="D228" s="2">
        <v>1</v>
      </c>
      <c r="E228">
        <v>20690</v>
      </c>
      <c r="F228">
        <v>16000</v>
      </c>
      <c r="G228" s="2">
        <v>0</v>
      </c>
      <c r="H228" s="14" t="str">
        <f>VLOOKUP(表2[[#This Row],[道具ID]],[1]!表1[[key值]:[名称]],12,FALSE)</f>
        <v>月亮兔碎片</v>
      </c>
    </row>
    <row r="229" spans="1:8" x14ac:dyDescent="0.15">
      <c r="A229" s="2">
        <f>A215+1</f>
        <v>115</v>
      </c>
      <c r="B229" s="2">
        <v>1</v>
      </c>
      <c r="C229" s="4" t="s">
        <v>68</v>
      </c>
      <c r="D229" s="2">
        <v>1</v>
      </c>
      <c r="E229">
        <v>10</v>
      </c>
      <c r="F229">
        <v>200</v>
      </c>
      <c r="G229" s="2">
        <v>1</v>
      </c>
      <c r="H229" s="14" t="str">
        <f>VLOOKUP(表2[[#This Row],[道具ID]],[1]!表1[[key值]:[名称]],12,FALSE)</f>
        <v>100万金币卡</v>
      </c>
    </row>
    <row r="230" spans="1:8" x14ac:dyDescent="0.15">
      <c r="A230" s="2">
        <f t="shared" ref="A230:A242" si="10">A216+1</f>
        <v>115</v>
      </c>
      <c r="B230" s="2">
        <v>2</v>
      </c>
      <c r="C230" s="3" t="s">
        <v>69</v>
      </c>
      <c r="D230" s="2">
        <v>1</v>
      </c>
      <c r="E230">
        <v>200</v>
      </c>
      <c r="F230">
        <v>4000</v>
      </c>
      <c r="G230">
        <v>1</v>
      </c>
      <c r="H230" s="14" t="str">
        <f>VLOOKUP(表2[[#This Row],[道具ID]],[1]!表1[[key值]:[名称]],12,FALSE)</f>
        <v>10万金币卡</v>
      </c>
    </row>
    <row r="231" spans="1:8" x14ac:dyDescent="0.15">
      <c r="A231" s="2">
        <f t="shared" si="10"/>
        <v>115</v>
      </c>
      <c r="B231" s="2">
        <v>3</v>
      </c>
      <c r="C231" s="3" t="s">
        <v>70</v>
      </c>
      <c r="D231" s="2">
        <v>1</v>
      </c>
      <c r="E231">
        <v>18000</v>
      </c>
      <c r="F231">
        <v>10800</v>
      </c>
      <c r="G231">
        <v>0</v>
      </c>
      <c r="H231" s="14" t="str">
        <f>VLOOKUP(表2[[#This Row],[道具ID]],[1]!表1[[key值]:[名称]],12,FALSE)</f>
        <v>1万金币卡</v>
      </c>
    </row>
    <row r="232" spans="1:8" x14ac:dyDescent="0.15">
      <c r="A232" s="2">
        <f t="shared" si="10"/>
        <v>115</v>
      </c>
      <c r="B232" s="2">
        <v>4</v>
      </c>
      <c r="C232" s="3" t="str">
        <f>"w" &amp; 400+表2[[#This Row],[大奖类型]]</f>
        <v>w515</v>
      </c>
      <c r="D232" s="2">
        <v>1</v>
      </c>
      <c r="E232">
        <v>20690</v>
      </c>
      <c r="F232">
        <v>16000</v>
      </c>
      <c r="G232" s="2">
        <v>0</v>
      </c>
      <c r="H232" s="14" t="str">
        <f>VLOOKUP(表2[[#This Row],[道具ID]],[1]!表1[[key值]:[名称]],12,FALSE)</f>
        <v>歼20战机碎片</v>
      </c>
    </row>
    <row r="233" spans="1:8" x14ac:dyDescent="0.15">
      <c r="A233" s="2">
        <f t="shared" si="10"/>
        <v>115</v>
      </c>
      <c r="B233" s="2">
        <v>5</v>
      </c>
      <c r="C233" s="3" t="str">
        <f>"w" &amp; 400+表2[[#This Row],[大奖类型]]</f>
        <v>w515</v>
      </c>
      <c r="D233" s="2">
        <v>2</v>
      </c>
      <c r="E233">
        <v>10000</v>
      </c>
      <c r="F233">
        <v>16000</v>
      </c>
      <c r="G233">
        <v>0</v>
      </c>
      <c r="H233" s="14" t="str">
        <f>VLOOKUP(表2[[#This Row],[道具ID]],[1]!表1[[key值]:[名称]],12,FALSE)</f>
        <v>歼20战机碎片</v>
      </c>
    </row>
    <row r="234" spans="1:8" x14ac:dyDescent="0.15">
      <c r="A234" s="2">
        <f t="shared" si="10"/>
        <v>115</v>
      </c>
      <c r="B234" s="2">
        <v>6</v>
      </c>
      <c r="C234" s="3" t="str">
        <f>"w" &amp; 400+表2[[#This Row],[大奖类型]]</f>
        <v>w515</v>
      </c>
      <c r="D234" s="2">
        <v>10</v>
      </c>
      <c r="E234">
        <v>1000</v>
      </c>
      <c r="F234">
        <v>2500</v>
      </c>
      <c r="G234">
        <v>1</v>
      </c>
      <c r="H234" s="14" t="str">
        <f>VLOOKUP(表2[[#This Row],[道具ID]],[1]!表1[[key值]:[名称]],12,FALSE)</f>
        <v>歼20战机碎片</v>
      </c>
    </row>
    <row r="235" spans="1:8" x14ac:dyDescent="0.15">
      <c r="A235" s="2">
        <f t="shared" si="10"/>
        <v>115</v>
      </c>
      <c r="B235" s="2">
        <v>7</v>
      </c>
      <c r="C235" s="3" t="str">
        <f>"w" &amp; 400+表2[[#This Row],[大奖类型]]</f>
        <v>w515</v>
      </c>
      <c r="D235" s="2">
        <v>50</v>
      </c>
      <c r="E235">
        <v>100</v>
      </c>
      <c r="F235">
        <v>500</v>
      </c>
      <c r="G235">
        <v>1</v>
      </c>
      <c r="H235" s="14" t="str">
        <f>VLOOKUP(表2[[#This Row],[道具ID]],[1]!表1[[key值]:[名称]],12,FALSE)</f>
        <v>歼20战机碎片</v>
      </c>
    </row>
    <row r="236" spans="1:8" x14ac:dyDescent="0.15">
      <c r="A236" s="2">
        <f t="shared" si="10"/>
        <v>115</v>
      </c>
      <c r="B236" s="2">
        <v>8</v>
      </c>
      <c r="C236" s="3" t="s">
        <v>80</v>
      </c>
      <c r="D236" s="2">
        <v>1</v>
      </c>
      <c r="E236">
        <v>18000</v>
      </c>
      <c r="F236">
        <v>10800</v>
      </c>
      <c r="G236" s="2">
        <v>0</v>
      </c>
      <c r="H236" s="14" t="str">
        <f>VLOOKUP(表2[[#This Row],[道具ID]],[1]!表1[[key值]:[名称]],12,FALSE)</f>
        <v>海洋之心</v>
      </c>
    </row>
    <row r="237" spans="1:8" x14ac:dyDescent="0.15">
      <c r="A237" s="2">
        <f t="shared" si="10"/>
        <v>115</v>
      </c>
      <c r="B237" s="2">
        <v>9</v>
      </c>
      <c r="C237" s="3" t="s">
        <v>80</v>
      </c>
      <c r="D237" s="2">
        <v>1</v>
      </c>
      <c r="E237">
        <v>200</v>
      </c>
      <c r="F237">
        <v>4000</v>
      </c>
      <c r="G237" s="2">
        <v>1</v>
      </c>
      <c r="H237" s="14" t="str">
        <f>VLOOKUP(表2[[#This Row],[道具ID]],[1]!表1[[key值]:[名称]],12,FALSE)</f>
        <v>海洋之心</v>
      </c>
    </row>
    <row r="238" spans="1:8" x14ac:dyDescent="0.15">
      <c r="A238" s="2">
        <f t="shared" si="10"/>
        <v>115</v>
      </c>
      <c r="B238" s="2">
        <v>10</v>
      </c>
      <c r="C238" s="3" t="s">
        <v>80</v>
      </c>
      <c r="D238" s="2">
        <v>1</v>
      </c>
      <c r="E238">
        <v>10</v>
      </c>
      <c r="F238">
        <v>200</v>
      </c>
      <c r="G238">
        <v>1</v>
      </c>
      <c r="H238" s="14" t="str">
        <f>VLOOKUP(表2[[#This Row],[道具ID]],[1]!表1[[key值]:[名称]],12,FALSE)</f>
        <v>海洋之心</v>
      </c>
    </row>
    <row r="239" spans="1:8" x14ac:dyDescent="0.15">
      <c r="A239" s="2">
        <f t="shared" si="10"/>
        <v>115</v>
      </c>
      <c r="B239" s="2">
        <v>11</v>
      </c>
      <c r="C239" s="3" t="str">
        <f>"w" &amp; 400+表2[[#This Row],[大奖类型]]</f>
        <v>w515</v>
      </c>
      <c r="D239" s="2">
        <v>50</v>
      </c>
      <c r="E239">
        <v>100</v>
      </c>
      <c r="F239">
        <v>500</v>
      </c>
      <c r="G239">
        <v>1</v>
      </c>
      <c r="H239" s="14" t="str">
        <f>VLOOKUP(表2[[#This Row],[道具ID]],[1]!表1[[key值]:[名称]],12,FALSE)</f>
        <v>歼20战机碎片</v>
      </c>
    </row>
    <row r="240" spans="1:8" x14ac:dyDescent="0.15">
      <c r="A240" s="2">
        <f t="shared" si="10"/>
        <v>115</v>
      </c>
      <c r="B240" s="2">
        <v>12</v>
      </c>
      <c r="C240" s="3" t="str">
        <f>"w" &amp; 400+表2[[#This Row],[大奖类型]]</f>
        <v>w515</v>
      </c>
      <c r="D240" s="2">
        <v>10</v>
      </c>
      <c r="E240">
        <v>1000</v>
      </c>
      <c r="F240">
        <v>2500</v>
      </c>
      <c r="G240" s="2">
        <v>1</v>
      </c>
      <c r="H240" s="14" t="str">
        <f>VLOOKUP(表2[[#This Row],[道具ID]],[1]!表1[[key值]:[名称]],12,FALSE)</f>
        <v>歼20战机碎片</v>
      </c>
    </row>
    <row r="241" spans="1:8" x14ac:dyDescent="0.15">
      <c r="A241" s="2">
        <f t="shared" si="10"/>
        <v>115</v>
      </c>
      <c r="B241" s="2">
        <v>13</v>
      </c>
      <c r="C241" s="3" t="str">
        <f>"w" &amp; 400+表2[[#This Row],[大奖类型]]</f>
        <v>w515</v>
      </c>
      <c r="D241" s="2">
        <v>2</v>
      </c>
      <c r="E241">
        <v>10000</v>
      </c>
      <c r="F241">
        <v>16000</v>
      </c>
      <c r="G241">
        <v>0</v>
      </c>
      <c r="H241" s="14" t="str">
        <f>VLOOKUP(表2[[#This Row],[道具ID]],[1]!表1[[key值]:[名称]],12,FALSE)</f>
        <v>歼20战机碎片</v>
      </c>
    </row>
    <row r="242" spans="1:8" x14ac:dyDescent="0.15">
      <c r="A242" s="2">
        <f t="shared" si="10"/>
        <v>115</v>
      </c>
      <c r="B242" s="2">
        <v>14</v>
      </c>
      <c r="C242" s="3" t="str">
        <f>"w" &amp; 400+表2[[#This Row],[大奖类型]]</f>
        <v>w515</v>
      </c>
      <c r="D242" s="2">
        <v>1</v>
      </c>
      <c r="E242">
        <v>20690</v>
      </c>
      <c r="F242">
        <v>16000</v>
      </c>
      <c r="G242" s="2">
        <v>0</v>
      </c>
      <c r="H242" s="14" t="str">
        <f>VLOOKUP(表2[[#This Row],[道具ID]],[1]!表1[[key值]:[名称]],12,FALSE)</f>
        <v>歼20战机碎片</v>
      </c>
    </row>
  </sheetData>
  <phoneticPr fontId="4" type="noConversion"/>
  <dataValidations count="2">
    <dataValidation allowBlank="1" showInputMessage="1" showErrorMessage="1" prompt="满值100000" sqref="E4:G4" xr:uid="{00000000-0002-0000-0300-000000000000}"/>
    <dataValidation allowBlank="1" showInputMessage="1" showErrorMessage="1" promptTitle="版本&quot;,&quot;分割————————————" prompt="如果是所有版本，则填ALL" sqref="B1" xr:uid="{44D949E6-4C62-4DB7-B221-D6A36F14FB62}"/>
  </dataValidations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2018-05-14T10:17:19Z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2052-10.1.0.6206</vt:lpwstr>
  </property>
</Properties>
</file>