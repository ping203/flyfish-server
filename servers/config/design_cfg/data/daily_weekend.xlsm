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3F84A3F-5A5D-4651-A235-61819809A032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0" r:id="rId2"/>
  </sheets>
  <functionGroups builtInGroupCount="19"/>
  <calcPr calcId="179017"/>
</workbook>
</file>

<file path=xl/calcChain.xml><?xml version="1.0" encoding="utf-8"?>
<calcChain xmlns="http://schemas.openxmlformats.org/spreadsheetml/2006/main">
  <c r="E16" i="10" l="1"/>
  <c r="E15" i="10"/>
  <c r="E14" i="10"/>
  <c r="E13" i="10"/>
  <c r="E12" i="10"/>
  <c r="E11" i="10"/>
  <c r="E10" i="10"/>
  <c r="E9" i="10"/>
  <c r="E8" i="10"/>
  <c r="E7" i="10"/>
  <c r="E6" i="10"/>
  <c r="E5" i="10"/>
  <c r="F16" i="10" l="1"/>
  <c r="F15" i="10"/>
  <c r="F14" i="10"/>
  <c r="F13" i="10"/>
  <c r="F12" i="10"/>
  <c r="F11" i="10"/>
  <c r="F10" i="10"/>
  <c r="F9" i="10"/>
  <c r="F8" i="10"/>
  <c r="F7" i="10"/>
  <c r="F6" i="10"/>
  <c r="F5" i="10"/>
</calcChain>
</file>

<file path=xl/sharedStrings.xml><?xml version="1.0" encoding="utf-8"?>
<sst xmlns="http://schemas.openxmlformats.org/spreadsheetml/2006/main" count="79" uniqueCount="78">
  <si>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</si>
  <si>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</si>
  <si>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</si>
  <si>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</si>
  <si>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</si>
  <si>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</si>
  <si>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</si>
  <si>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</si>
  <si>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</si>
  <si>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</si>
  <si>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</si>
  <si>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</si>
  <si>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</si>
  <si>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</si>
  <si>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</si>
  <si>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</si>
  <si>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</si>
  <si>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</si>
  <si>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</si>
  <si>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</si>
  <si>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</si>
  <si>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</si>
  <si>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</si>
  <si>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</si>
  <si>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</si>
  <si>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</si>
  <si>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</si>
  <si>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condition</t>
  </si>
  <si>
    <t>任务ID</t>
  </si>
  <si>
    <t>任务类型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</si>
  <si>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</si>
  <si>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</si>
  <si>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</si>
  <si>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</si>
  <si>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</si>
  <si>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</si>
  <si>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</si>
  <si>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</si>
  <si>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</si>
  <si>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</si>
  <si>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</si>
  <si>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</si>
  <si>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</si>
  <si>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</si>
  <si>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</si>
  <si>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</si>
  <si>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</si>
  <si>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4" type="noConversion"/>
  </si>
  <si>
    <t>21. 放养x次鱼</t>
    <phoneticPr fontId="4" type="noConversion"/>
  </si>
  <si>
    <t>23. 宠物鱼总等级x级</t>
    <phoneticPr fontId="4" type="noConversion"/>
  </si>
  <si>
    <t>24. 解锁x个女神</t>
    <phoneticPr fontId="4" type="noConversion"/>
  </si>
  <si>
    <t>22. 保卫女神最高闯过x关</t>
    <phoneticPr fontId="4" type="noConversion"/>
  </si>
  <si>
    <t>20. 参与保卫女神x次</t>
    <phoneticPr fontId="4" type="noConversion"/>
  </si>
  <si>
    <t>25. 在x小游戏中获得y分（0接金币，1河豚）</t>
    <phoneticPr fontId="4" type="noConversion"/>
  </si>
  <si>
    <t>26. 金币大于等于xx,金币排名小于等于x名</t>
    <phoneticPr fontId="4" type="noConversion"/>
  </si>
  <si>
    <t>19. 充值x钻石，如果是每日充值参数1填1</t>
    <phoneticPr fontId="4" type="noConversion"/>
  </si>
  <si>
    <t>29. 排位赛段位大于等于x</t>
    <phoneticPr fontId="4" type="noConversion"/>
  </si>
  <si>
    <t>27. 排位赛获得最强王者段位</t>
    <phoneticPr fontId="4" type="noConversion"/>
  </si>
  <si>
    <t>28. 排位赛获得x次胜利</t>
    <phoneticPr fontId="4" type="noConversion"/>
  </si>
  <si>
    <t>时间</t>
    <phoneticPr fontId="4" type="noConversion"/>
  </si>
  <si>
    <t>条件值</t>
    <phoneticPr fontId="4" type="noConversion"/>
  </si>
  <si>
    <t>time</t>
    <phoneticPr fontId="4" type="noConversion"/>
  </si>
  <si>
    <t>string</t>
    <phoneticPr fontId="4" type="noConversion"/>
  </si>
  <si>
    <t>[["i006",15],["i420",1]]</t>
    <phoneticPr fontId="4" type="noConversion"/>
  </si>
  <si>
    <t>[["i001",50000],["i420",1]]</t>
    <phoneticPr fontId="4" type="noConversion"/>
  </si>
  <si>
    <t>[["i215",2],["i420",1]]</t>
    <phoneticPr fontId="4" type="noConversion"/>
  </si>
  <si>
    <t>[["i400",20],["i420",1]]</t>
    <phoneticPr fontId="4" type="noConversion"/>
  </si>
  <si>
    <t>[["i500",2],["i420",1]]</t>
    <phoneticPr fontId="4" type="noConversion"/>
  </si>
  <si>
    <t>[["i002",20],["i420",1]]</t>
    <phoneticPr fontId="4" type="noConversion"/>
  </si>
  <si>
    <t>[["i006",10],["i420",1]]</t>
    <phoneticPr fontId="4" type="noConversion"/>
  </si>
  <si>
    <t>[["i240",20],["i420",1]]</t>
    <phoneticPr fontId="4" type="noConversion"/>
  </si>
  <si>
    <t>[["i015",1],["i420",1]]</t>
    <phoneticPr fontId="4" type="noConversion"/>
  </si>
  <si>
    <t>[["i016",1],["i420",1]]</t>
    <phoneticPr fontId="4" type="noConversion"/>
  </si>
  <si>
    <t>[["i220",10],["i420",1]]</t>
    <phoneticPr fontId="4" type="noConversion"/>
  </si>
  <si>
    <t>列1</t>
  </si>
  <si>
    <t>ALL</t>
    <phoneticPr fontId="4" type="noConversion"/>
  </si>
  <si>
    <t>int</t>
    <phoneticPr fontId="4" type="noConversion"/>
  </si>
  <si>
    <t>int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</si>
</sst>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8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5" fillId="0" borderId="0" xfId="0" applyFont="1"/>
    <xf numFmtId="0" fontId="6" fillId="0" borderId="0" xfId="0" applyNumberFormat="1" applyFont="1"/>
    <xf numFmtId="0" fontId="6" fillId="0" borderId="0" xfId="0" applyFont="1"/>
    <xf numFmtId="176" fontId="7" fillId="0" borderId="0" xfId="2" applyNumberFormat="1" applyFont="1" applyAlignment="1">
      <alignment horizontal="left"/>
    </xf>
    <xf numFmtId="0" fontId="8" fillId="0" borderId="0" xfId="0" applyFont="1"/>
    <xf numFmtId="0" fontId="8" fillId="0" borderId="0" xfId="0" applyNumberFormat="1" applyFo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6" formatCode="yyyy/m/d\ h:mm;@"/>
      <alignment horizontal="left" vertical="bottom" textRotation="0" wrapText="0" indent="0" justifyLastLine="0" shrinkToFit="0" readingOrder="0"/>
    </dxf>
    <dxf>
      <font>
        <color indexed="8"/>
        <family val="3"/>
      </font>
      <numFmt numFmtId="176" formatCode="yyyy/m/d\ h:mm;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9B001CA6-6B64-4C20-B30C-B0C4267F8AED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E6F473-76F4-4F00-A57E-B046EEBC8EFC}" name="表1_6" displayName="表1_6" ref="A4:F16" totalsRowShown="0">
  <autoFilter ref="A4:F16" xr:uid="{00000000-0009-0000-0100-000001000000}"/>
  <tableColumns count="6">
    <tableColumn id="1" xr3:uid="{6B457C3D-E23E-452B-A66F-E9936832E7C1}" name="任务ID" dataDxfId="6"/>
    <tableColumn id="2" xr3:uid="{E322B11B-8564-4889-ADF7-B2D62684071A}" name="任务类型" dataDxfId="5"/>
    <tableColumn id="5" xr3:uid="{48EB305D-C3F8-45BB-8B9B-88E9C138FDD5}" name="条件值" dataDxfId="4"/>
    <tableColumn id="9" xr3:uid="{0C9CB0D8-770C-4113-95C7-3DA4744CF861}" name="物品id和个数"/>
    <tableColumn id="10" xr3:uid="{203F5056-9C1A-4D78-BE9D-596AB9A1F75F}" name="时间" dataDxfId="3" dataCellStyle="常规 2"/>
    <tableColumn id="3" xr3:uid="{FE7680B8-2E05-4DDA-BA03-5E376E76A356}" name="列1" dataDxfId="2" dataCellStyle="常规 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hidden="1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/>
      <c r="B26" s="16"/>
    </row>
    <row r="27" spans="1:2" x14ac:dyDescent="0.15">
      <c r="A27" s="16"/>
      <c r="B27" s="16"/>
    </row>
    <row r="28" spans="1:2" x14ac:dyDescent="0.15">
      <c r="A28" s="2" t="s">
        <v>11</v>
      </c>
      <c r="B28" s="7" t="s">
        <v>30</v>
      </c>
    </row>
    <row r="29" spans="1:2" x14ac:dyDescent="0.15">
      <c r="A29" s="2" t="s">
        <v>12</v>
      </c>
      <c r="B29" s="7" t="s">
        <v>31</v>
      </c>
    </row>
    <row r="30" spans="1:2" x14ac:dyDescent="0.15">
      <c r="A30" s="2" t="s">
        <v>13</v>
      </c>
      <c r="B30" s="7" t="s">
        <v>32</v>
      </c>
    </row>
    <row r="31" spans="1:2" x14ac:dyDescent="0.15">
      <c r="A31" s="2" t="s">
        <v>14</v>
      </c>
      <c r="B31" s="7" t="s">
        <v>33</v>
      </c>
    </row>
    <row r="32" spans="1:2" x14ac:dyDescent="0.15">
      <c r="A32" s="2" t="s">
        <v>15</v>
      </c>
      <c r="B32" s="7" t="s">
        <v>34</v>
      </c>
    </row>
    <row r="33" spans="1:2" x14ac:dyDescent="0.15">
      <c r="A33" s="2" t="s">
        <v>16</v>
      </c>
      <c r="B33" s="7" t="s">
        <v>35</v>
      </c>
    </row>
    <row r="34" spans="1:2" x14ac:dyDescent="0.15">
      <c r="A34" s="2" t="s">
        <v>17</v>
      </c>
      <c r="B34" s="7" t="s">
        <v>36</v>
      </c>
    </row>
    <row r="35" spans="1:2" x14ac:dyDescent="0.15">
      <c r="A35" s="6" t="s">
        <v>18</v>
      </c>
      <c r="B35" s="7" t="s">
        <v>37</v>
      </c>
    </row>
    <row r="36" spans="1:2" x14ac:dyDescent="0.15">
      <c r="A36" s="6" t="s">
        <v>19</v>
      </c>
      <c r="B36" s="7" t="s">
        <v>38</v>
      </c>
    </row>
    <row r="37" spans="1:2" x14ac:dyDescent="0.15">
      <c r="A37" s="6" t="s">
        <v>20</v>
      </c>
      <c r="B37" s="7" t="s">
        <v>39</v>
      </c>
    </row>
    <row r="38" spans="1:2" x14ac:dyDescent="0.15">
      <c r="A38" s="6"/>
      <c r="B38" s="7" t="s">
        <v>40</v>
      </c>
    </row>
    <row r="39" spans="1:2" x14ac:dyDescent="0.15">
      <c r="A39" s="6"/>
      <c r="B39" s="7" t="s">
        <v>41</v>
      </c>
    </row>
    <row r="40" spans="1:2" x14ac:dyDescent="0.15">
      <c r="A40" s="6"/>
      <c r="B40" s="7" t="s">
        <v>42</v>
      </c>
    </row>
    <row r="41" spans="1:2" x14ac:dyDescent="0.15">
      <c r="A41" s="6"/>
      <c r="B41" s="7" t="s">
        <v>43</v>
      </c>
    </row>
    <row r="42" spans="1:2" x14ac:dyDescent="0.15">
      <c r="A42" s="6"/>
      <c r="B42" s="7" t="s">
        <v>44</v>
      </c>
    </row>
    <row r="43" spans="1:2" x14ac:dyDescent="0.15">
      <c r="A43" s="6"/>
      <c r="B43" s="7" t="s">
        <v>45</v>
      </c>
    </row>
    <row r="44" spans="1:2" x14ac:dyDescent="0.15">
      <c r="A44" s="6"/>
      <c r="B44" s="7" t="s">
        <v>46</v>
      </c>
    </row>
    <row r="45" spans="1:2" x14ac:dyDescent="0.15">
      <c r="A45" s="6"/>
      <c r="B45" s="6" t="s">
        <v>47</v>
      </c>
    </row>
    <row r="46" spans="1:2" x14ac:dyDescent="0.15">
      <c r="A46" s="6"/>
      <c r="B46" s="6" t="s">
        <v>55</v>
      </c>
    </row>
    <row r="47" spans="1:2" x14ac:dyDescent="0.15">
      <c r="A47" s="8"/>
      <c r="B47" s="8" t="s">
        <v>52</v>
      </c>
    </row>
    <row r="48" spans="1:2" x14ac:dyDescent="0.15">
      <c r="A48" s="8"/>
      <c r="B48" s="8" t="s">
        <v>48</v>
      </c>
    </row>
    <row r="49" spans="1:2" x14ac:dyDescent="0.15">
      <c r="A49" s="8"/>
      <c r="B49" s="8" t="s">
        <v>51</v>
      </c>
    </row>
    <row r="50" spans="1:2" x14ac:dyDescent="0.15">
      <c r="A50" s="8"/>
      <c r="B50" s="9" t="s">
        <v>49</v>
      </c>
    </row>
    <row r="51" spans="1:2" x14ac:dyDescent="0.15">
      <c r="A51" s="8"/>
      <c r="B51" s="9" t="s">
        <v>50</v>
      </c>
    </row>
    <row r="52" spans="1:2" x14ac:dyDescent="0.15">
      <c r="A52" s="8"/>
      <c r="B52" s="8" t="s">
        <v>53</v>
      </c>
    </row>
    <row r="53" spans="1:2" x14ac:dyDescent="0.15">
      <c r="B53" s="2" t="s">
        <v>54</v>
      </c>
    </row>
    <row r="54" spans="1:2" x14ac:dyDescent="0.15">
      <c r="B54" s="2" t="s">
        <v>57</v>
      </c>
    </row>
    <row r="55" spans="1:2" x14ac:dyDescent="0.15">
      <c r="B55" s="2" t="s">
        <v>58</v>
      </c>
    </row>
    <row r="56" spans="1:2" x14ac:dyDescent="0.15">
      <c r="B56" s="2" t="s">
        <v>56</v>
      </c>
    </row>
  </sheetData>
  <mergeCells count="5">
    <mergeCell ref="A24:B24"/>
    <mergeCell ref="A25:B25"/>
    <mergeCell ref="A26:B26"/>
    <mergeCell ref="A27:B27"/>
    <mergeCell ref="A6:B23"/>
  </mergeCells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06325-DF9C-49CA-B279-5C21105F14CB}">
  <sheetPr codeName="Sheet6"/>
  <dimension ref="A1:AA16"/>
  <sheetViews>
    <sheetView tabSelected="1" workbookViewId="0">
      <pane ySplit="4" topLeftCell="A5" activePane="bottomLeft" state="frozenSplit"/>
      <selection pane="bottomLeft" activeCell="B6" sqref="B6"/>
    </sheetView>
  </sheetViews>
  <sheetFormatPr defaultColWidth="9" defaultRowHeight="13.5" x14ac:dyDescent="0.15"/>
  <cols>
    <col min="1" max="1" width="10" style="10" bestFit="1" customWidth="1"/>
    <col min="2" max="2" width="11.75" style="10" bestFit="1" customWidth="1"/>
    <col min="3" max="3" width="10.5" style="10" bestFit="1" customWidth="1"/>
    <col min="4" max="4" width="31.625" style="10" bestFit="1" customWidth="1"/>
    <col min="5" max="5" width="23" style="10" bestFit="1" customWidth="1"/>
    <col min="6" max="16384" width="9" style="10"/>
  </cols>
  <sheetData>
    <row r="1" spans="1:27" s="20" customFormat="1" ht="12" customHeight="1" x14ac:dyDescent="0.15">
      <c r="A1" s="19"/>
      <c r="B1" s="20" t="s">
        <v>75</v>
      </c>
      <c r="C1" s="19"/>
      <c r="X1" s="21"/>
    </row>
    <row r="2" spans="1:27" s="24" customFormat="1" ht="12" customHeight="1" x14ac:dyDescent="0.15">
      <c r="A2" s="22" t="s">
        <v>21</v>
      </c>
      <c r="B2" s="23" t="s">
        <v>22</v>
      </c>
      <c r="C2" s="23" t="s">
        <v>27</v>
      </c>
      <c r="D2" s="23" t="s">
        <v>23</v>
      </c>
      <c r="E2" s="23" t="s">
        <v>61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s="27" customFormat="1" ht="12" customHeight="1" x14ac:dyDescent="0.15">
      <c r="A3" s="25" t="s">
        <v>76</v>
      </c>
      <c r="B3" s="26" t="s">
        <v>77</v>
      </c>
      <c r="C3" s="26" t="s">
        <v>24</v>
      </c>
      <c r="D3" s="26" t="s">
        <v>25</v>
      </c>
      <c r="E3" s="26" t="s">
        <v>62</v>
      </c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x14ac:dyDescent="0.15">
      <c r="A4" s="10" t="s">
        <v>28</v>
      </c>
      <c r="B4" s="10" t="s">
        <v>29</v>
      </c>
      <c r="C4" s="10" t="s">
        <v>60</v>
      </c>
      <c r="D4" s="10" t="s">
        <v>26</v>
      </c>
      <c r="E4" s="10" t="s">
        <v>59</v>
      </c>
      <c r="F4" s="10" t="s">
        <v>74</v>
      </c>
    </row>
    <row r="5" spans="1:27" x14ac:dyDescent="0.15">
      <c r="A5" s="11">
        <v>17102101</v>
      </c>
      <c r="B5" s="12">
        <v>0</v>
      </c>
      <c r="C5" s="12">
        <v>0</v>
      </c>
      <c r="D5" s="10" t="s">
        <v>64</v>
      </c>
      <c r="E5" s="13" t="str">
        <f>"2017/10/21 00:00:00"</f>
        <v>2017/10/21 00:00:00</v>
      </c>
      <c r="F5" s="13" t="str">
        <f>"2017/10/21 00:00:00"</f>
        <v>2017/10/21 00:00:00</v>
      </c>
    </row>
    <row r="6" spans="1:27" x14ac:dyDescent="0.15">
      <c r="A6" s="11">
        <v>17102102</v>
      </c>
      <c r="B6" s="12">
        <v>1</v>
      </c>
      <c r="C6" s="12">
        <v>1000</v>
      </c>
      <c r="D6" s="10" t="s">
        <v>69</v>
      </c>
      <c r="E6" s="13" t="str">
        <f>"2017/10/21 00:00:00"</f>
        <v>2017/10/21 00:00:00</v>
      </c>
      <c r="F6" s="13" t="str">
        <f>"2017/10/21 00:00:00"</f>
        <v>2017/10/21 00:00:00</v>
      </c>
    </row>
    <row r="7" spans="1:27" x14ac:dyDescent="0.15">
      <c r="A7" s="11">
        <v>17102201</v>
      </c>
      <c r="B7" s="14">
        <v>0</v>
      </c>
      <c r="C7" s="12">
        <v>0</v>
      </c>
      <c r="D7" s="10" t="s">
        <v>65</v>
      </c>
      <c r="E7" s="13" t="str">
        <f>"2017/10/22 00:00:00"</f>
        <v>2017/10/22 00:00:00</v>
      </c>
      <c r="F7" s="13" t="str">
        <f>"2017/10/22 00:00:00"</f>
        <v>2017/10/22 00:00:00</v>
      </c>
    </row>
    <row r="8" spans="1:27" x14ac:dyDescent="0.15">
      <c r="A8" s="11">
        <v>17102202</v>
      </c>
      <c r="B8" s="12">
        <v>1</v>
      </c>
      <c r="C8" s="12">
        <v>1000</v>
      </c>
      <c r="D8" s="10" t="s">
        <v>66</v>
      </c>
      <c r="E8" s="13" t="str">
        <f>"2017/10/22 00:00:00"</f>
        <v>2017/10/22 00:00:00</v>
      </c>
      <c r="F8" s="13" t="str">
        <f>"2017/10/22 00:00:00"</f>
        <v>2017/10/22 00:00:00</v>
      </c>
    </row>
    <row r="9" spans="1:27" x14ac:dyDescent="0.15">
      <c r="A9" s="11">
        <v>17102801</v>
      </c>
      <c r="B9" s="12">
        <v>0</v>
      </c>
      <c r="C9" s="12">
        <v>0</v>
      </c>
      <c r="D9" s="10" t="s">
        <v>68</v>
      </c>
      <c r="E9" s="13" t="str">
        <f>"2017/10/28 00:00:00"</f>
        <v>2017/10/28 00:00:00</v>
      </c>
      <c r="F9" s="13" t="str">
        <f>"2017/10/28 00:00:00"</f>
        <v>2017/10/28 00:00:00</v>
      </c>
    </row>
    <row r="10" spans="1:27" x14ac:dyDescent="0.15">
      <c r="A10" s="11">
        <v>17102802</v>
      </c>
      <c r="B10" s="12">
        <v>1</v>
      </c>
      <c r="C10" s="12">
        <v>1000</v>
      </c>
      <c r="D10" s="10" t="s">
        <v>63</v>
      </c>
      <c r="E10" s="13" t="str">
        <f>"2017/10/28 00:00:00"</f>
        <v>2017/10/28 00:00:00</v>
      </c>
      <c r="F10" s="13" t="str">
        <f>"2017/10/28 00:00:00"</f>
        <v>2017/10/28 00:00:00</v>
      </c>
    </row>
    <row r="11" spans="1:27" x14ac:dyDescent="0.15">
      <c r="A11" s="11">
        <v>17102901</v>
      </c>
      <c r="B11" s="12">
        <v>0</v>
      </c>
      <c r="C11" s="12">
        <v>0</v>
      </c>
      <c r="D11" s="10" t="s">
        <v>70</v>
      </c>
      <c r="E11" s="13" t="str">
        <f>"2017/10/29 00:00:00"</f>
        <v>2017/10/29 00:00:00</v>
      </c>
      <c r="F11" s="13" t="str">
        <f>"2017/10/29 00:00:00"</f>
        <v>2017/10/29 00:00:00</v>
      </c>
    </row>
    <row r="12" spans="1:27" x14ac:dyDescent="0.15">
      <c r="A12" s="11">
        <v>17102902</v>
      </c>
      <c r="B12" s="12">
        <v>1</v>
      </c>
      <c r="C12" s="12">
        <v>1000</v>
      </c>
      <c r="D12" s="10" t="s">
        <v>71</v>
      </c>
      <c r="E12" s="13" t="str">
        <f>"2017/10/29 00:00:00"</f>
        <v>2017/10/29 00:00:00</v>
      </c>
      <c r="F12" s="13" t="str">
        <f>"2017/10/29 00:00:00"</f>
        <v>2017/10/29 00:00:00</v>
      </c>
    </row>
    <row r="13" spans="1:27" x14ac:dyDescent="0.15">
      <c r="A13" s="15">
        <v>17110401</v>
      </c>
      <c r="B13" s="14">
        <v>0</v>
      </c>
      <c r="C13" s="14">
        <v>0</v>
      </c>
      <c r="D13" s="10" t="s">
        <v>73</v>
      </c>
      <c r="E13" s="13" t="str">
        <f>"2017/11/4 00:00:00"</f>
        <v>2017/11/4 00:00:00</v>
      </c>
      <c r="F13" s="13" t="str">
        <f>"2017/11/4 00:00:00"</f>
        <v>2017/11/4 00:00:00</v>
      </c>
    </row>
    <row r="14" spans="1:27" x14ac:dyDescent="0.15">
      <c r="A14" s="15">
        <v>17110402</v>
      </c>
      <c r="B14" s="14">
        <v>1</v>
      </c>
      <c r="C14" s="14">
        <v>1000</v>
      </c>
      <c r="D14" s="10" t="s">
        <v>67</v>
      </c>
      <c r="E14" s="13" t="str">
        <f>"2017/11/4 00:00:00"</f>
        <v>2017/11/4 00:00:00</v>
      </c>
      <c r="F14" s="13" t="str">
        <f>"2017/11/4 00:00:00"</f>
        <v>2017/11/4 00:00:00</v>
      </c>
    </row>
    <row r="15" spans="1:27" x14ac:dyDescent="0.15">
      <c r="A15" s="15">
        <v>17110501</v>
      </c>
      <c r="B15" s="14">
        <v>0</v>
      </c>
      <c r="C15" s="14">
        <v>0</v>
      </c>
      <c r="D15" s="10" t="s">
        <v>65</v>
      </c>
      <c r="E15" s="13" t="str">
        <f>"2017/11/5 23:59:59"</f>
        <v>2017/11/5 23:59:59</v>
      </c>
      <c r="F15" s="13" t="str">
        <f>"2017/11/5 23:59:59"</f>
        <v>2017/11/5 23:59:59</v>
      </c>
    </row>
    <row r="16" spans="1:27" x14ac:dyDescent="0.15">
      <c r="A16" s="15">
        <v>17110502</v>
      </c>
      <c r="B16" s="14">
        <v>1</v>
      </c>
      <c r="C16" s="14">
        <v>1000</v>
      </c>
      <c r="D16" s="10" t="s">
        <v>72</v>
      </c>
      <c r="E16" s="13" t="str">
        <f>"2017/11/5 23:59:59"</f>
        <v>2017/11/5 23:59:59</v>
      </c>
      <c r="F16" s="13" t="str">
        <f>"2017/11/5 23:59:59"</f>
        <v>2017/11/5 23:59:59</v>
      </c>
    </row>
  </sheetData>
  <phoneticPr fontId="4" type="noConversion"/>
  <conditionalFormatting sqref="A5:A16">
    <cfRule type="duplicateValues" dxfId="1" priority="43"/>
  </conditionalFormatting>
  <conditionalFormatting sqref="A13:A16">
    <cfRule type="duplicateValues" dxfId="0" priority="1"/>
  </conditionalFormatting>
  <dataValidations xWindow="221" yWindow="292" count="3">
    <dataValidation allowBlank="1" showInputMessage="1" showErrorMessage="1" promptTitle="--------------------------------" prompt="0、登录奖励（分享后可领）_x000a_1、在线奖励（分享后可领）" sqref="B4" xr:uid="{FD3CC4AD-14F5-494F-B182-1B91698473B8}"/>
    <dataValidation allowBlank="1" showInputMessage="1" showErrorMessage="1" promptTitle="根据任务类型来决定--------------" prompt="类型0，填0_x000a_类型1，填捕获任意鱼的数量" sqref="C4" xr:uid="{51F821BC-A930-4980-B27B-E083BFA9F741}"/>
    <dataValidation allowBlank="1" showInputMessage="1" showErrorMessage="1" promptTitle="版本&quot;,&quot;分割————————————" prompt="如果是所有版本，则填ALL" sqref="B1" xr:uid="{0CC0117D-7B7E-4C4F-A694-6CAAB4B87C98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2018-04-25T10:35:07Z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