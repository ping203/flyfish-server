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52E31E9-9DA2-428A-9984-E4F17686E539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9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K52" i="9" l="1"/>
  <c r="K53" i="9"/>
  <c r="K54" i="9"/>
  <c r="K56" i="9"/>
  <c r="K49" i="9"/>
  <c r="K50" i="9"/>
  <c r="K48" i="9"/>
  <c r="K6" i="9"/>
  <c r="K8" i="9"/>
  <c r="K10" i="9"/>
  <c r="K12" i="9"/>
  <c r="K13" i="9"/>
  <c r="K14" i="9"/>
  <c r="K15" i="9"/>
  <c r="K16" i="9"/>
  <c r="K17" i="9"/>
  <c r="K18" i="9"/>
  <c r="K19" i="9"/>
  <c r="K21" i="9"/>
  <c r="K23" i="9"/>
  <c r="K25" i="9"/>
  <c r="K26" i="9"/>
  <c r="K28" i="9"/>
  <c r="K29" i="9"/>
  <c r="K30" i="9"/>
  <c r="K32" i="9"/>
  <c r="K34" i="9"/>
  <c r="K36" i="9"/>
  <c r="K38" i="9"/>
  <c r="K39" i="9"/>
  <c r="K40" i="9"/>
  <c r="K41" i="9"/>
  <c r="K42" i="9"/>
  <c r="K43" i="9"/>
  <c r="K45" i="9"/>
  <c r="K46" i="9"/>
  <c r="K37" i="9"/>
  <c r="K27" i="9"/>
  <c r="K22" i="9"/>
  <c r="K33" i="9"/>
  <c r="K5" i="9"/>
  <c r="K7" i="9"/>
  <c r="K9" i="9"/>
  <c r="K11" i="9"/>
  <c r="K20" i="9"/>
  <c r="K24" i="9"/>
  <c r="K31" i="9"/>
  <c r="K35" i="9"/>
  <c r="K44" i="9"/>
  <c r="K47" i="9"/>
  <c r="K51" i="9"/>
  <c r="K55" i="9"/>
  <c r="K57" i="9"/>
</calcChain>
</file>

<file path=xl/sharedStrings.xml><?xml version="1.0" encoding="utf-8"?>
<sst xmlns="http://schemas.openxmlformats.org/spreadsheetml/2006/main" count="169" uniqueCount="125">
  <si>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</si>
  <si>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</si>
  <si>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</si>
  <si>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</si>
  <si>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</si>
  <si>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</si>
  <si>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</si>
  <si>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</si>
  <si>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</si>
  <si>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</si>
  <si>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</si>
  <si>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</si>
  <si>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</si>
  <si>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</si>
  <si>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</si>
  <si>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</si>
  <si>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</si>
  <si>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</si>
  <si>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</si>
  <si>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</si>
  <si>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</si>
  <si>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</si>
  <si>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</si>
  <si>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</si>
  <si>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</si>
  <si>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</si>
  <si>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</si>
  <si>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</si>
  <si>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</si>
  <si>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</si>
  <si>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needitem</t>
  </si>
  <si>
    <t>int</t>
  </si>
  <si>
    <t>string</t>
  </si>
  <si>
    <t>table</t>
  </si>
  <si>
    <t>女神ID</t>
  </si>
  <si>
    <t>level</t>
  </si>
  <si>
    <t>needgold</t>
  </si>
  <si>
    <t>property</t>
  </si>
  <si>
    <t>value</t>
  </si>
  <si>
    <t>description</t>
  </si>
  <si>
    <t>hp</t>
  </si>
  <si>
    <t>aquarium</t>
  </si>
  <si>
    <t>unexport</t>
  </si>
  <si>
    <t>等级</t>
  </si>
  <si>
    <t>升级需要碎片</t>
  </si>
  <si>
    <t>需要金币</t>
  </si>
  <si>
    <t>新增属性</t>
  </si>
  <si>
    <t>属性参数</t>
  </si>
  <si>
    <t>新增属性说明</t>
  </si>
  <si>
    <t>女神生命</t>
  </si>
  <si>
    <t>属性是否在水族馆显示</t>
  </si>
  <si>
    <t>名称</t>
  </si>
  <si>
    <t>[]</t>
  </si>
  <si>
    <t>["i701",20]</t>
  </si>
  <si>
    <t>["i701",40]</t>
  </si>
  <si>
    <t>["i701",1000]</t>
  </si>
  <si>
    <t>["i702",20]</t>
  </si>
  <si>
    <t>["i702",40]</t>
  </si>
  <si>
    <t>["i702",1000]</t>
  </si>
  <si>
    <t>魅力</t>
    <phoneticPr fontId="3" type="noConversion"/>
  </si>
  <si>
    <t>charm</t>
    <phoneticPr fontId="3" type="noConversion"/>
  </si>
  <si>
    <t>int</t>
    <phoneticPr fontId="3" type="noConversion"/>
  </si>
  <si>
    <t>["i701",200]</t>
  </si>
  <si>
    <t>["i702",200]</t>
  </si>
  <si>
    <t>["i703",20]</t>
  </si>
  <si>
    <t>["i703",40]</t>
  </si>
  <si>
    <t>["i703",200]</t>
  </si>
  <si>
    <t>["i703",1000]</t>
  </si>
  <si>
    <t>["i700",10]</t>
    <phoneticPr fontId="3" type="noConversion"/>
  </si>
  <si>
    <t>["i700",20]</t>
    <phoneticPr fontId="3" type="noConversion"/>
  </si>
  <si>
    <t>["i700",40]</t>
    <phoneticPr fontId="3" type="noConversion"/>
  </si>
  <si>
    <t>["i700",100]</t>
    <phoneticPr fontId="3" type="noConversion"/>
  </si>
  <si>
    <t>["i700",200]</t>
    <phoneticPr fontId="3" type="noConversion"/>
  </si>
  <si>
    <t>["i700",1800]</t>
    <phoneticPr fontId="3" type="noConversion"/>
  </si>
  <si>
    <t>["i700",60]</t>
    <phoneticPr fontId="3" type="noConversion"/>
  </si>
  <si>
    <t>["i700",500]</t>
    <phoneticPr fontId="3" type="noConversion"/>
  </si>
  <si>
    <t>["i700",1000]</t>
    <phoneticPr fontId="3" type="noConversion"/>
  </si>
  <si>
    <t>["i700",2600]</t>
    <phoneticPr fontId="3" type="noConversion"/>
  </si>
  <si>
    <t>["i700",3600]</t>
    <phoneticPr fontId="3" type="noConversion"/>
  </si>
  <si>
    <t>["i701",10]</t>
  </si>
  <si>
    <t>["i701",60]</t>
  </si>
  <si>
    <t>["i701",100]</t>
  </si>
  <si>
    <t>["i701",500]</t>
  </si>
  <si>
    <t>["i701",1800]</t>
  </si>
  <si>
    <t>["i701",2600]</t>
  </si>
  <si>
    <t>["i701",3600]</t>
  </si>
  <si>
    <t>["i702",10]</t>
  </si>
  <si>
    <t>["i702",60]</t>
  </si>
  <si>
    <t>["i702",100]</t>
  </si>
  <si>
    <t>["i702",500]</t>
  </si>
  <si>
    <t>["i702",1800]</t>
  </si>
  <si>
    <t>["i702",2600]</t>
  </si>
  <si>
    <t>["i702",3600]</t>
  </si>
  <si>
    <t>["i703",10]</t>
  </si>
  <si>
    <t>["i703",60]</t>
  </si>
  <si>
    <t>["i703",100]</t>
  </si>
  <si>
    <t>["i703",500]</t>
  </si>
  <si>
    <t>["i703",1800]</t>
  </si>
  <si>
    <t>["i703",2600]</t>
  </si>
  <si>
    <t>["i703",3600]</t>
  </si>
  <si>
    <t>float</t>
    <phoneticPr fontId="3" type="noConversion"/>
  </si>
  <si>
    <t>dailypast_desc_0</t>
  </si>
  <si>
    <t>goddessup_desc_8</t>
  </si>
  <si>
    <t>goddessup_desc_2</t>
  </si>
  <si>
    <t>goddessup_desc_6_1</t>
  </si>
  <si>
    <t>goddessup_desc_3</t>
  </si>
  <si>
    <t>goddessup_desc_1_1</t>
  </si>
  <si>
    <t>goddessup_desc_4</t>
  </si>
  <si>
    <t>goddessup_desc_9</t>
  </si>
  <si>
    <t>goddessup_desc_5</t>
  </si>
  <si>
    <t>goddessup_desc_7_1</t>
  </si>
  <si>
    <t>goddessup_desc_10</t>
  </si>
  <si>
    <t>goddessup_desc_6_2</t>
  </si>
  <si>
    <t>goddessup_desc_1_2</t>
  </si>
  <si>
    <t>goddessup_desc_11</t>
  </si>
  <si>
    <t>goddessup_desc_7_2</t>
  </si>
  <si>
    <t>goddessup_desc_6_3</t>
  </si>
  <si>
    <t>goddessup_desc_1_3</t>
  </si>
  <si>
    <t>goddessup_desc_12</t>
  </si>
  <si>
    <t>goddessup_desc_7_3</t>
  </si>
  <si>
    <t>goddessup_desc_6_4</t>
  </si>
  <si>
    <t>goddessup_desc_1_4</t>
  </si>
  <si>
    <t>goddessup_desc_7_4</t>
  </si>
  <si>
    <t>ALL</t>
    <phoneticPr fontId="6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</si>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</sst>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8BA1DC23-11EA-45FA-A421-03E08BBA9922}"/>
  </cellStyles>
  <dxfs count="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FAA6683-6E51-454D-BCA1-F9A8A582D270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shjoy_design/data_table/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string-字符串表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3_32" displayName="表3_32" ref="A4:K57" totalsRowShown="0">
  <autoFilter ref="A4:K57" xr:uid="{00000000-0009-0000-0100-000001000000}"/>
  <tableColumns count="11">
    <tableColumn id="1" xr3:uid="{00000000-0010-0000-0100-000001000000}" name="女神ID"/>
    <tableColumn id="2" xr3:uid="{00000000-0010-0000-0100-000002000000}" name="等级"/>
    <tableColumn id="3" xr3:uid="{00000000-0010-0000-0100-000003000000}" name="升级需要碎片"/>
    <tableColumn id="4" xr3:uid="{00000000-0010-0000-0100-000004000000}" name="需要金币"/>
    <tableColumn id="11" xr3:uid="{00000000-0010-0000-0100-00000B000000}" name="魅力" dataDxfId="2"/>
    <tableColumn id="5" xr3:uid="{00000000-0010-0000-0100-000005000000}" name="新增属性"/>
    <tableColumn id="6" xr3:uid="{00000000-0010-0000-0100-000006000000}" name="属性参数"/>
    <tableColumn id="7" xr3:uid="{00000000-0010-0000-0100-000007000000}" name="新增属性说明" dataDxfId="1"/>
    <tableColumn id="8" xr3:uid="{00000000-0010-0000-0100-000008000000}" name="女神生命"/>
    <tableColumn id="9" xr3:uid="{00000000-0010-0000-0100-000009000000}" name="属性是否在水族馆显示"/>
    <tableColumn id="10" xr3:uid="{00000000-0010-0000-0100-00000A000000}" name="名称" dataDxfId="0">
      <calculatedColumnFormula>IFERROR(VLOOKUP(表3_32[[#This Row],[新增属性说明]],[1]!表1[#Data],2,FALSE),"")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4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5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6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9" t="s">
        <v>13</v>
      </c>
      <c r="B6" s="10"/>
      <c r="C6">
        <v>6</v>
      </c>
      <c r="D6" s="3" t="s">
        <v>14</v>
      </c>
    </row>
    <row r="7" spans="1:4" x14ac:dyDescent="0.15">
      <c r="A7" s="10"/>
      <c r="B7" s="10"/>
      <c r="C7">
        <v>7</v>
      </c>
      <c r="D7" s="3" t="s">
        <v>15</v>
      </c>
    </row>
    <row r="8" spans="1:4" x14ac:dyDescent="0.15">
      <c r="A8" s="10"/>
      <c r="B8" s="10"/>
      <c r="C8">
        <v>8</v>
      </c>
      <c r="D8" s="3" t="s">
        <v>16</v>
      </c>
    </row>
    <row r="9" spans="1:4" x14ac:dyDescent="0.15">
      <c r="A9" s="10"/>
      <c r="B9" s="10"/>
      <c r="C9">
        <v>9</v>
      </c>
      <c r="D9" s="3" t="s">
        <v>17</v>
      </c>
    </row>
    <row r="10" spans="1:4" x14ac:dyDescent="0.15">
      <c r="A10" s="10"/>
      <c r="B10" s="10"/>
      <c r="C10">
        <v>10</v>
      </c>
      <c r="D10" s="3" t="s">
        <v>18</v>
      </c>
    </row>
    <row r="11" spans="1:4" x14ac:dyDescent="0.15">
      <c r="A11" s="10"/>
      <c r="B11" s="10"/>
      <c r="C11">
        <v>11</v>
      </c>
      <c r="D11" s="3" t="s">
        <v>19</v>
      </c>
    </row>
    <row r="12" spans="1:4" x14ac:dyDescent="0.15">
      <c r="A12" s="10"/>
      <c r="B12" s="10"/>
      <c r="C12">
        <v>12</v>
      </c>
      <c r="D12" s="3" t="s">
        <v>20</v>
      </c>
    </row>
    <row r="13" spans="1:4" x14ac:dyDescent="0.15">
      <c r="A13" s="10"/>
      <c r="B13" s="10"/>
    </row>
    <row r="14" spans="1:4" x14ac:dyDescent="0.15">
      <c r="A14" s="10"/>
      <c r="B14" s="10"/>
    </row>
    <row r="15" spans="1:4" x14ac:dyDescent="0.15">
      <c r="A15" s="10"/>
      <c r="B15" s="10"/>
    </row>
    <row r="16" spans="1:4" x14ac:dyDescent="0.15">
      <c r="A16" s="10"/>
      <c r="B16" s="10"/>
    </row>
    <row r="17" spans="1:2" x14ac:dyDescent="0.15">
      <c r="A17" s="10"/>
      <c r="B17" s="10"/>
    </row>
    <row r="18" spans="1:2" x14ac:dyDescent="0.15">
      <c r="A18" s="8" t="s">
        <v>21</v>
      </c>
      <c r="B18" s="8"/>
    </row>
    <row r="19" spans="1:2" x14ac:dyDescent="0.15">
      <c r="A19" s="8" t="s">
        <v>22</v>
      </c>
      <c r="B19" s="8"/>
    </row>
    <row r="20" spans="1:2" x14ac:dyDescent="0.15">
      <c r="A20" s="8" t="s">
        <v>23</v>
      </c>
      <c r="B20" s="8"/>
    </row>
    <row r="21" spans="1:2" x14ac:dyDescent="0.15">
      <c r="A21" s="8"/>
      <c r="B21" s="8"/>
    </row>
    <row r="22" spans="1:2" x14ac:dyDescent="0.15">
      <c r="A22" s="8"/>
      <c r="B22" s="8"/>
    </row>
    <row r="23" spans="1:2" x14ac:dyDescent="0.15">
      <c r="A23" s="8"/>
      <c r="B23" s="8"/>
    </row>
    <row r="24" spans="1:2" x14ac:dyDescent="0.15">
      <c r="A24" s="8"/>
      <c r="B24" s="8"/>
    </row>
    <row r="25" spans="1:2" x14ac:dyDescent="0.15">
      <c r="A25" s="3" t="s">
        <v>24</v>
      </c>
      <c r="B25" s="7"/>
    </row>
    <row r="26" spans="1:2" x14ac:dyDescent="0.15">
      <c r="A26" t="s">
        <v>25</v>
      </c>
      <c r="B26" s="7"/>
    </row>
    <row r="27" spans="1:2" x14ac:dyDescent="0.15">
      <c r="A27" t="s">
        <v>26</v>
      </c>
      <c r="B27" s="7"/>
    </row>
    <row r="28" spans="1:2" x14ac:dyDescent="0.15">
      <c r="A28" t="s">
        <v>27</v>
      </c>
      <c r="B28" s="7"/>
    </row>
    <row r="29" spans="1:2" x14ac:dyDescent="0.15">
      <c r="A29" t="s">
        <v>28</v>
      </c>
      <c r="B29" s="7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</sheetData>
  <mergeCells count="18">
    <mergeCell ref="A21:B21"/>
    <mergeCell ref="A22:B22"/>
    <mergeCell ref="A38:B38"/>
    <mergeCell ref="A39:B39"/>
    <mergeCell ref="A37:B37"/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7"/>
  <sheetViews>
    <sheetView tabSelected="1" workbookViewId="0">
      <selection activeCell="H12" sqref="H12"/>
    </sheetView>
  </sheetViews>
  <sheetFormatPr defaultColWidth="9" defaultRowHeight="13.5" x14ac:dyDescent="0.15"/>
  <cols>
    <col min="1" max="1" width="9" customWidth="1"/>
    <col min="2" max="2" width="7" customWidth="1"/>
    <col min="3" max="3" width="14.25" bestFit="1" customWidth="1"/>
    <col min="4" max="4" width="10.625" customWidth="1"/>
    <col min="5" max="5" width="7.375" bestFit="1" customWidth="1"/>
    <col min="6" max="7" width="10.5" customWidth="1"/>
    <col min="8" max="8" width="19" customWidth="1"/>
    <col min="9" max="9" width="10.5" customWidth="1"/>
    <col min="10" max="10" width="19.5" customWidth="1"/>
    <col min="11" max="11" width="8.5" bestFit="1" customWidth="1"/>
  </cols>
  <sheetData>
    <row r="1" spans="1:27" s="12" customFormat="1" ht="12" customHeight="1" x14ac:dyDescent="0.15">
      <c r="A1" s="11"/>
      <c r="B1" s="12" t="s">
        <v>123</v>
      </c>
      <c r="C1" s="11"/>
      <c r="X1" s="13"/>
    </row>
    <row r="2" spans="1:27" s="16" customFormat="1" ht="12" customHeight="1" x14ac:dyDescent="0.15">
      <c r="A2" s="14" t="s">
        <v>29</v>
      </c>
      <c r="B2" s="15" t="s">
        <v>35</v>
      </c>
      <c r="C2" s="15" t="s">
        <v>30</v>
      </c>
      <c r="D2" s="15" t="s">
        <v>36</v>
      </c>
      <c r="E2" s="15" t="s">
        <v>60</v>
      </c>
      <c r="F2" s="15" t="s">
        <v>37</v>
      </c>
      <c r="G2" s="15" t="s">
        <v>38</v>
      </c>
      <c r="H2" s="15" t="s">
        <v>39</v>
      </c>
      <c r="I2" s="15" t="s">
        <v>40</v>
      </c>
      <c r="J2" s="15" t="s">
        <v>41</v>
      </c>
      <c r="K2" s="15" t="s">
        <v>42</v>
      </c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124</v>
      </c>
      <c r="B3" s="18" t="s">
        <v>61</v>
      </c>
      <c r="C3" s="18" t="s">
        <v>33</v>
      </c>
      <c r="D3" s="18" t="s">
        <v>31</v>
      </c>
      <c r="E3" s="18" t="s">
        <v>61</v>
      </c>
      <c r="F3" s="18" t="s">
        <v>31</v>
      </c>
      <c r="G3" s="18" t="s">
        <v>100</v>
      </c>
      <c r="H3" s="18" t="s">
        <v>32</v>
      </c>
      <c r="I3" s="18" t="s">
        <v>31</v>
      </c>
      <c r="J3" s="18" t="s">
        <v>31</v>
      </c>
      <c r="K3" s="18" t="s">
        <v>42</v>
      </c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2" t="s">
        <v>34</v>
      </c>
      <c r="B4" s="2" t="s">
        <v>43</v>
      </c>
      <c r="C4" s="2" t="s">
        <v>44</v>
      </c>
      <c r="D4" s="2" t="s">
        <v>45</v>
      </c>
      <c r="E4" s="2" t="s">
        <v>59</v>
      </c>
      <c r="F4" s="2" t="s">
        <v>46</v>
      </c>
      <c r="G4" s="2" t="s">
        <v>47</v>
      </c>
      <c r="H4" s="2" t="s">
        <v>48</v>
      </c>
      <c r="I4" s="2" t="s">
        <v>49</v>
      </c>
      <c r="J4" s="2" t="s">
        <v>50</v>
      </c>
      <c r="K4" s="2" t="s">
        <v>51</v>
      </c>
    </row>
    <row r="5" spans="1:27" x14ac:dyDescent="0.15">
      <c r="A5" s="2">
        <v>1</v>
      </c>
      <c r="B5" s="3">
        <v>0</v>
      </c>
      <c r="C5" s="2" t="s">
        <v>52</v>
      </c>
      <c r="D5" s="2">
        <v>0</v>
      </c>
      <c r="E5" s="2">
        <v>0</v>
      </c>
      <c r="F5" s="3">
        <v>0</v>
      </c>
      <c r="G5">
        <v>0</v>
      </c>
      <c r="H5" s="2" t="s">
        <v>101</v>
      </c>
      <c r="I5">
        <v>100</v>
      </c>
      <c r="J5">
        <v>0</v>
      </c>
      <c r="K5" t="str">
        <f>IFERROR(VLOOKUP(表3_32[[#This Row],[新增属性说明]],[1]!表1[#Data],2,FALSE),"")</f>
        <v/>
      </c>
      <c r="L5" s="3"/>
    </row>
    <row r="6" spans="1:27" x14ac:dyDescent="0.15">
      <c r="A6" s="2">
        <v>1</v>
      </c>
      <c r="B6" s="3">
        <v>1</v>
      </c>
      <c r="C6" s="2" t="s">
        <v>52</v>
      </c>
      <c r="D6" s="2">
        <v>0</v>
      </c>
      <c r="E6" s="2">
        <v>200</v>
      </c>
      <c r="F6" s="3">
        <v>8</v>
      </c>
      <c r="G6">
        <v>0.1</v>
      </c>
      <c r="H6" s="2" t="s">
        <v>102</v>
      </c>
      <c r="I6">
        <v>100</v>
      </c>
      <c r="J6">
        <v>0</v>
      </c>
      <c r="K6" t="str">
        <f>IFERROR(VLOOKUP(表3_32[[#This Row],[新增属性说明]],[1]!表1[#Data],2,FALSE),"")</f>
        <v/>
      </c>
      <c r="L6" s="3"/>
    </row>
    <row r="7" spans="1:27" x14ac:dyDescent="0.15">
      <c r="A7" s="2">
        <v>1</v>
      </c>
      <c r="B7" s="3">
        <v>2</v>
      </c>
      <c r="C7" s="2" t="s">
        <v>68</v>
      </c>
      <c r="D7" s="2">
        <v>100000</v>
      </c>
      <c r="E7" s="2">
        <v>280</v>
      </c>
      <c r="F7">
        <v>0</v>
      </c>
      <c r="G7">
        <v>0</v>
      </c>
      <c r="H7" s="2" t="s">
        <v>101</v>
      </c>
      <c r="I7">
        <v>150</v>
      </c>
      <c r="J7">
        <v>0</v>
      </c>
      <c r="K7" t="str">
        <f>IFERROR(VLOOKUP(表3_32[[#This Row],[新增属性说明]],[1]!表1[#Data],2,FALSE),"")</f>
        <v/>
      </c>
      <c r="L7" s="3"/>
    </row>
    <row r="8" spans="1:27" x14ac:dyDescent="0.15">
      <c r="A8" s="2">
        <v>1</v>
      </c>
      <c r="B8" s="3">
        <v>3</v>
      </c>
      <c r="C8" s="2" t="s">
        <v>69</v>
      </c>
      <c r="D8" s="2">
        <v>200000</v>
      </c>
      <c r="E8" s="2">
        <v>360</v>
      </c>
      <c r="F8">
        <v>2</v>
      </c>
      <c r="G8">
        <v>0</v>
      </c>
      <c r="H8" s="2" t="s">
        <v>103</v>
      </c>
      <c r="I8">
        <v>200</v>
      </c>
      <c r="J8">
        <v>0</v>
      </c>
      <c r="K8" t="str">
        <f>IFERROR(VLOOKUP(表3_32[[#This Row],[新增属性说明]],[1]!表1[#Data],2,FALSE),"")</f>
        <v/>
      </c>
      <c r="L8" s="3"/>
    </row>
    <row r="9" spans="1:27" x14ac:dyDescent="0.15">
      <c r="A9" s="2">
        <v>1</v>
      </c>
      <c r="B9" s="3">
        <v>4</v>
      </c>
      <c r="C9" s="2" t="s">
        <v>70</v>
      </c>
      <c r="D9" s="2">
        <v>400000</v>
      </c>
      <c r="E9" s="2">
        <v>440.00000000000006</v>
      </c>
      <c r="F9">
        <v>0</v>
      </c>
      <c r="G9">
        <v>0</v>
      </c>
      <c r="H9" s="2" t="s">
        <v>101</v>
      </c>
      <c r="I9">
        <v>250</v>
      </c>
      <c r="J9">
        <v>0</v>
      </c>
      <c r="K9" t="str">
        <f>IFERROR(VLOOKUP(表3_32[[#This Row],[新增属性说明]],[1]!表1[#Data],2,FALSE),"")</f>
        <v/>
      </c>
      <c r="L9" s="3"/>
    </row>
    <row r="10" spans="1:27" x14ac:dyDescent="0.15">
      <c r="A10" s="2">
        <v>1</v>
      </c>
      <c r="B10" s="3">
        <v>5</v>
      </c>
      <c r="C10" s="2" t="s">
        <v>74</v>
      </c>
      <c r="D10" s="2">
        <v>600000</v>
      </c>
      <c r="E10" s="2">
        <v>520</v>
      </c>
      <c r="F10">
        <v>6</v>
      </c>
      <c r="G10">
        <v>150</v>
      </c>
      <c r="H10" s="2" t="s">
        <v>104</v>
      </c>
      <c r="I10">
        <v>300</v>
      </c>
      <c r="J10">
        <v>1</v>
      </c>
      <c r="K10" t="str">
        <f>IFERROR(VLOOKUP(表3_32[[#This Row],[新增属性说明]],[1]!表1[#Data],2,FALSE),"")</f>
        <v/>
      </c>
      <c r="L10" s="3"/>
    </row>
    <row r="11" spans="1:27" x14ac:dyDescent="0.15">
      <c r="A11" s="2">
        <v>1</v>
      </c>
      <c r="B11" s="3">
        <v>6</v>
      </c>
      <c r="C11" s="2" t="s">
        <v>71</v>
      </c>
      <c r="D11" s="2">
        <v>1000000</v>
      </c>
      <c r="E11" s="2">
        <v>600</v>
      </c>
      <c r="F11" s="3">
        <v>0</v>
      </c>
      <c r="G11">
        <v>0</v>
      </c>
      <c r="H11" s="2" t="s">
        <v>101</v>
      </c>
      <c r="I11">
        <v>350</v>
      </c>
      <c r="J11">
        <v>0</v>
      </c>
      <c r="K11" t="str">
        <f>IFERROR(VLOOKUP(表3_32[[#This Row],[新增属性说明]],[1]!表1[#Data],2,FALSE),"")</f>
        <v/>
      </c>
      <c r="L11" s="3"/>
    </row>
    <row r="12" spans="1:27" x14ac:dyDescent="0.15">
      <c r="A12" s="2">
        <v>1</v>
      </c>
      <c r="B12" s="3">
        <v>7</v>
      </c>
      <c r="C12" s="2" t="s">
        <v>72</v>
      </c>
      <c r="D12" s="2">
        <v>2000000</v>
      </c>
      <c r="E12" s="2">
        <v>680</v>
      </c>
      <c r="F12" s="3">
        <v>3</v>
      </c>
      <c r="G12">
        <v>0</v>
      </c>
      <c r="H12" s="2" t="s">
        <v>105</v>
      </c>
      <c r="I12">
        <v>400</v>
      </c>
      <c r="J12">
        <v>0</v>
      </c>
      <c r="K12" t="str">
        <f>IFERROR(VLOOKUP(表3_32[[#This Row],[新增属性说明]],[1]!表1[#Data],2,FALSE),"")</f>
        <v/>
      </c>
      <c r="L12" s="3"/>
    </row>
    <row r="13" spans="1:27" x14ac:dyDescent="0.15">
      <c r="A13" s="2">
        <v>1</v>
      </c>
      <c r="B13" s="3">
        <v>8</v>
      </c>
      <c r="C13" s="2" t="s">
        <v>75</v>
      </c>
      <c r="D13" s="2">
        <v>4000000</v>
      </c>
      <c r="E13" s="2">
        <v>760</v>
      </c>
      <c r="F13">
        <v>1</v>
      </c>
      <c r="G13">
        <v>1</v>
      </c>
      <c r="H13" s="2" t="s">
        <v>106</v>
      </c>
      <c r="I13">
        <v>450</v>
      </c>
      <c r="J13">
        <v>1</v>
      </c>
      <c r="K13" t="str">
        <f>IFERROR(VLOOKUP(表3_32[[#This Row],[新增属性说明]],[1]!表1[#Data],2,FALSE),"")</f>
        <v/>
      </c>
      <c r="L13" s="3"/>
    </row>
    <row r="14" spans="1:27" x14ac:dyDescent="0.15">
      <c r="A14" s="2">
        <v>1</v>
      </c>
      <c r="B14" s="3">
        <v>9</v>
      </c>
      <c r="C14" s="2" t="s">
        <v>76</v>
      </c>
      <c r="D14" s="2">
        <v>6000000</v>
      </c>
      <c r="E14" s="2">
        <v>840</v>
      </c>
      <c r="F14">
        <v>4</v>
      </c>
      <c r="G14">
        <v>0</v>
      </c>
      <c r="H14" s="2" t="s">
        <v>107</v>
      </c>
      <c r="I14">
        <v>500</v>
      </c>
      <c r="J14">
        <v>0</v>
      </c>
      <c r="K14" t="str">
        <f>IFERROR(VLOOKUP(表3_32[[#This Row],[新增属性说明]],[1]!表1[#Data],2,FALSE),"")</f>
        <v/>
      </c>
      <c r="L14" s="3"/>
    </row>
    <row r="15" spans="1:27" x14ac:dyDescent="0.15">
      <c r="A15" s="2">
        <v>1</v>
      </c>
      <c r="B15" s="3">
        <v>10</v>
      </c>
      <c r="C15" s="2" t="s">
        <v>73</v>
      </c>
      <c r="D15" s="2">
        <v>8000000</v>
      </c>
      <c r="E15" s="2">
        <v>919.99999999999989</v>
      </c>
      <c r="F15">
        <v>9</v>
      </c>
      <c r="G15">
        <v>0.1</v>
      </c>
      <c r="H15" s="2" t="s">
        <v>108</v>
      </c>
      <c r="I15">
        <v>550</v>
      </c>
      <c r="J15">
        <v>0</v>
      </c>
      <c r="K15" t="str">
        <f>IFERROR(VLOOKUP(表3_32[[#This Row],[新增属性说明]],[1]!表1[#Data],2,FALSE),"")</f>
        <v/>
      </c>
      <c r="L15" s="3"/>
    </row>
    <row r="16" spans="1:27" x14ac:dyDescent="0.15">
      <c r="A16" s="2">
        <v>1</v>
      </c>
      <c r="B16" s="3">
        <v>11</v>
      </c>
      <c r="C16" s="2" t="s">
        <v>77</v>
      </c>
      <c r="D16" s="2">
        <v>12000000</v>
      </c>
      <c r="E16" s="2">
        <v>1000</v>
      </c>
      <c r="F16" s="3">
        <v>5</v>
      </c>
      <c r="G16">
        <v>0</v>
      </c>
      <c r="H16" s="2" t="s">
        <v>109</v>
      </c>
      <c r="I16">
        <v>600</v>
      </c>
      <c r="J16">
        <v>0</v>
      </c>
      <c r="K16" t="str">
        <f>IFERROR(VLOOKUP(表3_32[[#This Row],[新增属性说明]],[1]!表1[#Data],2,FALSE),"")</f>
        <v/>
      </c>
      <c r="L16" s="3"/>
    </row>
    <row r="17" spans="1:11" x14ac:dyDescent="0.15">
      <c r="A17" s="2">
        <v>1</v>
      </c>
      <c r="B17" s="3">
        <v>12</v>
      </c>
      <c r="C17" s="2" t="s">
        <v>78</v>
      </c>
      <c r="D17" s="2">
        <v>16000000</v>
      </c>
      <c r="E17" s="2">
        <v>1080</v>
      </c>
      <c r="F17" s="3">
        <v>7</v>
      </c>
      <c r="G17">
        <v>1</v>
      </c>
      <c r="H17" s="2" t="s">
        <v>110</v>
      </c>
      <c r="I17">
        <v>700</v>
      </c>
      <c r="J17">
        <v>1</v>
      </c>
      <c r="K17" t="str">
        <f>IFERROR(VLOOKUP(表3_32[[#This Row],[新增属性说明]],[1]!表1[#Data],2,FALSE),"")</f>
        <v/>
      </c>
    </row>
    <row r="18" spans="1:11" x14ac:dyDescent="0.15">
      <c r="A18" s="2">
        <v>2</v>
      </c>
      <c r="B18" s="3">
        <v>0</v>
      </c>
      <c r="C18" s="2" t="s">
        <v>52</v>
      </c>
      <c r="D18" s="2">
        <v>0</v>
      </c>
      <c r="E18" s="2">
        <v>0</v>
      </c>
      <c r="F18" s="3">
        <v>0</v>
      </c>
      <c r="G18">
        <v>0</v>
      </c>
      <c r="H18" s="2" t="s">
        <v>101</v>
      </c>
      <c r="I18">
        <v>100</v>
      </c>
      <c r="J18">
        <v>0</v>
      </c>
      <c r="K18" t="str">
        <f>IFERROR(VLOOKUP(表3_32[[#This Row],[新增属性说明]],[1]!表1[#Data],2,FALSE),"")</f>
        <v/>
      </c>
    </row>
    <row r="19" spans="1:11" x14ac:dyDescent="0.15">
      <c r="A19" s="2">
        <v>2</v>
      </c>
      <c r="B19" s="3">
        <v>1</v>
      </c>
      <c r="C19" s="2" t="s">
        <v>52</v>
      </c>
      <c r="D19" s="2">
        <v>0</v>
      </c>
      <c r="E19" s="2">
        <v>200</v>
      </c>
      <c r="F19" s="3">
        <v>10</v>
      </c>
      <c r="G19">
        <v>0.05</v>
      </c>
      <c r="H19" s="2" t="s">
        <v>111</v>
      </c>
      <c r="I19">
        <v>100</v>
      </c>
      <c r="J19">
        <v>0</v>
      </c>
      <c r="K19" t="str">
        <f>IFERROR(VLOOKUP(表3_32[[#This Row],[新增属性说明]],[1]!表1[#Data],2,FALSE),"")</f>
        <v/>
      </c>
    </row>
    <row r="20" spans="1:11" x14ac:dyDescent="0.15">
      <c r="A20" s="2">
        <v>2</v>
      </c>
      <c r="B20">
        <v>2</v>
      </c>
      <c r="C20" s="2" t="s">
        <v>79</v>
      </c>
      <c r="D20" s="2">
        <v>100000</v>
      </c>
      <c r="E20" s="2">
        <v>280</v>
      </c>
      <c r="F20">
        <v>0</v>
      </c>
      <c r="G20">
        <v>0</v>
      </c>
      <c r="H20" s="2" t="s">
        <v>101</v>
      </c>
      <c r="I20">
        <v>150</v>
      </c>
      <c r="J20">
        <v>0</v>
      </c>
      <c r="K20" t="str">
        <f>IFERROR(VLOOKUP(表3_32[[#This Row],[新增属性说明]],[1]!表1[#Data],2,FALSE),"")</f>
        <v/>
      </c>
    </row>
    <row r="21" spans="1:11" x14ac:dyDescent="0.15">
      <c r="A21" s="2">
        <v>2</v>
      </c>
      <c r="B21" s="3">
        <v>3</v>
      </c>
      <c r="C21" s="2" t="s">
        <v>53</v>
      </c>
      <c r="D21" s="2">
        <v>200000</v>
      </c>
      <c r="E21" s="2">
        <v>360</v>
      </c>
      <c r="F21">
        <v>2</v>
      </c>
      <c r="G21">
        <v>0</v>
      </c>
      <c r="H21" s="2" t="s">
        <v>103</v>
      </c>
      <c r="I21">
        <v>200</v>
      </c>
      <c r="J21">
        <v>0</v>
      </c>
      <c r="K21" t="str">
        <f>IFERROR(VLOOKUP(表3_32[[#This Row],[新增属性说明]],[1]!表1[#Data],2,FALSE),"")</f>
        <v/>
      </c>
    </row>
    <row r="22" spans="1:11" x14ac:dyDescent="0.15">
      <c r="A22" s="2">
        <v>2</v>
      </c>
      <c r="B22">
        <v>4</v>
      </c>
      <c r="C22" s="2" t="s">
        <v>54</v>
      </c>
      <c r="D22" s="2">
        <v>400000</v>
      </c>
      <c r="E22" s="2">
        <v>440.00000000000006</v>
      </c>
      <c r="F22">
        <v>0</v>
      </c>
      <c r="G22">
        <v>0</v>
      </c>
      <c r="H22" s="2" t="s">
        <v>101</v>
      </c>
      <c r="I22">
        <v>250</v>
      </c>
      <c r="J22">
        <v>0</v>
      </c>
      <c r="K22" t="str">
        <f>IFERROR(VLOOKUP(表3_32[[#This Row],[新增属性说明]],[1]!表1[#Data],2,FALSE),"")</f>
        <v/>
      </c>
    </row>
    <row r="23" spans="1:11" x14ac:dyDescent="0.15">
      <c r="A23" s="2">
        <v>2</v>
      </c>
      <c r="B23" s="3">
        <v>5</v>
      </c>
      <c r="C23" s="2" t="s">
        <v>80</v>
      </c>
      <c r="D23" s="2">
        <v>600000</v>
      </c>
      <c r="E23" s="2">
        <v>520</v>
      </c>
      <c r="F23">
        <v>6</v>
      </c>
      <c r="G23">
        <v>300</v>
      </c>
      <c r="H23" s="2" t="s">
        <v>112</v>
      </c>
      <c r="I23">
        <v>300</v>
      </c>
      <c r="J23">
        <v>1</v>
      </c>
      <c r="K23" t="str">
        <f>IFERROR(VLOOKUP(表3_32[[#This Row],[新增属性说明]],[1]!表1[#Data],2,FALSE),"")</f>
        <v/>
      </c>
    </row>
    <row r="24" spans="1:11" x14ac:dyDescent="0.15">
      <c r="A24" s="2">
        <v>2</v>
      </c>
      <c r="B24">
        <v>6</v>
      </c>
      <c r="C24" s="2" t="s">
        <v>81</v>
      </c>
      <c r="D24" s="2">
        <v>1000000</v>
      </c>
      <c r="E24" s="2">
        <v>600</v>
      </c>
      <c r="F24" s="3">
        <v>0</v>
      </c>
      <c r="G24">
        <v>0</v>
      </c>
      <c r="H24" s="2" t="s">
        <v>101</v>
      </c>
      <c r="I24">
        <v>350</v>
      </c>
      <c r="J24">
        <v>0</v>
      </c>
      <c r="K24" t="str">
        <f>IFERROR(VLOOKUP(表3_32[[#This Row],[新增属性说明]],[1]!表1[#Data],2,FALSE),"")</f>
        <v/>
      </c>
    </row>
    <row r="25" spans="1:11" x14ac:dyDescent="0.15">
      <c r="A25" s="2">
        <v>2</v>
      </c>
      <c r="B25" s="3">
        <v>7</v>
      </c>
      <c r="C25" s="2" t="s">
        <v>62</v>
      </c>
      <c r="D25" s="2">
        <v>2000000</v>
      </c>
      <c r="E25" s="2">
        <v>680</v>
      </c>
      <c r="F25" s="3">
        <v>3</v>
      </c>
      <c r="G25">
        <v>0</v>
      </c>
      <c r="H25" s="2" t="s">
        <v>105</v>
      </c>
      <c r="I25">
        <v>400</v>
      </c>
      <c r="J25">
        <v>0</v>
      </c>
      <c r="K25" t="str">
        <f>IFERROR(VLOOKUP(表3_32[[#This Row],[新增属性说明]],[1]!表1[#Data],2,FALSE),"")</f>
        <v/>
      </c>
    </row>
    <row r="26" spans="1:11" x14ac:dyDescent="0.15">
      <c r="A26" s="2">
        <v>2</v>
      </c>
      <c r="B26">
        <v>8</v>
      </c>
      <c r="C26" s="2" t="s">
        <v>82</v>
      </c>
      <c r="D26" s="2">
        <v>4000000</v>
      </c>
      <c r="E26" s="2">
        <v>760</v>
      </c>
      <c r="F26">
        <v>1</v>
      </c>
      <c r="G26">
        <v>1</v>
      </c>
      <c r="H26" s="2" t="s">
        <v>113</v>
      </c>
      <c r="I26">
        <v>450</v>
      </c>
      <c r="J26">
        <v>1</v>
      </c>
      <c r="K26" t="str">
        <f>IFERROR(VLOOKUP(表3_32[[#This Row],[新增属性说明]],[1]!表1[#Data],2,FALSE),"")</f>
        <v/>
      </c>
    </row>
    <row r="27" spans="1:11" x14ac:dyDescent="0.15">
      <c r="A27" s="2">
        <v>2</v>
      </c>
      <c r="B27" s="3">
        <v>9</v>
      </c>
      <c r="C27" s="2" t="s">
        <v>55</v>
      </c>
      <c r="D27" s="2">
        <v>6000000</v>
      </c>
      <c r="E27" s="2">
        <v>840</v>
      </c>
      <c r="F27">
        <v>4</v>
      </c>
      <c r="G27">
        <v>0</v>
      </c>
      <c r="H27" s="2" t="s">
        <v>107</v>
      </c>
      <c r="I27">
        <v>500</v>
      </c>
      <c r="J27">
        <v>0</v>
      </c>
      <c r="K27" t="str">
        <f>IFERROR(VLOOKUP(表3_32[[#This Row],[新增属性说明]],[1]!表1[#Data],2,FALSE),"")</f>
        <v/>
      </c>
    </row>
    <row r="28" spans="1:11" x14ac:dyDescent="0.15">
      <c r="A28" s="2">
        <v>2</v>
      </c>
      <c r="B28">
        <v>10</v>
      </c>
      <c r="C28" s="2" t="s">
        <v>83</v>
      </c>
      <c r="D28" s="2">
        <v>8000000</v>
      </c>
      <c r="E28" s="2">
        <v>919.99999999999989</v>
      </c>
      <c r="F28">
        <v>11</v>
      </c>
      <c r="G28">
        <v>0.05</v>
      </c>
      <c r="H28" s="2" t="s">
        <v>114</v>
      </c>
      <c r="I28">
        <v>550</v>
      </c>
      <c r="J28">
        <v>0</v>
      </c>
      <c r="K28" t="str">
        <f>IFERROR(VLOOKUP(表3_32[[#This Row],[新增属性说明]],[1]!表1[#Data],2,FALSE),"")</f>
        <v/>
      </c>
    </row>
    <row r="29" spans="1:11" x14ac:dyDescent="0.15">
      <c r="A29" s="2">
        <v>2</v>
      </c>
      <c r="B29" s="3">
        <v>11</v>
      </c>
      <c r="C29" s="2" t="s">
        <v>84</v>
      </c>
      <c r="D29" s="2">
        <v>12000000</v>
      </c>
      <c r="E29" s="2">
        <v>1000</v>
      </c>
      <c r="F29" s="3">
        <v>5</v>
      </c>
      <c r="G29">
        <v>0</v>
      </c>
      <c r="H29" s="2" t="s">
        <v>109</v>
      </c>
      <c r="I29">
        <v>600</v>
      </c>
      <c r="J29">
        <v>0</v>
      </c>
      <c r="K29" t="str">
        <f>IFERROR(VLOOKUP(表3_32[[#This Row],[新增属性说明]],[1]!表1[#Data],2,FALSE),"")</f>
        <v/>
      </c>
    </row>
    <row r="30" spans="1:11" x14ac:dyDescent="0.15">
      <c r="A30" s="2">
        <v>2</v>
      </c>
      <c r="B30">
        <v>12</v>
      </c>
      <c r="C30" s="2" t="s">
        <v>85</v>
      </c>
      <c r="D30" s="2">
        <v>16000000</v>
      </c>
      <c r="E30" s="2">
        <v>1080</v>
      </c>
      <c r="F30" s="3">
        <v>7</v>
      </c>
      <c r="G30">
        <v>1</v>
      </c>
      <c r="H30" s="2" t="s">
        <v>115</v>
      </c>
      <c r="I30">
        <v>700</v>
      </c>
      <c r="J30">
        <v>1</v>
      </c>
      <c r="K30" t="str">
        <f>IFERROR(VLOOKUP(表3_32[[#This Row],[新增属性说明]],[1]!表1[#Data],2,FALSE),"")</f>
        <v/>
      </c>
    </row>
    <row r="31" spans="1:11" x14ac:dyDescent="0.15">
      <c r="A31" s="2">
        <v>3</v>
      </c>
      <c r="B31" s="3">
        <v>0</v>
      </c>
      <c r="C31" s="2" t="s">
        <v>52</v>
      </c>
      <c r="D31" s="2">
        <v>0</v>
      </c>
      <c r="E31" s="2">
        <v>0</v>
      </c>
      <c r="F31" s="3">
        <v>0</v>
      </c>
      <c r="G31">
        <v>0</v>
      </c>
      <c r="H31" s="2" t="s">
        <v>101</v>
      </c>
      <c r="I31">
        <v>100</v>
      </c>
      <c r="J31">
        <v>0</v>
      </c>
      <c r="K31" t="str">
        <f>IFERROR(VLOOKUP(表3_32[[#This Row],[新增属性说明]],[1]!表1[#Data],2,FALSE),"")</f>
        <v/>
      </c>
    </row>
    <row r="32" spans="1:11" x14ac:dyDescent="0.15">
      <c r="A32" s="2">
        <v>3</v>
      </c>
      <c r="B32" s="3">
        <v>1</v>
      </c>
      <c r="C32" s="2" t="s">
        <v>52</v>
      </c>
      <c r="D32" s="2">
        <v>0</v>
      </c>
      <c r="E32" s="2">
        <v>200</v>
      </c>
      <c r="F32">
        <v>11</v>
      </c>
      <c r="G32">
        <v>0.05</v>
      </c>
      <c r="H32" s="2" t="s">
        <v>114</v>
      </c>
      <c r="I32">
        <v>100</v>
      </c>
      <c r="J32">
        <v>0</v>
      </c>
      <c r="K32" t="str">
        <f>IFERROR(VLOOKUP(表3_32[[#This Row],[新增属性说明]],[1]!表1[#Data],2,FALSE),"")</f>
        <v/>
      </c>
    </row>
    <row r="33" spans="1:11" x14ac:dyDescent="0.15">
      <c r="A33" s="2">
        <v>3</v>
      </c>
      <c r="B33">
        <v>2</v>
      </c>
      <c r="C33" s="2" t="s">
        <v>86</v>
      </c>
      <c r="D33" s="2">
        <v>100000</v>
      </c>
      <c r="E33" s="2">
        <v>280</v>
      </c>
      <c r="F33">
        <v>0</v>
      </c>
      <c r="G33">
        <v>0</v>
      </c>
      <c r="H33" s="2" t="s">
        <v>101</v>
      </c>
      <c r="I33">
        <v>150</v>
      </c>
      <c r="J33">
        <v>0</v>
      </c>
      <c r="K33" t="str">
        <f>IFERROR(VLOOKUP(表3_32[[#This Row],[新增属性说明]],[1]!表1[#Data],2,FALSE),"")</f>
        <v/>
      </c>
    </row>
    <row r="34" spans="1:11" x14ac:dyDescent="0.15">
      <c r="A34" s="2">
        <v>3</v>
      </c>
      <c r="B34" s="3">
        <v>3</v>
      </c>
      <c r="C34" s="2" t="s">
        <v>56</v>
      </c>
      <c r="D34" s="2">
        <v>200000</v>
      </c>
      <c r="E34" s="2">
        <v>360</v>
      </c>
      <c r="F34">
        <v>2</v>
      </c>
      <c r="G34">
        <v>0</v>
      </c>
      <c r="H34" s="2" t="s">
        <v>103</v>
      </c>
      <c r="I34">
        <v>200</v>
      </c>
      <c r="J34">
        <v>0</v>
      </c>
      <c r="K34" t="str">
        <f>IFERROR(VLOOKUP(表3_32[[#This Row],[新增属性说明]],[1]!表1[#Data],2,FALSE),"")</f>
        <v/>
      </c>
    </row>
    <row r="35" spans="1:11" x14ac:dyDescent="0.15">
      <c r="A35" s="2">
        <v>3</v>
      </c>
      <c r="B35">
        <v>4</v>
      </c>
      <c r="C35" s="2" t="s">
        <v>57</v>
      </c>
      <c r="D35" s="2">
        <v>400000</v>
      </c>
      <c r="E35" s="2">
        <v>440.00000000000006</v>
      </c>
      <c r="F35">
        <v>0</v>
      </c>
      <c r="G35">
        <v>0</v>
      </c>
      <c r="H35" s="2" t="s">
        <v>101</v>
      </c>
      <c r="I35">
        <v>250</v>
      </c>
      <c r="J35">
        <v>0</v>
      </c>
      <c r="K35" t="str">
        <f>IFERROR(VLOOKUP(表3_32[[#This Row],[新增属性说明]],[1]!表1[#Data],2,FALSE),"")</f>
        <v/>
      </c>
    </row>
    <row r="36" spans="1:11" x14ac:dyDescent="0.15">
      <c r="A36" s="2">
        <v>3</v>
      </c>
      <c r="B36" s="3">
        <v>5</v>
      </c>
      <c r="C36" s="2" t="s">
        <v>87</v>
      </c>
      <c r="D36" s="2">
        <v>600000</v>
      </c>
      <c r="E36" s="2">
        <v>520</v>
      </c>
      <c r="F36">
        <v>6</v>
      </c>
      <c r="G36">
        <v>600</v>
      </c>
      <c r="H36" s="2" t="s">
        <v>116</v>
      </c>
      <c r="I36">
        <v>300</v>
      </c>
      <c r="J36">
        <v>1</v>
      </c>
      <c r="K36" t="str">
        <f>IFERROR(VLOOKUP(表3_32[[#This Row],[新增属性说明]],[1]!表1[#Data],2,FALSE),"")</f>
        <v/>
      </c>
    </row>
    <row r="37" spans="1:11" x14ac:dyDescent="0.15">
      <c r="A37" s="2">
        <v>3</v>
      </c>
      <c r="B37">
        <v>6</v>
      </c>
      <c r="C37" s="2" t="s">
        <v>88</v>
      </c>
      <c r="D37" s="2">
        <v>1000000</v>
      </c>
      <c r="E37" s="2">
        <v>600</v>
      </c>
      <c r="F37" s="3">
        <v>0</v>
      </c>
      <c r="G37">
        <v>0</v>
      </c>
      <c r="H37" s="2" t="s">
        <v>101</v>
      </c>
      <c r="I37">
        <v>350</v>
      </c>
      <c r="J37">
        <v>0</v>
      </c>
      <c r="K37" t="str">
        <f>IFERROR(VLOOKUP(表3_32[[#This Row],[新增属性说明]],[1]!表1[#Data],2,FALSE),"")</f>
        <v/>
      </c>
    </row>
    <row r="38" spans="1:11" x14ac:dyDescent="0.15">
      <c r="A38" s="2">
        <v>3</v>
      </c>
      <c r="B38" s="3">
        <v>7</v>
      </c>
      <c r="C38" s="2" t="s">
        <v>63</v>
      </c>
      <c r="D38" s="2">
        <v>2000000</v>
      </c>
      <c r="E38" s="2">
        <v>680</v>
      </c>
      <c r="F38" s="3">
        <v>3</v>
      </c>
      <c r="G38">
        <v>0</v>
      </c>
      <c r="H38" s="2" t="s">
        <v>105</v>
      </c>
      <c r="I38">
        <v>400</v>
      </c>
      <c r="J38">
        <v>0</v>
      </c>
      <c r="K38" t="str">
        <f>IFERROR(VLOOKUP(表3_32[[#This Row],[新增属性说明]],[1]!表1[#Data],2,FALSE),"")</f>
        <v/>
      </c>
    </row>
    <row r="39" spans="1:11" x14ac:dyDescent="0.15">
      <c r="A39" s="2">
        <v>3</v>
      </c>
      <c r="B39">
        <v>8</v>
      </c>
      <c r="C39" s="2" t="s">
        <v>89</v>
      </c>
      <c r="D39" s="2">
        <v>4000000</v>
      </c>
      <c r="E39" s="2">
        <v>760</v>
      </c>
      <c r="F39">
        <v>1</v>
      </c>
      <c r="G39">
        <v>1</v>
      </c>
      <c r="H39" s="2" t="s">
        <v>117</v>
      </c>
      <c r="I39">
        <v>450</v>
      </c>
      <c r="J39">
        <v>1</v>
      </c>
      <c r="K39" t="str">
        <f>IFERROR(VLOOKUP(表3_32[[#This Row],[新增属性说明]],[1]!表1[#Data],2,FALSE),"")</f>
        <v/>
      </c>
    </row>
    <row r="40" spans="1:11" x14ac:dyDescent="0.15">
      <c r="A40" s="2">
        <v>3</v>
      </c>
      <c r="B40" s="3">
        <v>9</v>
      </c>
      <c r="C40" s="2" t="s">
        <v>58</v>
      </c>
      <c r="D40" s="2">
        <v>6000000</v>
      </c>
      <c r="E40" s="2">
        <v>840</v>
      </c>
      <c r="F40">
        <v>4</v>
      </c>
      <c r="G40">
        <v>0</v>
      </c>
      <c r="H40" s="2" t="s">
        <v>107</v>
      </c>
      <c r="I40">
        <v>500</v>
      </c>
      <c r="J40">
        <v>0</v>
      </c>
      <c r="K40" t="str">
        <f>IFERROR(VLOOKUP(表3_32[[#This Row],[新增属性说明]],[1]!表1[#Data],2,FALSE),"")</f>
        <v/>
      </c>
    </row>
    <row r="41" spans="1:11" x14ac:dyDescent="0.15">
      <c r="A41" s="2">
        <v>3</v>
      </c>
      <c r="B41">
        <v>10</v>
      </c>
      <c r="C41" s="2" t="s">
        <v>90</v>
      </c>
      <c r="D41" s="2">
        <v>8000000</v>
      </c>
      <c r="E41" s="2">
        <v>919.99999999999989</v>
      </c>
      <c r="F41" s="3">
        <v>12</v>
      </c>
      <c r="G41">
        <v>0.1</v>
      </c>
      <c r="H41" s="2" t="s">
        <v>118</v>
      </c>
      <c r="I41">
        <v>550</v>
      </c>
      <c r="J41">
        <v>0</v>
      </c>
      <c r="K41" t="str">
        <f>IFERROR(VLOOKUP(表3_32[[#This Row],[新增属性说明]],[1]!表1[#Data],2,FALSE),"")</f>
        <v/>
      </c>
    </row>
    <row r="42" spans="1:11" x14ac:dyDescent="0.15">
      <c r="A42" s="2">
        <v>3</v>
      </c>
      <c r="B42" s="3">
        <v>11</v>
      </c>
      <c r="C42" s="2" t="s">
        <v>91</v>
      </c>
      <c r="D42" s="2">
        <v>12000000</v>
      </c>
      <c r="E42" s="2">
        <v>1000</v>
      </c>
      <c r="F42" s="3">
        <v>5</v>
      </c>
      <c r="G42">
        <v>0</v>
      </c>
      <c r="H42" s="2" t="s">
        <v>109</v>
      </c>
      <c r="I42">
        <v>600</v>
      </c>
      <c r="J42">
        <v>0</v>
      </c>
      <c r="K42" t="str">
        <f>IFERROR(VLOOKUP(表3_32[[#This Row],[新增属性说明]],[1]!表1[#Data],2,FALSE),"")</f>
        <v/>
      </c>
    </row>
    <row r="43" spans="1:11" x14ac:dyDescent="0.15">
      <c r="A43" s="2">
        <v>3</v>
      </c>
      <c r="B43">
        <v>12</v>
      </c>
      <c r="C43" s="2" t="s">
        <v>92</v>
      </c>
      <c r="D43" s="2">
        <v>16000000</v>
      </c>
      <c r="E43" s="2">
        <v>1080</v>
      </c>
      <c r="F43" s="3">
        <v>7</v>
      </c>
      <c r="G43">
        <v>1</v>
      </c>
      <c r="H43" s="2" t="s">
        <v>119</v>
      </c>
      <c r="I43">
        <v>700</v>
      </c>
      <c r="J43">
        <v>1</v>
      </c>
      <c r="K43" t="str">
        <f>IFERROR(VLOOKUP(表3_32[[#This Row],[新增属性说明]],[1]!表1[#Data],2,FALSE),"")</f>
        <v/>
      </c>
    </row>
    <row r="44" spans="1:11" x14ac:dyDescent="0.15">
      <c r="A44" s="2">
        <v>4</v>
      </c>
      <c r="B44" s="3">
        <v>0</v>
      </c>
      <c r="C44" s="2" t="s">
        <v>52</v>
      </c>
      <c r="D44" s="2">
        <v>0</v>
      </c>
      <c r="E44" s="2">
        <v>0</v>
      </c>
      <c r="F44" s="3">
        <v>0</v>
      </c>
      <c r="G44">
        <v>0</v>
      </c>
      <c r="H44" s="2" t="s">
        <v>101</v>
      </c>
      <c r="I44">
        <v>200</v>
      </c>
      <c r="J44">
        <v>0</v>
      </c>
      <c r="K44" t="str">
        <f>IFERROR(VLOOKUP(表3_32[[#This Row],[新增属性说明]],[1]!表1[#Data],2,FALSE),"")</f>
        <v/>
      </c>
    </row>
    <row r="45" spans="1:11" x14ac:dyDescent="0.15">
      <c r="A45" s="2">
        <v>4</v>
      </c>
      <c r="B45" s="3">
        <v>1</v>
      </c>
      <c r="C45" s="2" t="s">
        <v>52</v>
      </c>
      <c r="D45" s="2">
        <v>0</v>
      </c>
      <c r="E45" s="2">
        <v>1000</v>
      </c>
      <c r="F45">
        <v>6</v>
      </c>
      <c r="G45">
        <v>900</v>
      </c>
      <c r="H45" s="2" t="s">
        <v>120</v>
      </c>
      <c r="I45">
        <v>200</v>
      </c>
      <c r="J45">
        <v>1</v>
      </c>
      <c r="K45" t="str">
        <f>IFERROR(VLOOKUP(表3_32[[#This Row],[新增属性说明]],[1]!表1[#Data],2,FALSE),"")</f>
        <v/>
      </c>
    </row>
    <row r="46" spans="1:11" x14ac:dyDescent="0.15">
      <c r="A46" s="2">
        <v>4</v>
      </c>
      <c r="B46">
        <v>2</v>
      </c>
      <c r="C46" s="2" t="s">
        <v>93</v>
      </c>
      <c r="D46" s="2">
        <v>100000</v>
      </c>
      <c r="E46" s="2">
        <v>1400</v>
      </c>
      <c r="F46">
        <v>0</v>
      </c>
      <c r="G46">
        <v>0</v>
      </c>
      <c r="H46" s="2" t="s">
        <v>101</v>
      </c>
      <c r="I46">
        <v>275</v>
      </c>
      <c r="J46">
        <v>0</v>
      </c>
      <c r="K46" t="str">
        <f>IFERROR(VLOOKUP(表3_32[[#This Row],[新增属性说明]],[1]!表1[#Data],2,FALSE),"")</f>
        <v/>
      </c>
    </row>
    <row r="47" spans="1:11" x14ac:dyDescent="0.15">
      <c r="A47" s="2">
        <v>4</v>
      </c>
      <c r="B47" s="3">
        <v>3</v>
      </c>
      <c r="C47" s="2" t="s">
        <v>64</v>
      </c>
      <c r="D47" s="2">
        <v>200000</v>
      </c>
      <c r="E47" s="2">
        <v>1800</v>
      </c>
      <c r="F47">
        <v>2</v>
      </c>
      <c r="G47">
        <v>0</v>
      </c>
      <c r="H47" s="2" t="s">
        <v>103</v>
      </c>
      <c r="I47">
        <v>350</v>
      </c>
      <c r="J47">
        <v>0</v>
      </c>
      <c r="K47" t="str">
        <f>IFERROR(VLOOKUP(表3_32[[#This Row],[新增属性说明]],[1]!表1[#Data],2,FALSE),"")</f>
        <v/>
      </c>
    </row>
    <row r="48" spans="1:11" x14ac:dyDescent="0.15">
      <c r="A48" s="2">
        <v>4</v>
      </c>
      <c r="B48">
        <v>4</v>
      </c>
      <c r="C48" s="2" t="s">
        <v>65</v>
      </c>
      <c r="D48" s="2">
        <v>400000</v>
      </c>
      <c r="E48" s="2">
        <v>2200</v>
      </c>
      <c r="F48">
        <v>0</v>
      </c>
      <c r="G48">
        <v>0</v>
      </c>
      <c r="H48" s="2" t="s">
        <v>101</v>
      </c>
      <c r="I48">
        <v>425</v>
      </c>
      <c r="J48">
        <v>0</v>
      </c>
      <c r="K48" t="str">
        <f>IFERROR(VLOOKUP(表3_32[[#This Row],[新增属性说明]],[1]!表1[#Data],2,FALSE),"")</f>
        <v/>
      </c>
    </row>
    <row r="49" spans="1:11" x14ac:dyDescent="0.15">
      <c r="A49" s="2">
        <v>4</v>
      </c>
      <c r="B49" s="3">
        <v>5</v>
      </c>
      <c r="C49" s="2" t="s">
        <v>94</v>
      </c>
      <c r="D49" s="2">
        <v>600000</v>
      </c>
      <c r="E49" s="2">
        <v>2600</v>
      </c>
      <c r="F49">
        <v>1</v>
      </c>
      <c r="G49">
        <v>2</v>
      </c>
      <c r="H49" s="2" t="s">
        <v>121</v>
      </c>
      <c r="I49">
        <v>500</v>
      </c>
      <c r="J49">
        <v>1</v>
      </c>
      <c r="K49" t="str">
        <f>IFERROR(VLOOKUP(表3_32[[#This Row],[新增属性说明]],[1]!表1[#Data],2,FALSE),"")</f>
        <v/>
      </c>
    </row>
    <row r="50" spans="1:11" x14ac:dyDescent="0.15">
      <c r="A50" s="2">
        <v>4</v>
      </c>
      <c r="B50">
        <v>6</v>
      </c>
      <c r="C50" s="2" t="s">
        <v>95</v>
      </c>
      <c r="D50" s="2">
        <v>1000000</v>
      </c>
      <c r="E50" s="2">
        <v>3000</v>
      </c>
      <c r="F50" s="3">
        <v>0</v>
      </c>
      <c r="G50">
        <v>0</v>
      </c>
      <c r="H50" s="2" t="s">
        <v>101</v>
      </c>
      <c r="I50">
        <v>575</v>
      </c>
      <c r="J50">
        <v>0</v>
      </c>
      <c r="K50" t="str">
        <f>IFERROR(VLOOKUP(表3_32[[#This Row],[新增属性说明]],[1]!表1[#Data],2,FALSE),"")</f>
        <v/>
      </c>
    </row>
    <row r="51" spans="1:11" x14ac:dyDescent="0.15">
      <c r="A51" s="2">
        <v>4</v>
      </c>
      <c r="B51" s="3">
        <v>7</v>
      </c>
      <c r="C51" s="2" t="s">
        <v>66</v>
      </c>
      <c r="D51" s="2">
        <v>2000000</v>
      </c>
      <c r="E51" s="2">
        <v>3400</v>
      </c>
      <c r="F51" s="3">
        <v>3</v>
      </c>
      <c r="G51">
        <v>0</v>
      </c>
      <c r="H51" s="2" t="s">
        <v>105</v>
      </c>
      <c r="I51">
        <v>650</v>
      </c>
      <c r="J51">
        <v>0</v>
      </c>
      <c r="K51" t="str">
        <f>IFERROR(VLOOKUP(表3_32[[#This Row],[新增属性说明]],[1]!表1[#Data],2,FALSE),"")</f>
        <v/>
      </c>
    </row>
    <row r="52" spans="1:11" x14ac:dyDescent="0.15">
      <c r="A52" s="2">
        <v>4</v>
      </c>
      <c r="B52">
        <v>8</v>
      </c>
      <c r="C52" s="2" t="s">
        <v>96</v>
      </c>
      <c r="D52" s="2">
        <v>4000000</v>
      </c>
      <c r="E52" s="2">
        <v>3800</v>
      </c>
      <c r="F52">
        <v>11</v>
      </c>
      <c r="G52">
        <v>0.05</v>
      </c>
      <c r="H52" s="2" t="s">
        <v>114</v>
      </c>
      <c r="I52">
        <v>725</v>
      </c>
      <c r="J52">
        <v>0</v>
      </c>
      <c r="K52" t="str">
        <f>IFERROR(VLOOKUP(表3_32[[#This Row],[新增属性说明]],[1]!表1[#Data],2,FALSE),"")</f>
        <v/>
      </c>
    </row>
    <row r="53" spans="1:11" x14ac:dyDescent="0.15">
      <c r="A53" s="2">
        <v>4</v>
      </c>
      <c r="B53" s="3">
        <v>9</v>
      </c>
      <c r="C53" s="2" t="s">
        <v>67</v>
      </c>
      <c r="D53" s="2">
        <v>6000000</v>
      </c>
      <c r="E53" s="2">
        <v>4200</v>
      </c>
      <c r="F53">
        <v>4</v>
      </c>
      <c r="G53">
        <v>0</v>
      </c>
      <c r="H53" s="2" t="s">
        <v>107</v>
      </c>
      <c r="I53">
        <v>800</v>
      </c>
      <c r="J53">
        <v>0</v>
      </c>
      <c r="K53" t="str">
        <f>IFERROR(VLOOKUP(表3_32[[#This Row],[新增属性说明]],[1]!表1[#Data],2,FALSE),"")</f>
        <v/>
      </c>
    </row>
    <row r="54" spans="1:11" x14ac:dyDescent="0.15">
      <c r="A54" s="2">
        <v>4</v>
      </c>
      <c r="B54">
        <v>10</v>
      </c>
      <c r="C54" s="2" t="s">
        <v>97</v>
      </c>
      <c r="D54" s="2">
        <v>8000000</v>
      </c>
      <c r="E54" s="2">
        <v>4600</v>
      </c>
      <c r="F54" s="3">
        <v>9</v>
      </c>
      <c r="G54">
        <v>0.1</v>
      </c>
      <c r="H54" s="2" t="s">
        <v>108</v>
      </c>
      <c r="I54">
        <v>875</v>
      </c>
      <c r="J54">
        <v>0</v>
      </c>
      <c r="K54" t="str">
        <f>IFERROR(VLOOKUP(表3_32[[#This Row],[新增属性说明]],[1]!表1[#Data],2,FALSE),"")</f>
        <v/>
      </c>
    </row>
    <row r="55" spans="1:11" x14ac:dyDescent="0.15">
      <c r="A55" s="2">
        <v>4</v>
      </c>
      <c r="B55" s="3">
        <v>11</v>
      </c>
      <c r="C55" s="2" t="s">
        <v>98</v>
      </c>
      <c r="D55" s="2">
        <v>12000000</v>
      </c>
      <c r="E55" s="2">
        <v>5000</v>
      </c>
      <c r="F55" s="3">
        <v>5</v>
      </c>
      <c r="G55">
        <v>0</v>
      </c>
      <c r="H55" s="2" t="s">
        <v>109</v>
      </c>
      <c r="I55">
        <v>950</v>
      </c>
      <c r="J55">
        <v>0</v>
      </c>
      <c r="K55" t="str">
        <f>IFERROR(VLOOKUP(表3_32[[#This Row],[新增属性说明]],[1]!表1[#Data],2,FALSE),"")</f>
        <v/>
      </c>
    </row>
    <row r="56" spans="1:11" x14ac:dyDescent="0.15">
      <c r="A56" s="2">
        <v>4</v>
      </c>
      <c r="B56">
        <v>12</v>
      </c>
      <c r="C56" s="2" t="s">
        <v>99</v>
      </c>
      <c r="D56" s="2">
        <v>16000000</v>
      </c>
      <c r="E56" s="2">
        <v>5400</v>
      </c>
      <c r="F56" s="3">
        <v>7</v>
      </c>
      <c r="G56">
        <v>1</v>
      </c>
      <c r="H56" s="2" t="s">
        <v>122</v>
      </c>
      <c r="I56">
        <v>1100</v>
      </c>
      <c r="J56">
        <v>1</v>
      </c>
      <c r="K56" t="str">
        <f>IFERROR(VLOOKUP(表3_32[[#This Row],[新增属性说明]],[1]!表1[#Data],2,FALSE),"")</f>
        <v/>
      </c>
    </row>
    <row r="57" spans="1:11" x14ac:dyDescent="0.15">
      <c r="A57" s="2">
        <v>5</v>
      </c>
      <c r="B57" s="3">
        <v>0</v>
      </c>
      <c r="C57" s="2" t="s">
        <v>52</v>
      </c>
      <c r="D57" s="2">
        <v>0</v>
      </c>
      <c r="E57" s="2">
        <v>0</v>
      </c>
      <c r="F57" s="3">
        <v>0</v>
      </c>
      <c r="G57">
        <v>0</v>
      </c>
      <c r="H57" s="2" t="s">
        <v>101</v>
      </c>
      <c r="I57">
        <v>100</v>
      </c>
      <c r="J57">
        <v>0</v>
      </c>
      <c r="K57" t="str">
        <f>IFERROR(VLOOKUP(表3_32[[#This Row],[新增属性说明]],[1]!表1[#Data],2,FALSE),"")</f>
        <v/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C0D21A30-DCEB-4990-BE24-B9BDEEAF201B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