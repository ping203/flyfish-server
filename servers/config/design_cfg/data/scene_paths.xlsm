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ED35C2A-8963-45A4-8755-70ECF56CD278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calcChain.xml><?xml version="1.0" encoding="utf-8"?>
<calcChain xmlns="http://schemas.openxmlformats.org/spreadsheetml/2006/main">
  <c r="A39" i="3" l="1"/>
  <c r="A38" i="3"/>
  <c r="A37" i="3"/>
  <c r="A36" i="3"/>
  <c r="A35" i="3"/>
  <c r="A34" i="3"/>
  <c r="A33" i="3"/>
  <c r="A32" i="3" l="1"/>
  <c r="A31" i="3" l="1"/>
  <c r="A30" i="3"/>
  <c r="A29" i="3"/>
  <c r="A28" i="3"/>
  <c r="A27" i="3"/>
  <c r="A26" i="3"/>
  <c r="A25" i="3"/>
  <c r="A24" i="3"/>
  <c r="A40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</calcChain>
</file>

<file path=xl/sharedStrings.xml><?xml version="1.0" encoding="utf-8"?>
<sst xmlns="http://schemas.openxmlformats.org/spreadsheetml/2006/main" count="94" uniqueCount="92">
  <si>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</si>
  <si>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</si>
  <si>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</si>
  <si>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</si>
  <si>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</si>
  <si>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</si>
  <si>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</si>
  <si>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</si>
  <si>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</si>
  <si>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分表名含义</t>
  </si>
  <si>
    <t>scene_cfg——场景相关参数配置。</t>
  </si>
  <si>
    <t>bulaoji_yc.json</t>
  </si>
  <si>
    <t>car_yc.json</t>
  </si>
  <si>
    <t>footmark_yc.json</t>
  </si>
  <si>
    <t>elephant_yc.json</t>
  </si>
  <si>
    <t>hudie_yc.json</t>
  </si>
  <si>
    <t>fish_yc.json</t>
  </si>
  <si>
    <t>unexport</t>
  </si>
  <si>
    <t>id</t>
  </si>
  <si>
    <t>name_list</t>
  </si>
  <si>
    <t>路径文件名</t>
  </si>
  <si>
    <t>备注</t>
  </si>
  <si>
    <t>["w1_b_sy6_zs1","w1_b_sz5_ys1","w1_b_xy4_ys3","w1_b_y3_x4","w1_b_ys3_xy4","w1_b_yx2_sy4","w1_b_z3_x6","w1_b_zx4_xy7","w1_y_s4_y1","w1_y_s6_z1","w1_y_sy2_xy2","w1_y_sy4_yx2","w1_y_sz3_xz3","w1_y_sz7_zx3","w1_y_x4_y3","w1_y_x6_z3","w1_y_xy2_sy2","w1_y_xy7_zx4","w1_y_xz3_sz3","w1_y_xz6_yx4","w1_y_xz7_zs4","w1_y_y1_s4","w1_y_ys1_sz5","w1_y_yx4_xz6","w1_y_z1_s6","w1_y_zs1_sy6","w1_y_zs4_xz7","w1_y_zx3_sz7"]</t>
  </si>
  <si>
    <t>0体型，弯道多</t>
  </si>
  <si>
    <t>["w2_b_sz4_y2","w2_b_xy1_s2","w2_b_yx1_s5","w2_b_zs2_x7","w2_y_s2_xy1","w2_y_s3_xz1","w2_y_s5_yx1","w2_y_s7_zx1","w2_y_sy1_x2","w2_y_sy5_z2","w2_y_sz1_x3","w2_y_x2_sy1","w2_y_x3_sz1","w2_y_x5_ys2","w2_y_x7_zs2","w2_y_xy5_z4","w2_y_xz1_s3","w2_y_xz4_y4","w2_y_y2_sz4","w2_y_y4_xz4","w2_y_ys2_x5","w2_y_ys6_zs6","w2_y_yx7_zx7","w2_y_z2_sy5","w2_y_z4_xy5","w2_y_zs6_ys6","w2_y_zx1_s7","w2_y_zx7_yx7"]</t>
  </si>
  <si>
    <t>1体型，弯道多</t>
  </si>
  <si>
    <t>["w3_b_xz2_sy3","w3_b_yx5_z7","w3_y_s1_x1","w3_y_sy3_xz2","w3_y_sy7_zx2","w3_y_sz2_xy3","w3_y_sz6_yx3","w3_y_x1_s1","w3_y_xy3_sz2","w3_y_xy6_zs3","w3_y_xz5_ys4","w3_y_y6_zs5","w3_y_y7_zx5","w3_y_ys4_xz5","w3_y_ys5_z6","w3_y_yx3_sz6","w3_y_z6_ys5","w3_y_z7_yx5","w3_y_zs3_xy6","w3_y_zs5_y6","w3_y_zx2_sy7","w3_y_zx5_y7","w4_y_y5_z5","w4_y_ys7_zx6","w4_y_yx6_zs7","w4_y_z5_y5","w4_y_zs7_yx6","w4_y_zx6_ys7"]</t>
  </si>
  <si>
    <t>2体型，弯道略多</t>
  </si>
  <si>
    <t>["w4_y_y5_z5","w4_y_ys7_zx6","w4_y_yx6_zs7","w4_y_z5_y5","w4_y_zs7_yx6","w4_y_zx6_ys7","zhixian_y_z","zhixian_z_y","w2_y_zx7_yx7"]</t>
  </si>
  <si>
    <t>3体型，弯道少</t>
  </si>
  <si>
    <t>["w3_b_xz2_sy3","w3_b_yx5_z7","w3_y_s1_x1","w3_y_sy3_xz2","w3_y_sy7_zx2","w3_y_sz2_xy3","w3_y_sz6_yx3","w3_y_x1_s1","w3_y_xy3_sz2","w3_y_xy6_zs3","w3_y_xz5_ys4","w3_y_y6_zs5","w3_y_y7_zx5","w3_y_ys4_xz5","w3_y_ys5_z6","w3_y_yx3_sz6","w3_y_z6_ys5","w3_y_z7_yx5","w3_y_zs3_xy6","w3_y_zs5_y6","w3_y_zx2_sy7","w3_y_zx5_y7","w4_y_y5_z5","w4_y_ys7_zx6","w4_y_yx6_zs7","w4_y_z5_y5","w4_y_zs7_yx6","w4_y_zx6_ys7","w2_y_zs6_ys6","w2_y_z4_xy5","w2_y_yx7_zx7","w2_y_ys6_zs6"]</t>
  </si>
  <si>
    <t>小体型但不回头</t>
  </si>
  <si>
    <t>["w3_y_z6_ys5","w3_y_z7_yx5","w3_y_zs3_xy6","w3_y_zs5_y6","w3_y_zx2_sy7","w3_y_zx5_y7","w4_y_z5_y5","w4_y_zs7_yx6","w4_y_zx6_ys7","w2_y_zs6_ys6","w2_y_z4_xy5"]</t>
  </si>
  <si>
    <t>小体型但不回头，左进</t>
  </si>
  <si>
    <t>["w3_y_y6_zs5","w3_y_y7_zx5","w3_y_ys4_xz5","w3_y_ys5_z6","w3_y_yx3_sz6","w4_y_y5_z5","w4_y_ys7_zx6","w4_y_yx6_zs7","w2_y_yx7_zx7","w2_y_ys6_zs6"]</t>
  </si>
  <si>
    <t>小体型但不回头，右进</t>
  </si>
  <si>
    <t>["w4_y_z5_y5","w4_y_zs7_yx6","w4_y_zx6_ys7","w2_y_zx7_yx7"]</t>
  </si>
  <si>
    <t>3体型，左进</t>
  </si>
  <si>
    <t>["w4_y_y5_z5","w4_y_ys7_zx6","w4_y_yx6_zs7"]</t>
  </si>
  <si>
    <t>3体型，右进</t>
  </si>
  <si>
    <t>["zhaohuan001","zhaohuan002","zhaohuan003","zhaohuan004","zhaohuan005","zhaohuan006","zhaohuan007","zhaohuan008","zhaohuan009"]</t>
  </si>
  <si>
    <t>召唤用</t>
  </si>
  <si>
    <t>["zhixian_z_y"]</t>
  </si>
  <si>
    <t>鱼潮用</t>
  </si>
  <si>
    <t>["zhixian_y_z"]</t>
  </si>
  <si>
    <t>["test1"]</t>
  </si>
  <si>
    <t>["test2"]</t>
  </si>
  <si>
    <t>["test3"]</t>
  </si>
  <si>
    <t>["test4"]</t>
  </si>
  <si>
    <t>["test5"]</t>
  </si>
  <si>
    <t>["guide"]</t>
  </si>
  <si>
    <t>新手引导用</t>
  </si>
  <si>
    <t>调试场景0-5分</t>
    <phoneticPr fontId="8" type="noConversion"/>
  </si>
  <si>
    <t>调试场景5-10分</t>
    <phoneticPr fontId="8" type="noConversion"/>
  </si>
  <si>
    <t>调试场景20-40分</t>
    <phoneticPr fontId="8" type="noConversion"/>
  </si>
  <si>
    <t>调试场景40-100分</t>
    <phoneticPr fontId="8" type="noConversion"/>
  </si>
  <si>
    <t>调试场景100+分</t>
    <phoneticPr fontId="8" type="noConversion"/>
  </si>
  <si>
    <t>["pet1","pet2","pet3","pet4","pet5","pet6","pet7","pet8"]</t>
    <phoneticPr fontId="8" type="noConversion"/>
  </si>
  <si>
    <t>水族馆</t>
    <phoneticPr fontId="8" type="noConversion"/>
  </si>
  <si>
    <t>保卫女神环形1</t>
    <phoneticPr fontId="8" type="noConversion"/>
  </si>
  <si>
    <t>保卫女神环形2</t>
    <phoneticPr fontId="8" type="noConversion"/>
  </si>
  <si>
    <t>保卫女神交叉1</t>
    <phoneticPr fontId="8" type="noConversion"/>
  </si>
  <si>
    <t>保卫女神交叉2</t>
    <phoneticPr fontId="8" type="noConversion"/>
  </si>
  <si>
    <t>["goddess"]</t>
    <phoneticPr fontId="8" type="noConversion"/>
  </si>
  <si>
    <t>["goddess1"]</t>
    <phoneticPr fontId="8" type="noConversion"/>
  </si>
  <si>
    <t>["goddess2"]</t>
    <phoneticPr fontId="8" type="noConversion"/>
  </si>
  <si>
    <t>["goddess3"]</t>
    <phoneticPr fontId="8" type="noConversion"/>
  </si>
  <si>
    <t>["goddess4"]</t>
    <phoneticPr fontId="8" type="noConversion"/>
  </si>
  <si>
    <t>保卫女神直线1</t>
    <phoneticPr fontId="8" type="noConversion"/>
  </si>
  <si>
    <t>保卫女神直线2</t>
    <phoneticPr fontId="8" type="noConversion"/>
  </si>
  <si>
    <t>保卫女神直线3中线</t>
    <phoneticPr fontId="8" type="noConversion"/>
  </si>
  <si>
    <t>["goddess5"]</t>
    <phoneticPr fontId="8" type="noConversion"/>
  </si>
  <si>
    <t>["goddess6"]</t>
    <phoneticPr fontId="8" type="noConversion"/>
  </si>
  <si>
    <t>["goddess10"]</t>
    <phoneticPr fontId="8" type="noConversion"/>
  </si>
  <si>
    <t>保卫女神宝藏鱼路径</t>
    <phoneticPr fontId="8" type="noConversion"/>
  </si>
  <si>
    <t>["goddess_1"]</t>
    <phoneticPr fontId="8" type="noConversion"/>
  </si>
  <si>
    <t>保卫女神美人鱼专用</t>
    <phoneticPr fontId="8" type="noConversion"/>
  </si>
  <si>
    <t>["goddess_2"]</t>
    <phoneticPr fontId="8" type="noConversion"/>
  </si>
  <si>
    <t>保卫女神鱼阵路径1</t>
    <phoneticPr fontId="8" type="noConversion"/>
  </si>
  <si>
    <t>["g_yuanhu2"]</t>
    <phoneticPr fontId="8" type="noConversion"/>
  </si>
  <si>
    <t>["g_banyuan1"]</t>
    <phoneticPr fontId="8" type="noConversion"/>
  </si>
  <si>
    <t>["g_banyuan2"]</t>
  </si>
  <si>
    <t>["g_xiexian1"]</t>
    <phoneticPr fontId="8" type="noConversion"/>
  </si>
  <si>
    <t>["g_xiexian2"]</t>
  </si>
  <si>
    <t>["g_yuanhu1","g_yuanhu2"]</t>
    <phoneticPr fontId="8" type="noConversion"/>
  </si>
  <si>
    <t>保卫女神圆弧路径</t>
    <phoneticPr fontId="8" type="noConversion"/>
  </si>
  <si>
    <t>保卫女神鱼阵随机路径1</t>
    <phoneticPr fontId="8" type="noConversion"/>
  </si>
  <si>
    <t>["goddess_2","g_yuanhu1","g_yuanhu2"]</t>
    <phoneticPr fontId="8" type="noConversion"/>
  </si>
  <si>
    <t>路径编号</t>
    <phoneticPr fontId="8" type="noConversion"/>
  </si>
  <si>
    <t>ALL</t>
    <phoneticPr fontId="8" type="noConversion"/>
  </si>
  <si>
    <t>key</t>
    <phoneticPr fontId="8" type="noConversion"/>
  </si>
  <si>
    <t>table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</si>
</sst>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/>
    <xf numFmtId="0" fontId="7" fillId="0" borderId="0">
      <alignment vertical="center"/>
    </xf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6">
    <xf numFmtId="0" fontId="0" fillId="0" borderId="0" xfId="0"/>
    <xf numFmtId="49" fontId="1" fillId="2" borderId="1" xfId="14" applyNumberFormat="1" applyFont="1" applyFill="1" applyBorder="1" applyAlignment="1">
      <alignment horizontal="center"/>
    </xf>
    <xf numFmtId="0" fontId="2" fillId="0" borderId="0" xfId="0" applyFont="1"/>
    <xf numFmtId="0" fontId="3" fillId="0" borderId="0" xfId="14" applyAlignment="1"/>
    <xf numFmtId="0" fontId="4" fillId="0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Border="1"/>
    <xf numFmtId="0" fontId="0" fillId="4" borderId="3" xfId="0" applyFill="1" applyBorder="1"/>
    <xf numFmtId="0" fontId="2" fillId="4" borderId="3" xfId="0" applyFont="1" applyFill="1" applyBorder="1"/>
    <xf numFmtId="0" fontId="2" fillId="4" borderId="0" xfId="0" applyFont="1" applyFill="1" applyBorder="1"/>
    <xf numFmtId="49" fontId="1" fillId="3" borderId="2" xfId="14" applyNumberFormat="1" applyFont="1" applyFill="1" applyBorder="1" applyAlignment="1">
      <alignment horizontal="center" vertical="center"/>
    </xf>
    <xf numFmtId="0" fontId="1" fillId="5" borderId="1" xfId="14" applyFont="1" applyFill="1" applyBorder="1" applyAlignment="1" applyProtection="1">
      <alignment horizontal="center"/>
    </xf>
    <xf numFmtId="0" fontId="1" fillId="6" borderId="4" xfId="14" applyNumberFormat="1" applyFont="1" applyFill="1" applyBorder="1" applyAlignment="1">
      <alignment horizontal="center" vertical="center"/>
    </xf>
    <xf numFmtId="0" fontId="3" fillId="0" borderId="0" xfId="14" applyNumberFormat="1" applyAlignment="1"/>
    <xf numFmtId="0" fontId="3" fillId="0" borderId="0" xfId="14" applyNumberFormat="1" applyAlignment="1">
      <alignment vertical="top" wrapText="1"/>
    </xf>
    <xf numFmtId="0" fontId="3" fillId="0" borderId="0" xfId="14" applyNumberFormat="1" applyAlignment="1">
      <alignment vertical="top"/>
    </xf>
    <xf numFmtId="0" fontId="5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0" xfId="0" applyFont="1" applyFill="1" applyAlignment="1">
      <alignment horizontal="center" vertical="center"/>
    </xf>
    <xf numFmtId="49" fontId="9" fillId="8" borderId="1" xfId="14" applyNumberFormat="1" applyFont="1" applyFill="1" applyBorder="1" applyAlignment="1">
      <alignment horizontal="right"/>
    </xf>
    <xf numFmtId="49" fontId="9" fillId="8" borderId="1" xfId="14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5" fillId="9" borderId="1" xfId="0" applyFont="1" applyFill="1" applyBorder="1" applyAlignment="1">
      <alignment vertical="center"/>
    </xf>
  </cellXfs>
  <cellStyles count="30">
    <cellStyle name="常规" xfId="0" builtinId="0"/>
    <cellStyle name="常规 10" xfId="12" xr:uid="{00000000-0005-0000-0000-000001000000}"/>
    <cellStyle name="常规 2" xfId="14" xr:uid="{00000000-0005-0000-0000-000002000000}"/>
    <cellStyle name="常规 2 2" xfId="10" xr:uid="{00000000-0005-0000-0000-000003000000}"/>
    <cellStyle name="常规 2 2 2" xfId="7" xr:uid="{00000000-0005-0000-0000-000004000000}"/>
    <cellStyle name="常规 2 2 2 2" xfId="2" xr:uid="{00000000-0005-0000-0000-000005000000}"/>
    <cellStyle name="常规 2 2 3" xfId="8" xr:uid="{00000000-0005-0000-0000-000006000000}"/>
    <cellStyle name="常规 2 2 4" xfId="1" xr:uid="{00000000-0005-0000-0000-000007000000}"/>
    <cellStyle name="常规 2 3" xfId="11" xr:uid="{00000000-0005-0000-0000-000008000000}"/>
    <cellStyle name="常规 2 3 2" xfId="13" xr:uid="{00000000-0005-0000-0000-000009000000}"/>
    <cellStyle name="常规 2 4" xfId="15" xr:uid="{00000000-0005-0000-0000-00000A000000}"/>
    <cellStyle name="常规 2 4 2" xfId="17" xr:uid="{00000000-0005-0000-0000-00000B000000}"/>
    <cellStyle name="常规 2 5" xfId="6" xr:uid="{00000000-0005-0000-0000-00000C000000}"/>
    <cellStyle name="常规 2 6" xfId="16" xr:uid="{00000000-0005-0000-0000-00000D000000}"/>
    <cellStyle name="常规 3" xfId="18" xr:uid="{00000000-0005-0000-0000-00000E000000}"/>
    <cellStyle name="常规 3 2" xfId="9" xr:uid="{00000000-0005-0000-0000-00000F000000}"/>
    <cellStyle name="常规 3 2 2" xfId="5" xr:uid="{00000000-0005-0000-0000-000010000000}"/>
    <cellStyle name="常规 3 3" xfId="19" xr:uid="{00000000-0005-0000-0000-000011000000}"/>
    <cellStyle name="常规 3 3 2" xfId="20" xr:uid="{00000000-0005-0000-0000-000012000000}"/>
    <cellStyle name="常规 3 4" xfId="21" xr:uid="{00000000-0005-0000-0000-000013000000}"/>
    <cellStyle name="常规 4" xfId="22" xr:uid="{00000000-0005-0000-0000-000014000000}"/>
    <cellStyle name="常规 4 2" xfId="23" xr:uid="{00000000-0005-0000-0000-000015000000}"/>
    <cellStyle name="常规 5" xfId="24" xr:uid="{00000000-0005-0000-0000-000016000000}"/>
    <cellStyle name="常规 5 2" xfId="4" xr:uid="{00000000-0005-0000-0000-000017000000}"/>
    <cellStyle name="常规 6" xfId="3" xr:uid="{00000000-0005-0000-0000-000018000000}"/>
    <cellStyle name="常规 6 2" xfId="25" xr:uid="{00000000-0005-0000-0000-000019000000}"/>
    <cellStyle name="常规 7" xfId="26" xr:uid="{00000000-0005-0000-0000-00001A000000}"/>
    <cellStyle name="常规 7 2" xfId="27" xr:uid="{00000000-0005-0000-0000-00001B000000}"/>
    <cellStyle name="常规 8" xfId="28" xr:uid="{00000000-0005-0000-0000-00001C000000}"/>
    <cellStyle name="常规 9" xfId="29" xr:uid="{00000000-0005-0000-0000-00001D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188D70A-A351-416D-8632-17BC35608F02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C40" totalsRowShown="0">
  <autoFilter ref="A4:C40" xr:uid="{00000000-0009-0000-0100-000003000000}"/>
  <tableColumns count="3">
    <tableColumn id="1" xr3:uid="{00000000-0010-0000-0100-000001000000}" name="路径编号">
      <calculatedColumnFormula>""&amp;100</calculatedColumnFormula>
    </tableColumn>
    <tableColumn id="2" xr3:uid="{00000000-0010-0000-0100-000002000000}" name="路径文件名"/>
    <tableColumn id="3" xr3:uid="{00000000-0010-0000-01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workbookViewId="0">
      <selection activeCell="B47" sqref="B47:B52"/>
    </sheetView>
  </sheetViews>
  <sheetFormatPr defaultColWidth="9" defaultRowHeight="13.5" x14ac:dyDescent="0.15"/>
  <cols>
    <col min="1" max="1" width="39.5" style="3" customWidth="1"/>
    <col min="2" max="2" width="115.2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11" t="s">
        <v>2</v>
      </c>
      <c r="B2" s="3" t="s">
        <v>3</v>
      </c>
    </row>
    <row r="3" spans="1:2" ht="16.5" x14ac:dyDescent="0.3">
      <c r="A3" s="12" t="s">
        <v>4</v>
      </c>
      <c r="B3" s="3" t="s">
        <v>5</v>
      </c>
    </row>
    <row r="4" spans="1:2" ht="16.5" x14ac:dyDescent="0.15">
      <c r="A4" s="13" t="s">
        <v>6</v>
      </c>
      <c r="B4" s="3" t="s">
        <v>7</v>
      </c>
    </row>
    <row r="6" spans="1:2" x14ac:dyDescent="0.15">
      <c r="A6" s="15" t="s">
        <v>8</v>
      </c>
      <c r="B6" s="16"/>
    </row>
    <row r="7" spans="1:2" x14ac:dyDescent="0.15">
      <c r="A7" s="16"/>
      <c r="B7" s="16"/>
    </row>
    <row r="8" spans="1:2" x14ac:dyDescent="0.15">
      <c r="A8" s="16"/>
      <c r="B8" s="16"/>
    </row>
    <row r="9" spans="1:2" x14ac:dyDescent="0.15">
      <c r="A9" s="16"/>
      <c r="B9" s="16"/>
    </row>
    <row r="10" spans="1:2" x14ac:dyDescent="0.15">
      <c r="A10" s="16"/>
      <c r="B10" s="16"/>
    </row>
    <row r="11" spans="1:2" x14ac:dyDescent="0.15">
      <c r="A11" s="16"/>
      <c r="B11" s="16"/>
    </row>
    <row r="12" spans="1:2" x14ac:dyDescent="0.15">
      <c r="A12" s="16"/>
      <c r="B12" s="16"/>
    </row>
    <row r="13" spans="1:2" x14ac:dyDescent="0.15">
      <c r="A13" s="16"/>
      <c r="B13" s="16"/>
    </row>
    <row r="14" spans="1:2" x14ac:dyDescent="0.15">
      <c r="A14" s="16"/>
      <c r="B14" s="16"/>
    </row>
    <row r="15" spans="1:2" x14ac:dyDescent="0.15">
      <c r="A15" s="16"/>
      <c r="B15" s="16"/>
    </row>
    <row r="16" spans="1:2" ht="13.15" customHeight="1" x14ac:dyDescent="0.15">
      <c r="A16" s="16"/>
      <c r="B16" s="16"/>
    </row>
    <row r="17" spans="1:2" ht="4.1500000000000004" customHeight="1" x14ac:dyDescent="0.15">
      <c r="A17" s="16"/>
      <c r="B17" s="16"/>
    </row>
    <row r="18" spans="1:2" hidden="1" x14ac:dyDescent="0.15">
      <c r="A18" s="16"/>
      <c r="B18" s="16"/>
    </row>
    <row r="19" spans="1:2" hidden="1" x14ac:dyDescent="0.15">
      <c r="A19" s="16"/>
      <c r="B19" s="16"/>
    </row>
    <row r="20" spans="1:2" hidden="1" x14ac:dyDescent="0.15">
      <c r="A20" s="16"/>
      <c r="B20" s="16"/>
    </row>
    <row r="21" spans="1:2" ht="22.9" customHeight="1" x14ac:dyDescent="0.15">
      <c r="A21" s="16"/>
      <c r="B21" s="16"/>
    </row>
    <row r="22" spans="1:2" ht="45" customHeight="1" x14ac:dyDescent="0.15">
      <c r="A22" s="16"/>
      <c r="B22" s="16"/>
    </row>
    <row r="23" spans="1:2" ht="51" hidden="1" customHeight="1" x14ac:dyDescent="0.15">
      <c r="A23" s="16"/>
      <c r="B23" s="16"/>
    </row>
    <row r="24" spans="1:2" x14ac:dyDescent="0.15">
      <c r="A24" s="14" t="s">
        <v>9</v>
      </c>
      <c r="B24" s="14"/>
    </row>
    <row r="25" spans="1:2" x14ac:dyDescent="0.15">
      <c r="A25" s="14" t="s">
        <v>10</v>
      </c>
      <c r="B25" s="14"/>
    </row>
    <row r="26" spans="1:2" x14ac:dyDescent="0.15">
      <c r="A26" s="14"/>
      <c r="B26" s="14"/>
    </row>
    <row r="27" spans="1:2" x14ac:dyDescent="0.15">
      <c r="A27" s="14"/>
      <c r="B27" s="14"/>
    </row>
    <row r="28" spans="1:2" x14ac:dyDescent="0.15">
      <c r="A28" s="14"/>
      <c r="B28" s="14"/>
    </row>
    <row r="29" spans="1:2" x14ac:dyDescent="0.15">
      <c r="A29" s="14"/>
      <c r="B29" s="14"/>
    </row>
    <row r="30" spans="1:2" x14ac:dyDescent="0.15">
      <c r="A30" s="14"/>
      <c r="B30" s="14"/>
    </row>
    <row r="31" spans="1:2" x14ac:dyDescent="0.15">
      <c r="A31" s="14"/>
      <c r="B31" s="14"/>
    </row>
    <row r="32" spans="1:2" x14ac:dyDescent="0.15">
      <c r="A32" s="14"/>
      <c r="B32" s="14"/>
    </row>
    <row r="33" spans="1:2" x14ac:dyDescent="0.15">
      <c r="A33" s="14"/>
      <c r="B33" s="14"/>
    </row>
    <row r="34" spans="1:2" x14ac:dyDescent="0.15">
      <c r="A34" s="14"/>
      <c r="B34" s="14"/>
    </row>
    <row r="35" spans="1:2" x14ac:dyDescent="0.15">
      <c r="A35" s="14"/>
      <c r="B35" s="14"/>
    </row>
    <row r="36" spans="1:2" x14ac:dyDescent="0.15">
      <c r="A36" s="14"/>
      <c r="B36" s="14"/>
    </row>
    <row r="37" spans="1:2" x14ac:dyDescent="0.15">
      <c r="A37" s="14"/>
      <c r="B37" s="14"/>
    </row>
    <row r="38" spans="1:2" x14ac:dyDescent="0.15">
      <c r="A38" s="14"/>
      <c r="B38" s="14"/>
    </row>
    <row r="39" spans="1:2" x14ac:dyDescent="0.15">
      <c r="A39" s="14"/>
      <c r="B39" s="14"/>
    </row>
    <row r="40" spans="1:2" x14ac:dyDescent="0.15">
      <c r="A40" s="14"/>
      <c r="B40" s="14"/>
    </row>
    <row r="41" spans="1:2" x14ac:dyDescent="0.15">
      <c r="A41" s="14"/>
      <c r="B41" s="14"/>
    </row>
    <row r="42" spans="1:2" x14ac:dyDescent="0.15">
      <c r="A42" s="14"/>
      <c r="B42" s="14"/>
    </row>
    <row r="43" spans="1:2" x14ac:dyDescent="0.15">
      <c r="A43" s="14"/>
      <c r="B43" s="14"/>
    </row>
    <row r="44" spans="1:2" x14ac:dyDescent="0.15">
      <c r="A44" s="14"/>
      <c r="B44" s="14"/>
    </row>
    <row r="45" spans="1:2" x14ac:dyDescent="0.15">
      <c r="A45" s="14"/>
      <c r="B45" s="14"/>
    </row>
    <row r="47" spans="1:2" x14ac:dyDescent="0.15">
      <c r="A47" s="3">
        <v>82</v>
      </c>
      <c r="B47" s="3" t="s">
        <v>11</v>
      </c>
    </row>
    <row r="48" spans="1:2" x14ac:dyDescent="0.15">
      <c r="A48" s="3">
        <v>100</v>
      </c>
      <c r="B48" s="3" t="s">
        <v>12</v>
      </c>
    </row>
    <row r="49" spans="1:2" x14ac:dyDescent="0.15">
      <c r="A49" s="3">
        <v>97</v>
      </c>
      <c r="B49" s="3" t="s">
        <v>13</v>
      </c>
    </row>
    <row r="50" spans="1:2" x14ac:dyDescent="0.15">
      <c r="A50" s="3">
        <v>103</v>
      </c>
      <c r="B50" s="3" t="s">
        <v>14</v>
      </c>
    </row>
    <row r="51" spans="1:2" x14ac:dyDescent="0.15">
      <c r="A51" s="3">
        <v>90</v>
      </c>
      <c r="B51" s="3" t="s">
        <v>15</v>
      </c>
    </row>
    <row r="52" spans="1:2" x14ac:dyDescent="0.15">
      <c r="A52" s="3">
        <v>97</v>
      </c>
      <c r="B52" s="3" t="s">
        <v>16</v>
      </c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8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0"/>
  <sheetViews>
    <sheetView tabSelected="1" workbookViewId="0">
      <pane ySplit="4" topLeftCell="A5" activePane="bottomLeft" state="frozenSplit"/>
      <selection pane="bottomLeft" activeCell="B11" sqref="B11"/>
    </sheetView>
  </sheetViews>
  <sheetFormatPr defaultColWidth="8.875" defaultRowHeight="16.5" x14ac:dyDescent="0.3"/>
  <cols>
    <col min="1" max="1" width="11" style="4" customWidth="1"/>
    <col min="2" max="2" width="59.125" style="5" customWidth="1"/>
    <col min="3" max="3" width="21.375" style="5" customWidth="1"/>
    <col min="4" max="4" width="9" style="5"/>
    <col min="5" max="5" width="10" style="5" customWidth="1"/>
    <col min="6" max="16384" width="8.875" style="5"/>
  </cols>
  <sheetData>
    <row r="1" spans="1:27" s="18" customFormat="1" ht="12" customHeight="1" x14ac:dyDescent="0.15">
      <c r="A1" s="17"/>
      <c r="B1" s="18" t="s">
        <v>89</v>
      </c>
      <c r="C1" s="17"/>
      <c r="X1" s="19"/>
    </row>
    <row r="2" spans="1:27" s="22" customFormat="1" ht="12" customHeight="1" x14ac:dyDescent="0.15">
      <c r="A2" s="20" t="s">
        <v>18</v>
      </c>
      <c r="B2" s="21" t="s">
        <v>19</v>
      </c>
      <c r="C2" s="21" t="s">
        <v>17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</row>
    <row r="3" spans="1:27" s="25" customFormat="1" ht="12" customHeight="1" x14ac:dyDescent="0.15">
      <c r="A3" s="23" t="s">
        <v>90</v>
      </c>
      <c r="B3" s="24" t="s">
        <v>91</v>
      </c>
      <c r="C3" s="24" t="s">
        <v>17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</row>
    <row r="4" spans="1:27" x14ac:dyDescent="0.3">
      <c r="A4" s="2" t="s">
        <v>88</v>
      </c>
      <c r="B4" t="s">
        <v>20</v>
      </c>
      <c r="C4" s="5" t="s">
        <v>21</v>
      </c>
    </row>
    <row r="5" spans="1:27" x14ac:dyDescent="0.3">
      <c r="A5" t="str">
        <f>""&amp;0</f>
        <v>0</v>
      </c>
      <c r="B5" s="6" t="s">
        <v>22</v>
      </c>
      <c r="C5" s="6" t="s">
        <v>23</v>
      </c>
    </row>
    <row r="6" spans="1:27" x14ac:dyDescent="0.3">
      <c r="A6" t="str">
        <f>1&amp;""</f>
        <v>1</v>
      </c>
      <c r="B6" s="6" t="s">
        <v>24</v>
      </c>
      <c r="C6" s="6" t="s">
        <v>25</v>
      </c>
    </row>
    <row r="7" spans="1:27" x14ac:dyDescent="0.3">
      <c r="A7" t="str">
        <f>""&amp;2</f>
        <v>2</v>
      </c>
      <c r="B7" s="7" t="s">
        <v>26</v>
      </c>
      <c r="C7" s="7" t="s">
        <v>27</v>
      </c>
    </row>
    <row r="8" spans="1:27" x14ac:dyDescent="0.3">
      <c r="A8" t="str">
        <f>""&amp;3</f>
        <v>3</v>
      </c>
      <c r="B8" s="6" t="s">
        <v>28</v>
      </c>
      <c r="C8" s="6" t="s">
        <v>29</v>
      </c>
    </row>
    <row r="9" spans="1:27" x14ac:dyDescent="0.3">
      <c r="A9" t="str">
        <f>""&amp;4</f>
        <v>4</v>
      </c>
      <c r="B9" s="7" t="s">
        <v>30</v>
      </c>
      <c r="C9" s="7" t="s">
        <v>31</v>
      </c>
    </row>
    <row r="10" spans="1:27" x14ac:dyDescent="0.3">
      <c r="A10" t="str">
        <f>""&amp;5</f>
        <v>5</v>
      </c>
      <c r="B10" s="7" t="s">
        <v>32</v>
      </c>
      <c r="C10" s="7" t="s">
        <v>33</v>
      </c>
    </row>
    <row r="11" spans="1:27" x14ac:dyDescent="0.3">
      <c r="A11" t="str">
        <f>""&amp;6</f>
        <v>6</v>
      </c>
      <c r="B11" s="7" t="s">
        <v>34</v>
      </c>
      <c r="C11" s="7" t="s">
        <v>35</v>
      </c>
    </row>
    <row r="12" spans="1:27" x14ac:dyDescent="0.3">
      <c r="A12" t="str">
        <f>""&amp;7</f>
        <v>7</v>
      </c>
      <c r="B12" s="6" t="s">
        <v>36</v>
      </c>
      <c r="C12" s="6" t="s">
        <v>37</v>
      </c>
    </row>
    <row r="13" spans="1:27" x14ac:dyDescent="0.3">
      <c r="A13" t="str">
        <f>""&amp;8</f>
        <v>8</v>
      </c>
      <c r="B13" s="6" t="s">
        <v>38</v>
      </c>
      <c r="C13" s="6" t="s">
        <v>39</v>
      </c>
    </row>
    <row r="14" spans="1:27" x14ac:dyDescent="0.3">
      <c r="A14" t="str">
        <f>""&amp;10</f>
        <v>10</v>
      </c>
      <c r="B14" s="2" t="s">
        <v>40</v>
      </c>
      <c r="C14" t="s">
        <v>41</v>
      </c>
    </row>
    <row r="15" spans="1:27" x14ac:dyDescent="0.3">
      <c r="A15" t="str">
        <f>""&amp;20</f>
        <v>20</v>
      </c>
      <c r="B15" s="8" t="s">
        <v>42</v>
      </c>
      <c r="C15" s="9" t="s">
        <v>43</v>
      </c>
    </row>
    <row r="16" spans="1:27" x14ac:dyDescent="0.3">
      <c r="A16" t="str">
        <f>""&amp;21</f>
        <v>21</v>
      </c>
      <c r="B16" s="8" t="s">
        <v>44</v>
      </c>
      <c r="C16" s="9" t="s">
        <v>43</v>
      </c>
    </row>
    <row r="17" spans="1:3" x14ac:dyDescent="0.3">
      <c r="A17" t="str">
        <f>""&amp;31</f>
        <v>31</v>
      </c>
      <c r="B17" s="9" t="s">
        <v>45</v>
      </c>
      <c r="C17" s="10" t="s">
        <v>52</v>
      </c>
    </row>
    <row r="18" spans="1:3" x14ac:dyDescent="0.3">
      <c r="A18" t="str">
        <f>""&amp;32</f>
        <v>32</v>
      </c>
      <c r="B18" s="9" t="s">
        <v>46</v>
      </c>
      <c r="C18" s="10" t="s">
        <v>53</v>
      </c>
    </row>
    <row r="19" spans="1:3" x14ac:dyDescent="0.3">
      <c r="A19" t="str">
        <f>""&amp;33</f>
        <v>33</v>
      </c>
      <c r="B19" s="9" t="s">
        <v>47</v>
      </c>
      <c r="C19" s="10" t="s">
        <v>54</v>
      </c>
    </row>
    <row r="20" spans="1:3" x14ac:dyDescent="0.3">
      <c r="A20" t="str">
        <f>""&amp;34</f>
        <v>34</v>
      </c>
      <c r="B20" s="9" t="s">
        <v>48</v>
      </c>
      <c r="C20" s="10" t="s">
        <v>55</v>
      </c>
    </row>
    <row r="21" spans="1:3" x14ac:dyDescent="0.3">
      <c r="A21" t="str">
        <f>""&amp;35</f>
        <v>35</v>
      </c>
      <c r="B21" s="9" t="s">
        <v>49</v>
      </c>
      <c r="C21" s="10" t="s">
        <v>56</v>
      </c>
    </row>
    <row r="22" spans="1:3" x14ac:dyDescent="0.3">
      <c r="A22" t="str">
        <f>""&amp;100</f>
        <v>100</v>
      </c>
      <c r="B22" s="9" t="s">
        <v>50</v>
      </c>
      <c r="C22" s="5" t="s">
        <v>51</v>
      </c>
    </row>
    <row r="23" spans="1:3" x14ac:dyDescent="0.3">
      <c r="A23" t="str">
        <f>""&amp;200</f>
        <v>200</v>
      </c>
      <c r="B23" s="9" t="s">
        <v>63</v>
      </c>
      <c r="C23" s="5" t="s">
        <v>59</v>
      </c>
    </row>
    <row r="24" spans="1:3" x14ac:dyDescent="0.3">
      <c r="A24" t="str">
        <f>""&amp;201</f>
        <v>201</v>
      </c>
      <c r="B24" s="9" t="s">
        <v>64</v>
      </c>
      <c r="C24" s="5" t="s">
        <v>60</v>
      </c>
    </row>
    <row r="25" spans="1:3" x14ac:dyDescent="0.3">
      <c r="A25" t="str">
        <f>""&amp;210</f>
        <v>210</v>
      </c>
      <c r="B25" s="9" t="s">
        <v>65</v>
      </c>
      <c r="C25" s="5" t="s">
        <v>61</v>
      </c>
    </row>
    <row r="26" spans="1:3" x14ac:dyDescent="0.3">
      <c r="A26" t="str">
        <f>""&amp;211</f>
        <v>211</v>
      </c>
      <c r="B26" s="9" t="s">
        <v>66</v>
      </c>
      <c r="C26" s="5" t="s">
        <v>62</v>
      </c>
    </row>
    <row r="27" spans="1:3" x14ac:dyDescent="0.3">
      <c r="A27" t="str">
        <f>""&amp;220</f>
        <v>220</v>
      </c>
      <c r="B27" s="9" t="s">
        <v>67</v>
      </c>
      <c r="C27" s="5" t="s">
        <v>68</v>
      </c>
    </row>
    <row r="28" spans="1:3" x14ac:dyDescent="0.3">
      <c r="A28" t="str">
        <f>""&amp;221</f>
        <v>221</v>
      </c>
      <c r="B28" s="9" t="s">
        <v>71</v>
      </c>
      <c r="C28" s="5" t="s">
        <v>69</v>
      </c>
    </row>
    <row r="29" spans="1:3" x14ac:dyDescent="0.3">
      <c r="A29" t="str">
        <f>""&amp;222</f>
        <v>222</v>
      </c>
      <c r="B29" s="9" t="s">
        <v>72</v>
      </c>
      <c r="C29" s="5" t="s">
        <v>70</v>
      </c>
    </row>
    <row r="30" spans="1:3" x14ac:dyDescent="0.3">
      <c r="A30" t="str">
        <f>""&amp;223</f>
        <v>223</v>
      </c>
      <c r="B30" s="9" t="s">
        <v>73</v>
      </c>
      <c r="C30" s="5" t="s">
        <v>74</v>
      </c>
    </row>
    <row r="31" spans="1:3" x14ac:dyDescent="0.3">
      <c r="A31" t="str">
        <f>""&amp;230</f>
        <v>230</v>
      </c>
      <c r="B31" s="9" t="s">
        <v>75</v>
      </c>
      <c r="C31" s="5" t="s">
        <v>76</v>
      </c>
    </row>
    <row r="32" spans="1:3" x14ac:dyDescent="0.3">
      <c r="A32" t="str">
        <f>""&amp;240</f>
        <v>240</v>
      </c>
      <c r="B32" s="9" t="s">
        <v>77</v>
      </c>
      <c r="C32" s="5" t="s">
        <v>78</v>
      </c>
    </row>
    <row r="33" spans="1:3" x14ac:dyDescent="0.3">
      <c r="A33" t="str">
        <f>""&amp;241</f>
        <v>241</v>
      </c>
      <c r="B33" s="9" t="s">
        <v>84</v>
      </c>
      <c r="C33" s="5" t="s">
        <v>85</v>
      </c>
    </row>
    <row r="34" spans="1:3" x14ac:dyDescent="0.3">
      <c r="A34" t="str">
        <f>""&amp;242</f>
        <v>242</v>
      </c>
      <c r="B34" s="9" t="s">
        <v>87</v>
      </c>
      <c r="C34" s="5" t="s">
        <v>86</v>
      </c>
    </row>
    <row r="35" spans="1:3" x14ac:dyDescent="0.3">
      <c r="A35" t="str">
        <f>""&amp;243</f>
        <v>243</v>
      </c>
      <c r="B35" s="9" t="s">
        <v>79</v>
      </c>
    </row>
    <row r="36" spans="1:3" x14ac:dyDescent="0.3">
      <c r="A36" t="str">
        <f>""&amp;244</f>
        <v>244</v>
      </c>
      <c r="B36" s="9" t="s">
        <v>80</v>
      </c>
    </row>
    <row r="37" spans="1:3" x14ac:dyDescent="0.3">
      <c r="A37" t="str">
        <f>""&amp;245</f>
        <v>245</v>
      </c>
      <c r="B37" s="9" t="s">
        <v>81</v>
      </c>
    </row>
    <row r="38" spans="1:3" x14ac:dyDescent="0.3">
      <c r="A38" t="str">
        <f>""&amp;246</f>
        <v>246</v>
      </c>
      <c r="B38" s="9" t="s">
        <v>82</v>
      </c>
    </row>
    <row r="39" spans="1:3" x14ac:dyDescent="0.3">
      <c r="A39" t="str">
        <f>""&amp;247</f>
        <v>247</v>
      </c>
      <c r="B39" s="9" t="s">
        <v>83</v>
      </c>
    </row>
    <row r="40" spans="1:3" x14ac:dyDescent="0.3">
      <c r="A40" t="str">
        <f>""&amp;300</f>
        <v>300</v>
      </c>
      <c r="B40" s="9" t="s">
        <v>57</v>
      </c>
      <c r="C40" s="5" t="s">
        <v>58</v>
      </c>
    </row>
  </sheetData>
  <phoneticPr fontId="8" type="noConversion"/>
  <dataValidations count="1">
    <dataValidation allowBlank="1" showInputMessage="1" showErrorMessage="1" promptTitle="版本&quot;,&quot;分割————————————" prompt="如果是所有版本，则填ALL" sqref="B1" xr:uid="{E1DD6E2C-33EA-48FA-BD47-968EDACB37CA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2018-04-25T10:06:40Z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