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A059DF7-17CB-4524-9335-9496E648FF00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混合" sheetId="5" r:id="rId2"/>
    <sheet name="VNL" sheetId="6" r:id="rId3"/>
  </sheets>
  <functionGroups builtInGroupCount="19"/>
  <calcPr calcId="179017" concurrentCalc="0"/>
</workbook>
</file>

<file path=xl/calcChain.xml><?xml version="1.0" encoding="utf-8"?>
<calcChain xmlns="http://schemas.openxmlformats.org/spreadsheetml/2006/main">
  <c r="H5" i="5" l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A14" i="6"/>
  <c r="A15" i="6"/>
  <c r="A16" i="6"/>
  <c r="A17" i="6"/>
  <c r="A18" i="6"/>
  <c r="A19" i="6"/>
  <c r="A20" i="6"/>
  <c r="A21" i="6"/>
  <c r="A22" i="6"/>
  <c r="A23" i="6"/>
  <c r="A24" i="6"/>
  <c r="A5" i="6"/>
  <c r="A6" i="6"/>
  <c r="A7" i="6"/>
  <c r="A8" i="6"/>
  <c r="A9" i="6"/>
  <c r="A10" i="6"/>
  <c r="A11" i="6"/>
  <c r="A12" i="6"/>
  <c r="A13" i="6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</calcChain>
</file>

<file path=xl/sharedStrings.xml><?xml version="1.0" encoding="utf-8"?>
<sst xmlns="http://schemas.openxmlformats.org/spreadsheetml/2006/main" count="197" uniqueCount="113">
  <si>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</si>
  <si>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</si>
  <si>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</si>
  <si>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</si>
  <si>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</si>
  <si>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</si>
  <si>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</si>
  <si>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</si>
  <si>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</si>
  <si>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</si>
  <si>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</si>
  <si>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</si>
  <si>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</si>
  <si>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unexport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</si>
  <si>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</si>
  <si>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</si>
  <si>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</si>
  <si>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</si>
  <si>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</si>
  <si>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</si>
  <si>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</si>
  <si>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</si>
  <si>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</si>
  <si>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</si>
  <si>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</si>
  <si>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</si>
  <si>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</si>
  <si>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</si>
  <si>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</si>
  <si>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</si>
  <si>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</si>
  <si>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6" type="noConversion"/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</si>
  <si>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</si>
  <si>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</si>
  <si>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</si>
  <si>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</si>
  <si>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</si>
  <si>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</si>
  <si>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</si>
  <si>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</si>
  <si>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</si>
  <si>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27. 排位赛段位大于等于x</t>
    <phoneticPr fontId="6" type="noConversion"/>
  </si>
  <si>
    <t>兑换ID</t>
    <phoneticPr fontId="4" type="noConversion"/>
  </si>
  <si>
    <t>所属分页</t>
    <phoneticPr fontId="4" type="noConversion"/>
  </si>
  <si>
    <t>兑换道具</t>
    <phoneticPr fontId="4" type="noConversion"/>
  </si>
  <si>
    <t>每日库存</t>
    <phoneticPr fontId="4" type="noConversion"/>
  </si>
  <si>
    <t>int</t>
    <phoneticPr fontId="4" type="noConversion"/>
  </si>
  <si>
    <t>type</t>
    <phoneticPr fontId="4" type="noConversion"/>
  </si>
  <si>
    <t>item</t>
    <phoneticPr fontId="4" type="noConversion"/>
  </si>
  <si>
    <t>table</t>
    <phoneticPr fontId="4" type="noConversion"/>
  </si>
  <si>
    <t>cost</t>
    <phoneticPr fontId="4" type="noConversion"/>
  </si>
  <si>
    <t>count</t>
    <phoneticPr fontId="4" type="noConversion"/>
  </si>
  <si>
    <t>总库存</t>
    <phoneticPr fontId="4" type="noConversion"/>
  </si>
  <si>
    <t>total</t>
    <phoneticPr fontId="4" type="noConversion"/>
  </si>
  <si>
    <t>需要话费券</t>
    <phoneticPr fontId="4" type="noConversion"/>
  </si>
  <si>
    <t>是否公告</t>
    <phoneticPr fontId="4" type="noConversion"/>
  </si>
  <si>
    <t>notice</t>
    <phoneticPr fontId="4" type="noConversion"/>
  </si>
  <si>
    <t>["i800",1]</t>
    <phoneticPr fontId="4" type="noConversion"/>
  </si>
  <si>
    <t>["i801",1]</t>
    <phoneticPr fontId="4" type="noConversion"/>
  </si>
  <si>
    <t>int</t>
    <phoneticPr fontId="4" type="noConversion"/>
  </si>
  <si>
    <t>scount</t>
    <phoneticPr fontId="4" type="noConversion"/>
  </si>
  <si>
    <t>stotal</t>
    <phoneticPr fontId="4" type="noConversion"/>
  </si>
  <si>
    <t>30元话费充值卡</t>
  </si>
  <si>
    <t>100元话费充值卡</t>
  </si>
  <si>
    <t>100元京东卡</t>
  </si>
  <si>
    <t>500元京东卡</t>
  </si>
  <si>
    <t>1000元京东卡</t>
  </si>
  <si>
    <t>小米移动电源</t>
  </si>
  <si>
    <t>飞利浦剃须刀</t>
  </si>
  <si>
    <t>小米空气净化器</t>
  </si>
  <si>
    <t>oppoR9s手机</t>
  </si>
  <si>
    <t>iPhone7手机32G</t>
  </si>
  <si>
    <t>["i805",1]</t>
    <phoneticPr fontId="4" type="noConversion"/>
  </si>
  <si>
    <t>["i806",1]</t>
    <phoneticPr fontId="4" type="noConversion"/>
  </si>
  <si>
    <t>["i807",1]</t>
    <phoneticPr fontId="4" type="noConversion"/>
  </si>
  <si>
    <t>["i814",1]</t>
    <phoneticPr fontId="4" type="noConversion"/>
  </si>
  <si>
    <t>["i813",1]</t>
    <phoneticPr fontId="4" type="noConversion"/>
  </si>
  <si>
    <t>["i810",1]</t>
    <phoneticPr fontId="4" type="noConversion"/>
  </si>
  <si>
    <t>["i811",1]</t>
    <phoneticPr fontId="4" type="noConversion"/>
  </si>
  <si>
    <t>["i812",1]</t>
    <phoneticPr fontId="4" type="noConversion"/>
  </si>
  <si>
    <t>["i002",100]</t>
    <phoneticPr fontId="4" type="noConversion"/>
  </si>
  <si>
    <t>["i001",100000]</t>
    <phoneticPr fontId="4" type="noConversion"/>
  </si>
  <si>
    <t>["i400",10]</t>
    <phoneticPr fontId="4" type="noConversion"/>
  </si>
  <si>
    <t>["i002",10]</t>
    <phoneticPr fontId="4" type="noConversion"/>
  </si>
  <si>
    <t>["i001",10000]</t>
    <phoneticPr fontId="4" type="noConversion"/>
  </si>
  <si>
    <t>["i400",1]</t>
    <phoneticPr fontId="4" type="noConversion"/>
  </si>
  <si>
    <t>当前每日库存id</t>
    <phoneticPr fontId="4" type="noConversion"/>
  </si>
  <si>
    <t>当前总库存id</t>
    <phoneticPr fontId="4" type="noConversion"/>
  </si>
  <si>
    <t>["i850",1]</t>
    <phoneticPr fontId="4" type="noConversion"/>
  </si>
  <si>
    <t>["i851",1]</t>
    <phoneticPr fontId="4" type="noConversion"/>
  </si>
  <si>
    <t>["i852",1]</t>
    <phoneticPr fontId="4" type="noConversion"/>
  </si>
  <si>
    <t>["i860",1]</t>
    <phoneticPr fontId="4" type="noConversion"/>
  </si>
  <si>
    <t>["i861",1]</t>
    <phoneticPr fontId="4" type="noConversion"/>
  </si>
  <si>
    <t>["i862",1]</t>
    <phoneticPr fontId="4" type="noConversion"/>
  </si>
  <si>
    <t>["i870",1]</t>
    <phoneticPr fontId="4" type="noConversion"/>
  </si>
  <si>
    <t>["i871",1]</t>
    <phoneticPr fontId="4" type="noConversion"/>
  </si>
  <si>
    <t>["i872",1]</t>
    <phoneticPr fontId="4" type="noConversion"/>
  </si>
  <si>
    <t>[["i003",3600]]</t>
  </si>
  <si>
    <t>[["i003",7200]]</t>
  </si>
  <si>
    <t>[["i003",10800]]</t>
  </si>
  <si>
    <t>[["i003",840000]]</t>
  </si>
  <si>
    <t>[["i003",396000]]</t>
  </si>
  <si>
    <t>[["i003",8400]]</t>
  </si>
  <si>
    <t>[["i003",31200]]</t>
  </si>
  <si>
    <t>[["i003",108000]]</t>
  </si>
  <si>
    <t>[["i003",120]]</t>
  </si>
  <si>
    <t>[["i003",1200]]</t>
  </si>
  <si>
    <t>int</t>
    <phoneticPr fontId="6" type="noConversion"/>
  </si>
  <si>
    <t>coco,ios,wanba,google</t>
    <phoneticPr fontId="4" type="noConversion"/>
  </si>
  <si>
    <t>vietnam_vn</t>
    <phoneticPr fontId="6" type="noConversion"/>
  </si>
  <si>
    <t>[["i003",12000]]</t>
  </si>
  <si>
    <t>[["i003",60000]]</t>
  </si>
  <si>
    <t>[["i003",120000]]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</si>
</sst>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4">
    <xf numFmtId="0" fontId="0" fillId="0" borderId="0" xfId="0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0" borderId="0" xfId="0" applyFont="1" applyAlignment="1"/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1" applyAlignment="1"/>
    <xf numFmtId="0" fontId="2" fillId="0" borderId="0" xfId="0" applyNumberFormat="1" applyFont="1" applyAlignment="1"/>
    <xf numFmtId="0" fontId="5" fillId="0" borderId="0" xfId="0" applyNumberFormat="1" applyFont="1" applyAlignment="1"/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6D0723D-DFC8-4068-B0FB-822D9765708C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2CEF3503-7071-4FFB-BDB9-3070562E17E6}"/>
            </a:ext>
          </a:extLst>
        </xdr:cNvPr>
        <xdr:cNvSpPr/>
      </xdr:nvSpPr>
      <xdr:spPr>
        <a:xfrm>
          <a:off x="0" y="0"/>
          <a:ext cx="304800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J20" totalsRowShown="0">
  <autoFilter ref="A4:J20" xr:uid="{00000000-0009-0000-0100-000003000000}"/>
  <tableColumns count="10">
    <tableColumn id="1" xr3:uid="{00000000-0010-0000-0000-000001000000}" name="兑换ID" dataDxfId="13">
      <calculatedColumnFormula>IF(表3[[#This Row],[所属分页]]=B4,A4+1,表3[[#This Row],[所属分页]]*1000+1)</calculatedColumnFormula>
    </tableColumn>
    <tableColumn id="2" xr3:uid="{00000000-0010-0000-0000-000002000000}" name="所属分页"/>
    <tableColumn id="3" xr3:uid="{00000000-0010-0000-0000-000003000000}" name="兑换道具"/>
    <tableColumn id="4" xr3:uid="{00000000-0010-0000-0000-000004000000}" name="需要话费券"/>
    <tableColumn id="5" xr3:uid="{00000000-0010-0000-0000-000005000000}" name="每日库存"/>
    <tableColumn id="7" xr3:uid="{00000000-0010-0000-0000-000007000000}" name="总库存" dataDxfId="12"/>
    <tableColumn id="9" xr3:uid="{00000000-0010-0000-0000-000009000000}" name="当前每日库存id" dataDxfId="11">
      <calculatedColumnFormula>(ROW()-5)*2+1</calculatedColumnFormula>
    </tableColumn>
    <tableColumn id="10" xr3:uid="{00000000-0010-0000-0000-00000A000000}" name="当前总库存id" dataDxfId="10">
      <calculatedColumnFormula>(ROW()-4)*2</calculatedColumnFormula>
    </tableColumn>
    <tableColumn id="8" xr3:uid="{00000000-0010-0000-0000-000008000000}" name="是否公告" dataDxfId="9"/>
    <tableColumn id="6" xr3:uid="{00000000-0010-0000-0000-000006000000}" name="名称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0F5DF-FEF5-4134-8E0D-232135604B86}" name="表3_2" displayName="表3_2" ref="A4:J24" totalsRowShown="0">
  <autoFilter ref="A4:J24" xr:uid="{00000000-0009-0000-0100-000003000000}"/>
  <tableColumns count="10">
    <tableColumn id="1" xr3:uid="{A4CE341A-1431-4100-B69D-CD53D899C0CD}" name="兑换ID" dataDxfId="8">
      <calculatedColumnFormula>IF(表3_2[[#This Row],[所属分页]]=B4,A4+1,表3_2[[#This Row],[所属分页]]*1000+1)</calculatedColumnFormula>
    </tableColumn>
    <tableColumn id="2" xr3:uid="{5266087A-6694-4475-9E4E-64680929E1CE}" name="所属分页" dataDxfId="7"/>
    <tableColumn id="3" xr3:uid="{54FA5C34-5720-40B3-B8A8-4470527D6B43}" name="兑换道具" dataDxfId="6"/>
    <tableColumn id="4" xr3:uid="{E4263631-A9FA-4853-A4F7-CD63B312AE05}" name="需要话费券" dataDxfId="5"/>
    <tableColumn id="5" xr3:uid="{BF409B0C-23F8-480F-8BB3-7DA33DDDF37B}" name="每日库存" dataDxfId="4"/>
    <tableColumn id="7" xr3:uid="{3184E5E1-02BF-41E6-8638-E3EE4E38C33B}" name="总库存" dataDxfId="3"/>
    <tableColumn id="9" xr3:uid="{8FA3779C-A940-4B0B-9526-4EFF748AE107}" name="当前每日库存id" dataDxfId="2">
      <calculatedColumnFormula>(ROW()-5)*2+1</calculatedColumnFormula>
    </tableColumn>
    <tableColumn id="10" xr3:uid="{E5892BE6-303B-4487-B92B-251C400BBF04}" name="当前总库存id" dataDxfId="1">
      <calculatedColumnFormula>(ROW()-4)*2</calculatedColumnFormula>
    </tableColumn>
    <tableColumn id="8" xr3:uid="{1D0A9A29-4E6D-4614-AE90-CDAF2EC5F0E0}" name="是否公告" dataDxfId="0"/>
    <tableColumn id="6" xr3:uid="{7D58C896-8641-4929-A2F0-EF103CDB7BC7}" name="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B46" sqref="B46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1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21" t="s">
        <v>8</v>
      </c>
      <c r="B6" s="22"/>
    </row>
    <row r="7" spans="1:2" x14ac:dyDescent="0.15">
      <c r="A7" s="22"/>
      <c r="B7" s="22"/>
    </row>
    <row r="8" spans="1:2" x14ac:dyDescent="0.15">
      <c r="A8" s="22"/>
      <c r="B8" s="22"/>
    </row>
    <row r="9" spans="1:2" x14ac:dyDescent="0.15">
      <c r="A9" s="22"/>
      <c r="B9" s="22"/>
    </row>
    <row r="10" spans="1:2" x14ac:dyDescent="0.15">
      <c r="A10" s="22"/>
      <c r="B10" s="22"/>
    </row>
    <row r="11" spans="1:2" x14ac:dyDescent="0.15">
      <c r="A11" s="22"/>
      <c r="B11" s="22"/>
    </row>
    <row r="12" spans="1:2" x14ac:dyDescent="0.15">
      <c r="A12" s="22"/>
      <c r="B12" s="22"/>
    </row>
    <row r="13" spans="1:2" x14ac:dyDescent="0.15">
      <c r="A13" s="22"/>
      <c r="B13" s="22"/>
    </row>
    <row r="14" spans="1:2" x14ac:dyDescent="0.15">
      <c r="A14" s="22"/>
      <c r="B14" s="22"/>
    </row>
    <row r="15" spans="1:2" x14ac:dyDescent="0.15">
      <c r="A15" s="22"/>
      <c r="B15" s="22"/>
    </row>
    <row r="16" spans="1:2" ht="13.15" customHeight="1" x14ac:dyDescent="0.15">
      <c r="A16" s="22"/>
      <c r="B16" s="22"/>
    </row>
    <row r="17" spans="1:2" ht="4.1500000000000004" customHeight="1" x14ac:dyDescent="0.15">
      <c r="A17" s="22"/>
      <c r="B17" s="22"/>
    </row>
    <row r="18" spans="1:2" hidden="1" x14ac:dyDescent="0.15">
      <c r="A18" s="22"/>
      <c r="B18" s="22"/>
    </row>
    <row r="19" spans="1:2" hidden="1" x14ac:dyDescent="0.15">
      <c r="A19" s="22"/>
      <c r="B19" s="22"/>
    </row>
    <row r="20" spans="1:2" hidden="1" x14ac:dyDescent="0.15">
      <c r="A20" s="22"/>
      <c r="B20" s="22"/>
    </row>
    <row r="21" spans="1:2" ht="22.9" customHeight="1" x14ac:dyDescent="0.15">
      <c r="A21" s="22"/>
      <c r="B21" s="22"/>
    </row>
    <row r="22" spans="1:2" ht="45" customHeight="1" x14ac:dyDescent="0.15">
      <c r="A22" s="22"/>
      <c r="B22" s="22"/>
    </row>
    <row r="23" spans="1:2" ht="51" hidden="1" customHeight="1" x14ac:dyDescent="0.15">
      <c r="A23" s="22"/>
      <c r="B23" s="22"/>
    </row>
    <row r="24" spans="1:2" x14ac:dyDescent="0.15">
      <c r="A24" s="23" t="s">
        <v>9</v>
      </c>
      <c r="B24" s="23"/>
    </row>
    <row r="25" spans="1:2" x14ac:dyDescent="0.15">
      <c r="A25" s="23" t="s">
        <v>10</v>
      </c>
      <c r="B25" s="23"/>
    </row>
    <row r="26" spans="1:2" x14ac:dyDescent="0.15">
      <c r="A26" s="23" t="s">
        <v>11</v>
      </c>
      <c r="B26" s="23"/>
    </row>
    <row r="27" spans="1:2" x14ac:dyDescent="0.15">
      <c r="A27" s="7"/>
      <c r="B27" s="8" t="s">
        <v>14</v>
      </c>
    </row>
    <row r="28" spans="1:2" x14ac:dyDescent="0.15">
      <c r="A28" s="7"/>
      <c r="B28" s="8" t="s">
        <v>15</v>
      </c>
    </row>
    <row r="29" spans="1:2" x14ac:dyDescent="0.15">
      <c r="A29" s="7"/>
      <c r="B29" s="8" t="s">
        <v>16</v>
      </c>
    </row>
    <row r="30" spans="1:2" x14ac:dyDescent="0.15">
      <c r="A30" s="7"/>
      <c r="B30" s="8" t="s">
        <v>17</v>
      </c>
    </row>
    <row r="31" spans="1:2" x14ac:dyDescent="0.15">
      <c r="A31" s="7"/>
      <c r="B31" s="8" t="s">
        <v>18</v>
      </c>
    </row>
    <row r="32" spans="1:2" x14ac:dyDescent="0.15">
      <c r="A32" s="7"/>
      <c r="B32" s="8" t="s">
        <v>19</v>
      </c>
    </row>
    <row r="33" spans="1:2" x14ac:dyDescent="0.15">
      <c r="A33" s="7"/>
      <c r="B33" s="8" t="s">
        <v>20</v>
      </c>
    </row>
    <row r="34" spans="1:2" x14ac:dyDescent="0.15">
      <c r="A34" s="7"/>
      <c r="B34" s="8" t="s">
        <v>21</v>
      </c>
    </row>
    <row r="35" spans="1:2" x14ac:dyDescent="0.15">
      <c r="A35" s="7"/>
      <c r="B35" s="8" t="s">
        <v>22</v>
      </c>
    </row>
    <row r="36" spans="1:2" x14ac:dyDescent="0.15">
      <c r="A36" s="7"/>
      <c r="B36" s="8" t="s">
        <v>23</v>
      </c>
    </row>
    <row r="37" spans="1:2" x14ac:dyDescent="0.15">
      <c r="A37" s="7"/>
      <c r="B37" s="8" t="s">
        <v>24</v>
      </c>
    </row>
    <row r="38" spans="1:2" x14ac:dyDescent="0.15">
      <c r="A38" s="7"/>
      <c r="B38" s="8" t="s">
        <v>25</v>
      </c>
    </row>
    <row r="39" spans="1:2" x14ac:dyDescent="0.15">
      <c r="A39" s="7"/>
      <c r="B39" s="8" t="s">
        <v>26</v>
      </c>
    </row>
    <row r="40" spans="1:2" x14ac:dyDescent="0.15">
      <c r="A40" s="7"/>
      <c r="B40" s="8" t="s">
        <v>27</v>
      </c>
    </row>
    <row r="41" spans="1:2" x14ac:dyDescent="0.15">
      <c r="A41" s="7"/>
      <c r="B41" s="8" t="s">
        <v>28</v>
      </c>
    </row>
    <row r="42" spans="1:2" x14ac:dyDescent="0.15">
      <c r="A42" s="7"/>
      <c r="B42" s="8" t="s">
        <v>29</v>
      </c>
    </row>
    <row r="43" spans="1:2" x14ac:dyDescent="0.15">
      <c r="A43" s="7"/>
      <c r="B43" s="8" t="s">
        <v>30</v>
      </c>
    </row>
    <row r="44" spans="1:2" x14ac:dyDescent="0.15">
      <c r="A44" s="7"/>
      <c r="B44" s="8" t="s">
        <v>32</v>
      </c>
    </row>
    <row r="45" spans="1:2" x14ac:dyDescent="0.15">
      <c r="A45" s="7"/>
      <c r="B45" s="8" t="s">
        <v>33</v>
      </c>
    </row>
    <row r="46" spans="1:2" x14ac:dyDescent="0.15">
      <c r="B46" s="8" t="s">
        <v>34</v>
      </c>
    </row>
    <row r="47" spans="1:2" x14ac:dyDescent="0.15">
      <c r="B47" s="8" t="s">
        <v>35</v>
      </c>
    </row>
    <row r="48" spans="1:2" x14ac:dyDescent="0.15">
      <c r="B48" s="8" t="s">
        <v>36</v>
      </c>
    </row>
    <row r="49" spans="2:2" x14ac:dyDescent="0.15">
      <c r="B49" s="8" t="s">
        <v>37</v>
      </c>
    </row>
    <row r="50" spans="2:2" x14ac:dyDescent="0.15">
      <c r="B50" s="8" t="s">
        <v>38</v>
      </c>
    </row>
    <row r="51" spans="2:2" x14ac:dyDescent="0.15">
      <c r="B51" s="8" t="s">
        <v>39</v>
      </c>
    </row>
    <row r="52" spans="2:2" x14ac:dyDescent="0.15">
      <c r="B52" s="9" t="s">
        <v>40</v>
      </c>
    </row>
    <row r="53" spans="2:2" x14ac:dyDescent="0.15">
      <c r="B53" s="9" t="s">
        <v>41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tabSelected="1" workbookViewId="0">
      <selection activeCell="B9" sqref="B9"/>
    </sheetView>
  </sheetViews>
  <sheetFormatPr defaultColWidth="9" defaultRowHeight="13.5" x14ac:dyDescent="0.15"/>
  <cols>
    <col min="1" max="1" width="9" customWidth="1"/>
    <col min="2" max="2" width="10.5" bestFit="1" customWidth="1"/>
    <col min="3" max="3" width="15.125" bestFit="1" customWidth="1"/>
    <col min="4" max="4" width="17.25" bestFit="1" customWidth="1"/>
    <col min="5" max="5" width="10.5" bestFit="1" customWidth="1"/>
    <col min="6" max="6" width="10.5" customWidth="1"/>
    <col min="7" max="7" width="16.375" bestFit="1" customWidth="1"/>
    <col min="8" max="8" width="17.5" bestFit="1" customWidth="1"/>
    <col min="9" max="9" width="10.5" customWidth="1"/>
    <col min="10" max="10" width="17.375" customWidth="1"/>
  </cols>
  <sheetData>
    <row r="1" spans="1:27" s="13" customFormat="1" ht="12" customHeight="1" x14ac:dyDescent="0.15">
      <c r="A1" s="12"/>
      <c r="B1" s="13" t="s">
        <v>108</v>
      </c>
      <c r="C1" s="12"/>
      <c r="X1" s="14"/>
    </row>
    <row r="2" spans="1:27" s="17" customFormat="1" ht="12" customHeight="1" x14ac:dyDescent="0.15">
      <c r="A2" s="15" t="s">
        <v>12</v>
      </c>
      <c r="B2" s="16" t="s">
        <v>47</v>
      </c>
      <c r="C2" s="16" t="s">
        <v>48</v>
      </c>
      <c r="D2" s="16" t="s">
        <v>50</v>
      </c>
      <c r="E2" s="16" t="s">
        <v>51</v>
      </c>
      <c r="F2" s="16" t="s">
        <v>53</v>
      </c>
      <c r="G2" s="16" t="s">
        <v>60</v>
      </c>
      <c r="H2" s="16" t="s">
        <v>61</v>
      </c>
      <c r="I2" s="16" t="s">
        <v>56</v>
      </c>
      <c r="J2" s="16" t="s">
        <v>13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107</v>
      </c>
      <c r="B3" s="19" t="s">
        <v>46</v>
      </c>
      <c r="C3" s="19" t="s">
        <v>49</v>
      </c>
      <c r="D3" s="19" t="s">
        <v>49</v>
      </c>
      <c r="E3" s="19" t="s">
        <v>46</v>
      </c>
      <c r="F3" s="19" t="s">
        <v>46</v>
      </c>
      <c r="G3" s="19" t="s">
        <v>59</v>
      </c>
      <c r="H3" s="19" t="s">
        <v>59</v>
      </c>
      <c r="I3" s="19" t="s">
        <v>46</v>
      </c>
      <c r="J3" s="19" t="s">
        <v>13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42</v>
      </c>
      <c r="B4" s="3" t="s">
        <v>43</v>
      </c>
      <c r="C4" s="3" t="s">
        <v>44</v>
      </c>
      <c r="D4" s="3" t="s">
        <v>54</v>
      </c>
      <c r="E4" s="3" t="s">
        <v>45</v>
      </c>
      <c r="F4" s="3" t="s">
        <v>52</v>
      </c>
      <c r="G4" s="3" t="s">
        <v>86</v>
      </c>
      <c r="H4" s="3" t="s">
        <v>87</v>
      </c>
      <c r="I4" s="3" t="s">
        <v>55</v>
      </c>
      <c r="J4" t="s">
        <v>31</v>
      </c>
    </row>
    <row r="5" spans="1:27" x14ac:dyDescent="0.15">
      <c r="A5" s="6">
        <f>IF(表3[[#This Row],[所属分页]]=B4,A4+1,表3[[#This Row],[所属分页]]*1000+1)</f>
        <v>1001</v>
      </c>
      <c r="B5" s="6">
        <v>1</v>
      </c>
      <c r="C5" s="3" t="s">
        <v>57</v>
      </c>
      <c r="D5" s="3" t="s">
        <v>97</v>
      </c>
      <c r="E5" s="6">
        <v>100</v>
      </c>
      <c r="F5" s="6">
        <v>1000</v>
      </c>
      <c r="G5" s="6">
        <f t="shared" ref="G5:G20" si="0">(ROW()-5)*2+1</f>
        <v>1</v>
      </c>
      <c r="H5" s="6">
        <f t="shared" ref="H5:H20" si="1">(ROW()-4)*2</f>
        <v>2</v>
      </c>
      <c r="I5" s="6">
        <v>1</v>
      </c>
      <c r="J5" s="3" t="s">
        <v>62</v>
      </c>
    </row>
    <row r="6" spans="1:27" x14ac:dyDescent="0.15">
      <c r="A6" s="6">
        <f>IF(表3[[#This Row],[所属分页]]=B5,A5+1,表3[[#This Row],[所属分页]]*1000+1)</f>
        <v>1002</v>
      </c>
      <c r="B6" s="6">
        <v>1</v>
      </c>
      <c r="C6" s="3" t="s">
        <v>58</v>
      </c>
      <c r="D6" s="3" t="s">
        <v>110</v>
      </c>
      <c r="E6" s="6">
        <v>100</v>
      </c>
      <c r="F6" s="6">
        <v>1000</v>
      </c>
      <c r="G6" s="6">
        <f t="shared" si="0"/>
        <v>3</v>
      </c>
      <c r="H6" s="6">
        <f t="shared" si="1"/>
        <v>4</v>
      </c>
      <c r="I6" s="6">
        <v>1</v>
      </c>
      <c r="J6" s="3" t="s">
        <v>63</v>
      </c>
    </row>
    <row r="7" spans="1:27" x14ac:dyDescent="0.15">
      <c r="A7" s="6">
        <f>IF(表3[[#This Row],[所属分页]]=B6,A6+1,表3[[#This Row],[所属分页]]*1000+1)</f>
        <v>1003</v>
      </c>
      <c r="B7" s="6">
        <v>1</v>
      </c>
      <c r="C7" s="3" t="s">
        <v>72</v>
      </c>
      <c r="D7" s="3" t="s">
        <v>110</v>
      </c>
      <c r="E7" s="6">
        <v>100</v>
      </c>
      <c r="F7" s="6">
        <v>1000</v>
      </c>
      <c r="G7" s="6">
        <f t="shared" si="0"/>
        <v>5</v>
      </c>
      <c r="H7" s="6">
        <f t="shared" si="1"/>
        <v>6</v>
      </c>
      <c r="I7" s="6">
        <v>1</v>
      </c>
      <c r="J7" s="3" t="s">
        <v>64</v>
      </c>
    </row>
    <row r="8" spans="1:27" x14ac:dyDescent="0.15">
      <c r="A8" s="6">
        <f>IF(表3[[#This Row],[所属分页]]=B7,A7+1,表3[[#This Row],[所属分页]]*1000+1)</f>
        <v>1004</v>
      </c>
      <c r="B8" s="6">
        <v>1</v>
      </c>
      <c r="C8" s="3" t="s">
        <v>73</v>
      </c>
      <c r="D8" s="3" t="s">
        <v>111</v>
      </c>
      <c r="E8" s="6">
        <v>100</v>
      </c>
      <c r="F8" s="6">
        <v>1000</v>
      </c>
      <c r="G8" s="6">
        <f t="shared" si="0"/>
        <v>7</v>
      </c>
      <c r="H8" s="6">
        <f t="shared" si="1"/>
        <v>8</v>
      </c>
      <c r="I8" s="6">
        <v>1</v>
      </c>
      <c r="J8" s="3" t="s">
        <v>65</v>
      </c>
    </row>
    <row r="9" spans="1:27" x14ac:dyDescent="0.15">
      <c r="A9" s="6">
        <f>IF(表3[[#This Row],[所属分页]]=B8,A8+1,表3[[#This Row],[所属分页]]*1000+1)</f>
        <v>1005</v>
      </c>
      <c r="B9" s="6">
        <v>1</v>
      </c>
      <c r="C9" s="3" t="s">
        <v>74</v>
      </c>
      <c r="D9" s="3" t="s">
        <v>112</v>
      </c>
      <c r="E9" s="6">
        <v>100</v>
      </c>
      <c r="F9" s="6">
        <v>1000</v>
      </c>
      <c r="G9" s="6">
        <f t="shared" si="0"/>
        <v>9</v>
      </c>
      <c r="H9" s="6">
        <f t="shared" si="1"/>
        <v>10</v>
      </c>
      <c r="I9" s="6">
        <v>1</v>
      </c>
      <c r="J9" s="3" t="s">
        <v>66</v>
      </c>
    </row>
    <row r="10" spans="1:27" x14ac:dyDescent="0.15">
      <c r="A10" s="6">
        <f>IF(表3[[#This Row],[所属分页]]=B9,A9+1,表3[[#This Row],[所属分页]]*1000+1)</f>
        <v>2001</v>
      </c>
      <c r="B10" s="3">
        <v>2</v>
      </c>
      <c r="C10" s="3" t="s">
        <v>75</v>
      </c>
      <c r="D10" s="3" t="s">
        <v>100</v>
      </c>
      <c r="E10" s="6">
        <v>100</v>
      </c>
      <c r="F10" s="6">
        <v>1000</v>
      </c>
      <c r="G10" s="6">
        <f t="shared" si="0"/>
        <v>11</v>
      </c>
      <c r="H10" s="6">
        <f t="shared" si="1"/>
        <v>12</v>
      </c>
      <c r="I10" s="6">
        <v>1</v>
      </c>
      <c r="J10" t="s">
        <v>71</v>
      </c>
    </row>
    <row r="11" spans="1:27" x14ac:dyDescent="0.15">
      <c r="A11" s="6">
        <f>IF(表3[[#This Row],[所属分页]]=B10,A10+1,表3[[#This Row],[所属分页]]*1000+1)</f>
        <v>2002</v>
      </c>
      <c r="B11" s="3">
        <v>2</v>
      </c>
      <c r="C11" s="3" t="s">
        <v>76</v>
      </c>
      <c r="D11" s="3" t="s">
        <v>101</v>
      </c>
      <c r="E11" s="6">
        <v>100</v>
      </c>
      <c r="F11" s="6">
        <v>1000</v>
      </c>
      <c r="G11" s="6">
        <f t="shared" si="0"/>
        <v>13</v>
      </c>
      <c r="H11" s="6">
        <f t="shared" si="1"/>
        <v>14</v>
      </c>
      <c r="I11" s="6">
        <v>1</v>
      </c>
      <c r="J11" t="s">
        <v>70</v>
      </c>
    </row>
    <row r="12" spans="1:27" x14ac:dyDescent="0.15">
      <c r="A12" s="6">
        <f>IF(表3[[#This Row],[所属分页]]=B11,A11+1,表3[[#This Row],[所属分页]]*1000+1)</f>
        <v>2003</v>
      </c>
      <c r="B12" s="3">
        <v>2</v>
      </c>
      <c r="C12" s="3" t="s">
        <v>77</v>
      </c>
      <c r="D12" s="3" t="s">
        <v>102</v>
      </c>
      <c r="E12" s="6">
        <v>100</v>
      </c>
      <c r="F12" s="6">
        <v>1000</v>
      </c>
      <c r="G12" s="6">
        <f t="shared" si="0"/>
        <v>15</v>
      </c>
      <c r="H12" s="6">
        <f t="shared" si="1"/>
        <v>16</v>
      </c>
      <c r="I12" s="6">
        <v>1</v>
      </c>
      <c r="J12" s="3" t="s">
        <v>67</v>
      </c>
    </row>
    <row r="13" spans="1:27" x14ac:dyDescent="0.15">
      <c r="A13" s="6">
        <f>IF(表3[[#This Row],[所属分页]]=B12,A12+1,表3[[#This Row],[所属分页]]*1000+1)</f>
        <v>2004</v>
      </c>
      <c r="B13" s="3">
        <v>2</v>
      </c>
      <c r="C13" s="3" t="s">
        <v>78</v>
      </c>
      <c r="D13" s="3" t="s">
        <v>103</v>
      </c>
      <c r="E13" s="6">
        <v>100</v>
      </c>
      <c r="F13" s="6">
        <v>1000</v>
      </c>
      <c r="G13" s="6">
        <f t="shared" si="0"/>
        <v>17</v>
      </c>
      <c r="H13" s="6">
        <f t="shared" si="1"/>
        <v>18</v>
      </c>
      <c r="I13" s="6">
        <v>1</v>
      </c>
      <c r="J13" s="3" t="s">
        <v>68</v>
      </c>
    </row>
    <row r="14" spans="1:27" x14ac:dyDescent="0.15">
      <c r="A14" s="6">
        <f>IF(表3[[#This Row],[所属分页]]=B13,A13+1,表3[[#This Row],[所属分页]]*1000+1)</f>
        <v>2005</v>
      </c>
      <c r="B14" s="3">
        <v>2</v>
      </c>
      <c r="C14" s="3" t="s">
        <v>79</v>
      </c>
      <c r="D14" s="3" t="s">
        <v>104</v>
      </c>
      <c r="E14" s="6">
        <v>100</v>
      </c>
      <c r="F14" s="6">
        <v>1000</v>
      </c>
      <c r="G14" s="6">
        <f t="shared" si="0"/>
        <v>19</v>
      </c>
      <c r="H14" s="6">
        <f t="shared" si="1"/>
        <v>20</v>
      </c>
      <c r="I14" s="6">
        <v>1</v>
      </c>
      <c r="J14" t="s">
        <v>69</v>
      </c>
    </row>
    <row r="15" spans="1:27" x14ac:dyDescent="0.15">
      <c r="A15" s="6">
        <f>IF(表3[[#This Row],[所属分页]]=B14,A14+1,表3[[#This Row],[所属分页]]*1000+1)</f>
        <v>3001</v>
      </c>
      <c r="B15">
        <v>3</v>
      </c>
      <c r="C15" s="3" t="s">
        <v>83</v>
      </c>
      <c r="D15" t="s">
        <v>105</v>
      </c>
      <c r="E15" s="6">
        <v>100</v>
      </c>
      <c r="F15" s="6">
        <v>1000</v>
      </c>
      <c r="G15" s="10">
        <f t="shared" si="0"/>
        <v>21</v>
      </c>
      <c r="H15" s="10">
        <f t="shared" si="1"/>
        <v>22</v>
      </c>
      <c r="I15" s="3">
        <v>0</v>
      </c>
    </row>
    <row r="16" spans="1:27" x14ac:dyDescent="0.15">
      <c r="A16" s="6">
        <f>IF(表3[[#This Row],[所属分页]]=B15,A15+1,表3[[#This Row],[所属分页]]*1000+1)</f>
        <v>3002</v>
      </c>
      <c r="B16">
        <v>3</v>
      </c>
      <c r="C16" s="3" t="s">
        <v>84</v>
      </c>
      <c r="D16" t="s">
        <v>105</v>
      </c>
      <c r="E16" s="6">
        <v>100</v>
      </c>
      <c r="F16" s="6">
        <v>1000</v>
      </c>
      <c r="G16" s="10">
        <f t="shared" si="0"/>
        <v>23</v>
      </c>
      <c r="H16" s="10">
        <f t="shared" si="1"/>
        <v>24</v>
      </c>
      <c r="I16" s="3">
        <v>0</v>
      </c>
    </row>
    <row r="17" spans="1:9" x14ac:dyDescent="0.15">
      <c r="A17" s="6">
        <f>IF(表3[[#This Row],[所属分页]]=B16,A16+1,表3[[#This Row],[所属分页]]*1000+1)</f>
        <v>3003</v>
      </c>
      <c r="B17">
        <v>3</v>
      </c>
      <c r="C17" s="3" t="s">
        <v>85</v>
      </c>
      <c r="D17" t="s">
        <v>105</v>
      </c>
      <c r="E17" s="6">
        <v>100</v>
      </c>
      <c r="F17" s="6">
        <v>1000</v>
      </c>
      <c r="G17" s="10">
        <f t="shared" si="0"/>
        <v>25</v>
      </c>
      <c r="H17" s="10">
        <f t="shared" si="1"/>
        <v>26</v>
      </c>
      <c r="I17" s="3">
        <v>0</v>
      </c>
    </row>
    <row r="18" spans="1:9" x14ac:dyDescent="0.15">
      <c r="A18" s="11">
        <f>IF(表3[[#This Row],[所属分页]]=B17,A17+1,表3[[#This Row],[所属分页]]*1000+1)</f>
        <v>3004</v>
      </c>
      <c r="B18">
        <v>3</v>
      </c>
      <c r="C18" s="3" t="s">
        <v>80</v>
      </c>
      <c r="D18" t="s">
        <v>106</v>
      </c>
      <c r="E18" s="6">
        <v>100</v>
      </c>
      <c r="F18" s="3">
        <v>1000</v>
      </c>
      <c r="G18" s="10">
        <f t="shared" si="0"/>
        <v>27</v>
      </c>
      <c r="H18" s="10">
        <f t="shared" si="1"/>
        <v>28</v>
      </c>
      <c r="I18" s="3">
        <v>0</v>
      </c>
    </row>
    <row r="19" spans="1:9" x14ac:dyDescent="0.15">
      <c r="A19" s="11">
        <f>IF(表3[[#This Row],[所属分页]]=B18,A18+1,表3[[#This Row],[所属分页]]*1000+1)</f>
        <v>3005</v>
      </c>
      <c r="B19">
        <v>3</v>
      </c>
      <c r="C19" s="3" t="s">
        <v>81</v>
      </c>
      <c r="D19" t="s">
        <v>106</v>
      </c>
      <c r="E19" s="6">
        <v>100</v>
      </c>
      <c r="F19" s="3">
        <v>1000</v>
      </c>
      <c r="G19" s="10">
        <f t="shared" si="0"/>
        <v>29</v>
      </c>
      <c r="H19" s="10">
        <f t="shared" si="1"/>
        <v>30</v>
      </c>
      <c r="I19" s="3">
        <v>0</v>
      </c>
    </row>
    <row r="20" spans="1:9" x14ac:dyDescent="0.15">
      <c r="A20" s="11">
        <f>IF(表3[[#This Row],[所属分页]]=B19,A19+1,表3[[#This Row],[所属分页]]*1000+1)</f>
        <v>3006</v>
      </c>
      <c r="B20">
        <v>3</v>
      </c>
      <c r="C20" s="3" t="s">
        <v>82</v>
      </c>
      <c r="D20" t="s">
        <v>106</v>
      </c>
      <c r="E20" s="6">
        <v>100</v>
      </c>
      <c r="F20" s="3">
        <v>1000</v>
      </c>
      <c r="G20" s="10">
        <f t="shared" si="0"/>
        <v>31</v>
      </c>
      <c r="H20" s="10">
        <f t="shared" si="1"/>
        <v>32</v>
      </c>
      <c r="I20" s="3">
        <v>0</v>
      </c>
    </row>
  </sheetData>
  <phoneticPr fontId="4" type="noConversion"/>
  <dataValidations count="3">
    <dataValidation allowBlank="1" showInputMessage="1" showErrorMessage="1" promptTitle="0不重复" prompt="1重复" sqref="D4" xr:uid="{00000000-0002-0000-0100-000000000000}"/>
    <dataValidation allowBlank="1" showInputMessage="1" showErrorMessage="1" prompt="不要修改" sqref="G4:H4" xr:uid="{00000000-0002-0000-0100-000001000000}"/>
    <dataValidation allowBlank="1" showInputMessage="1" showErrorMessage="1" promptTitle="版本&quot;,&quot;分割————————————" prompt="如果是所有版本，则填ALL" sqref="B1" xr:uid="{643655E3-0A3D-45D4-94F8-3C645228AEC7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23EF-F6A2-449A-86C6-78087E3872E2}">
  <sheetPr codeName="Sheet3"/>
  <dimension ref="A1:AA24"/>
  <sheetViews>
    <sheetView workbookViewId="0">
      <selection activeCell="D5" sqref="D5"/>
    </sheetView>
  </sheetViews>
  <sheetFormatPr defaultColWidth="9" defaultRowHeight="13.5" x14ac:dyDescent="0.15"/>
  <cols>
    <col min="1" max="1" width="9" customWidth="1"/>
    <col min="2" max="2" width="10.5" bestFit="1" customWidth="1"/>
    <col min="3" max="3" width="15.125" bestFit="1" customWidth="1"/>
    <col min="4" max="4" width="17.25" bestFit="1" customWidth="1"/>
    <col min="5" max="5" width="10.5" bestFit="1" customWidth="1"/>
    <col min="6" max="6" width="10.5" customWidth="1"/>
    <col min="7" max="7" width="16.375" bestFit="1" customWidth="1"/>
    <col min="8" max="8" width="17.5" bestFit="1" customWidth="1"/>
    <col min="9" max="9" width="10.5" customWidth="1"/>
    <col min="10" max="10" width="17.375" customWidth="1"/>
  </cols>
  <sheetData>
    <row r="1" spans="1:27" s="13" customFormat="1" ht="12" customHeight="1" x14ac:dyDescent="0.15">
      <c r="A1" s="12"/>
      <c r="B1" s="13" t="s">
        <v>109</v>
      </c>
      <c r="C1" s="12"/>
      <c r="X1" s="14"/>
    </row>
    <row r="2" spans="1:27" s="17" customFormat="1" ht="12" customHeight="1" x14ac:dyDescent="0.15">
      <c r="A2" s="15" t="s">
        <v>12</v>
      </c>
      <c r="B2" s="16" t="s">
        <v>47</v>
      </c>
      <c r="C2" s="16" t="s">
        <v>48</v>
      </c>
      <c r="D2" s="16" t="s">
        <v>50</v>
      </c>
      <c r="E2" s="16" t="s">
        <v>51</v>
      </c>
      <c r="F2" s="16" t="s">
        <v>53</v>
      </c>
      <c r="G2" s="16" t="s">
        <v>60</v>
      </c>
      <c r="H2" s="16" t="s">
        <v>61</v>
      </c>
      <c r="I2" s="16" t="s">
        <v>56</v>
      </c>
      <c r="J2" s="16" t="s">
        <v>13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107</v>
      </c>
      <c r="B3" s="19" t="s">
        <v>46</v>
      </c>
      <c r="C3" s="19" t="s">
        <v>49</v>
      </c>
      <c r="D3" s="19" t="s">
        <v>49</v>
      </c>
      <c r="E3" s="19" t="s">
        <v>46</v>
      </c>
      <c r="F3" s="19" t="s">
        <v>46</v>
      </c>
      <c r="G3" s="19" t="s">
        <v>46</v>
      </c>
      <c r="H3" s="19" t="s">
        <v>46</v>
      </c>
      <c r="I3" s="19" t="s">
        <v>46</v>
      </c>
      <c r="J3" s="19" t="s">
        <v>13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42</v>
      </c>
      <c r="B4" s="3" t="s">
        <v>43</v>
      </c>
      <c r="C4" s="3" t="s">
        <v>44</v>
      </c>
      <c r="D4" s="3" t="s">
        <v>54</v>
      </c>
      <c r="E4" s="3" t="s">
        <v>45</v>
      </c>
      <c r="F4" s="3" t="s">
        <v>52</v>
      </c>
      <c r="G4" s="3" t="s">
        <v>86</v>
      </c>
      <c r="H4" s="3" t="s">
        <v>87</v>
      </c>
      <c r="I4" s="3" t="s">
        <v>55</v>
      </c>
      <c r="J4" t="s">
        <v>31</v>
      </c>
    </row>
    <row r="5" spans="1:27" x14ac:dyDescent="0.15">
      <c r="A5" s="3">
        <f>IF(表3_2[[#This Row],[所属分页]]=B4,A4+1,表3_2[[#This Row],[所属分页]]*1000+1)</f>
        <v>1001</v>
      </c>
      <c r="B5" s="3">
        <v>1</v>
      </c>
      <c r="C5" s="3" t="s">
        <v>88</v>
      </c>
      <c r="D5" s="3" t="s">
        <v>97</v>
      </c>
      <c r="E5" s="3">
        <v>100</v>
      </c>
      <c r="F5" s="3">
        <v>1000</v>
      </c>
      <c r="G5" s="3">
        <f t="shared" ref="G5:G24" si="0">(ROW()-5)*2+1</f>
        <v>1</v>
      </c>
      <c r="H5" s="3">
        <f t="shared" ref="H5:H24" si="1">(ROW()-4)*2</f>
        <v>2</v>
      </c>
      <c r="I5" s="3">
        <v>1</v>
      </c>
      <c r="J5" s="3" t="s">
        <v>62</v>
      </c>
    </row>
    <row r="6" spans="1:27" x14ac:dyDescent="0.15">
      <c r="A6" s="3">
        <f>IF(表3_2[[#This Row],[所属分页]]=B5,A5+1,表3_2[[#This Row],[所属分页]]*1000+1)</f>
        <v>1002</v>
      </c>
      <c r="B6" s="3">
        <v>1</v>
      </c>
      <c r="C6" s="3" t="s">
        <v>89</v>
      </c>
      <c r="D6" s="3" t="s">
        <v>98</v>
      </c>
      <c r="E6" s="3">
        <v>100</v>
      </c>
      <c r="F6" s="3">
        <v>1000</v>
      </c>
      <c r="G6" s="3">
        <f t="shared" si="0"/>
        <v>3</v>
      </c>
      <c r="H6" s="3">
        <f t="shared" si="1"/>
        <v>4</v>
      </c>
      <c r="I6" s="3">
        <v>1</v>
      </c>
      <c r="J6" s="3" t="s">
        <v>63</v>
      </c>
    </row>
    <row r="7" spans="1:27" x14ac:dyDescent="0.15">
      <c r="A7" s="3">
        <f>IF(表3_2[[#This Row],[所属分页]]=B6,A6+1,表3_2[[#This Row],[所属分页]]*1000+1)</f>
        <v>1003</v>
      </c>
      <c r="B7" s="3">
        <v>1</v>
      </c>
      <c r="C7" s="3" t="s">
        <v>90</v>
      </c>
      <c r="D7" s="3" t="s">
        <v>99</v>
      </c>
      <c r="E7" s="3">
        <v>100</v>
      </c>
      <c r="F7" s="3">
        <v>1000</v>
      </c>
      <c r="G7" s="3">
        <f t="shared" si="0"/>
        <v>5</v>
      </c>
      <c r="H7" s="3">
        <f t="shared" si="1"/>
        <v>6</v>
      </c>
      <c r="I7" s="3">
        <v>1</v>
      </c>
      <c r="J7" s="3" t="s">
        <v>64</v>
      </c>
    </row>
    <row r="8" spans="1:27" x14ac:dyDescent="0.15">
      <c r="A8" s="3">
        <f>IF(表3_2[[#This Row],[所属分页]]=B7,A7+1,表3_2[[#This Row],[所属分页]]*1000+1)</f>
        <v>1004</v>
      </c>
      <c r="B8" s="3">
        <v>1</v>
      </c>
      <c r="C8" s="3" t="s">
        <v>91</v>
      </c>
      <c r="D8" s="3" t="s">
        <v>97</v>
      </c>
      <c r="E8" s="3">
        <v>100</v>
      </c>
      <c r="F8" s="3">
        <v>1000</v>
      </c>
      <c r="G8" s="3">
        <f t="shared" si="0"/>
        <v>7</v>
      </c>
      <c r="H8" s="3">
        <f t="shared" si="1"/>
        <v>8</v>
      </c>
      <c r="I8" s="3">
        <v>1</v>
      </c>
      <c r="J8" s="3" t="s">
        <v>65</v>
      </c>
    </row>
    <row r="9" spans="1:27" x14ac:dyDescent="0.15">
      <c r="A9" s="3">
        <f>IF(表3_2[[#This Row],[所属分页]]=B8,A8+1,表3_2[[#This Row],[所属分页]]*1000+1)</f>
        <v>1005</v>
      </c>
      <c r="B9" s="3">
        <v>1</v>
      </c>
      <c r="C9" s="3" t="s">
        <v>92</v>
      </c>
      <c r="D9" s="3" t="s">
        <v>98</v>
      </c>
      <c r="E9" s="3">
        <v>100</v>
      </c>
      <c r="F9" s="3">
        <v>1000</v>
      </c>
      <c r="G9" s="3">
        <f t="shared" si="0"/>
        <v>9</v>
      </c>
      <c r="H9" s="3">
        <f t="shared" si="1"/>
        <v>10</v>
      </c>
      <c r="I9" s="3">
        <v>1</v>
      </c>
      <c r="J9" s="3" t="s">
        <v>66</v>
      </c>
    </row>
    <row r="10" spans="1:27" x14ac:dyDescent="0.15">
      <c r="A10" s="3">
        <f>IF(表3_2[[#This Row],[所属分页]]=B9,A9+1,表3_2[[#This Row],[所属分页]]*1000+1)</f>
        <v>1006</v>
      </c>
      <c r="B10" s="3">
        <v>1</v>
      </c>
      <c r="C10" s="3" t="s">
        <v>93</v>
      </c>
      <c r="D10" s="3" t="s">
        <v>99</v>
      </c>
      <c r="E10" s="3">
        <v>100</v>
      </c>
      <c r="F10" s="3">
        <v>1000</v>
      </c>
      <c r="G10" s="3">
        <f t="shared" si="0"/>
        <v>11</v>
      </c>
      <c r="H10" s="3">
        <f t="shared" si="1"/>
        <v>12</v>
      </c>
      <c r="I10" s="3">
        <v>1</v>
      </c>
      <c r="J10" s="3" t="s">
        <v>66</v>
      </c>
    </row>
    <row r="11" spans="1:27" x14ac:dyDescent="0.15">
      <c r="A11" s="3">
        <f>IF(表3_2[[#This Row],[所属分页]]=B10,A10+1,表3_2[[#This Row],[所属分页]]*1000+1)</f>
        <v>1007</v>
      </c>
      <c r="B11" s="3">
        <v>1</v>
      </c>
      <c r="C11" s="3" t="s">
        <v>94</v>
      </c>
      <c r="D11" s="3" t="s">
        <v>97</v>
      </c>
      <c r="E11" s="3">
        <v>100</v>
      </c>
      <c r="F11" s="3">
        <v>1000</v>
      </c>
      <c r="G11" s="3">
        <f t="shared" si="0"/>
        <v>13</v>
      </c>
      <c r="H11" s="3">
        <f t="shared" si="1"/>
        <v>14</v>
      </c>
      <c r="I11" s="3">
        <v>1</v>
      </c>
      <c r="J11" s="3" t="s">
        <v>66</v>
      </c>
    </row>
    <row r="12" spans="1:27" x14ac:dyDescent="0.15">
      <c r="A12" s="3">
        <f>IF(表3_2[[#This Row],[所属分页]]=B11,A11+1,表3_2[[#This Row],[所属分页]]*1000+1)</f>
        <v>1008</v>
      </c>
      <c r="B12" s="3">
        <v>1</v>
      </c>
      <c r="C12" s="3" t="s">
        <v>95</v>
      </c>
      <c r="D12" s="3" t="s">
        <v>98</v>
      </c>
      <c r="E12" s="3">
        <v>100</v>
      </c>
      <c r="F12" s="3">
        <v>1000</v>
      </c>
      <c r="G12" s="3">
        <f t="shared" si="0"/>
        <v>15</v>
      </c>
      <c r="H12" s="3">
        <f t="shared" si="1"/>
        <v>16</v>
      </c>
      <c r="I12" s="3">
        <v>1</v>
      </c>
      <c r="J12" s="3" t="s">
        <v>66</v>
      </c>
    </row>
    <row r="13" spans="1:27" x14ac:dyDescent="0.15">
      <c r="A13" s="3">
        <f>IF(表3_2[[#This Row],[所属分页]]=B12,A12+1,表3_2[[#This Row],[所属分页]]*1000+1)</f>
        <v>1009</v>
      </c>
      <c r="B13" s="3">
        <v>1</v>
      </c>
      <c r="C13" s="3" t="s">
        <v>96</v>
      </c>
      <c r="D13" s="3" t="s">
        <v>99</v>
      </c>
      <c r="E13" s="3">
        <v>100</v>
      </c>
      <c r="F13" s="3">
        <v>1000</v>
      </c>
      <c r="G13" s="3">
        <f t="shared" si="0"/>
        <v>17</v>
      </c>
      <c r="H13" s="3">
        <f t="shared" si="1"/>
        <v>18</v>
      </c>
      <c r="I13" s="3">
        <v>1</v>
      </c>
      <c r="J13" s="3" t="s">
        <v>66</v>
      </c>
    </row>
    <row r="14" spans="1:27" x14ac:dyDescent="0.15">
      <c r="A14" s="3">
        <f>IF(表3_2[[#This Row],[所属分页]]=B13,A13+1,表3_2[[#This Row],[所属分页]]*1000+1)</f>
        <v>2001</v>
      </c>
      <c r="B14" s="3">
        <v>2</v>
      </c>
      <c r="C14" s="3" t="s">
        <v>75</v>
      </c>
      <c r="D14" s="3" t="s">
        <v>100</v>
      </c>
      <c r="E14" s="3">
        <v>100</v>
      </c>
      <c r="F14" s="3">
        <v>1000</v>
      </c>
      <c r="G14" s="3">
        <f t="shared" si="0"/>
        <v>19</v>
      </c>
      <c r="H14" s="3">
        <f t="shared" si="1"/>
        <v>20</v>
      </c>
      <c r="I14" s="3">
        <v>1</v>
      </c>
      <c r="J14" t="s">
        <v>71</v>
      </c>
    </row>
    <row r="15" spans="1:27" x14ac:dyDescent="0.15">
      <c r="A15" s="3">
        <f>IF(表3_2[[#This Row],[所属分页]]=B14,A14+1,表3_2[[#This Row],[所属分页]]*1000+1)</f>
        <v>2002</v>
      </c>
      <c r="B15" s="3">
        <v>2</v>
      </c>
      <c r="C15" s="3" t="s">
        <v>76</v>
      </c>
      <c r="D15" s="3" t="s">
        <v>101</v>
      </c>
      <c r="E15" s="3">
        <v>100</v>
      </c>
      <c r="F15" s="3">
        <v>1000</v>
      </c>
      <c r="G15" s="3">
        <f t="shared" si="0"/>
        <v>21</v>
      </c>
      <c r="H15" s="3">
        <f t="shared" si="1"/>
        <v>22</v>
      </c>
      <c r="I15" s="3">
        <v>1</v>
      </c>
      <c r="J15" t="s">
        <v>70</v>
      </c>
    </row>
    <row r="16" spans="1:27" x14ac:dyDescent="0.15">
      <c r="A16" s="3">
        <f>IF(表3_2[[#This Row],[所属分页]]=B15,A15+1,表3_2[[#This Row],[所属分页]]*1000+1)</f>
        <v>2003</v>
      </c>
      <c r="B16" s="3">
        <v>2</v>
      </c>
      <c r="C16" s="3" t="s">
        <v>77</v>
      </c>
      <c r="D16" s="3" t="s">
        <v>102</v>
      </c>
      <c r="E16" s="3">
        <v>100</v>
      </c>
      <c r="F16" s="3">
        <v>1000</v>
      </c>
      <c r="G16" s="3">
        <f t="shared" si="0"/>
        <v>23</v>
      </c>
      <c r="H16" s="3">
        <f t="shared" si="1"/>
        <v>24</v>
      </c>
      <c r="I16" s="3">
        <v>1</v>
      </c>
      <c r="J16" s="3" t="s">
        <v>67</v>
      </c>
    </row>
    <row r="17" spans="1:10" x14ac:dyDescent="0.15">
      <c r="A17" s="3">
        <f>IF(表3_2[[#This Row],[所属分页]]=B16,A16+1,表3_2[[#This Row],[所属分页]]*1000+1)</f>
        <v>2004</v>
      </c>
      <c r="B17" s="3">
        <v>2</v>
      </c>
      <c r="C17" s="3" t="s">
        <v>78</v>
      </c>
      <c r="D17" s="3" t="s">
        <v>103</v>
      </c>
      <c r="E17" s="3">
        <v>100</v>
      </c>
      <c r="F17" s="3">
        <v>1000</v>
      </c>
      <c r="G17" s="3">
        <f t="shared" si="0"/>
        <v>25</v>
      </c>
      <c r="H17" s="3">
        <f t="shared" si="1"/>
        <v>26</v>
      </c>
      <c r="I17" s="3">
        <v>1</v>
      </c>
      <c r="J17" s="3" t="s">
        <v>68</v>
      </c>
    </row>
    <row r="18" spans="1:10" x14ac:dyDescent="0.15">
      <c r="A18" s="3">
        <f>IF(表3_2[[#This Row],[所属分页]]=B17,A17+1,表3_2[[#This Row],[所属分页]]*1000+1)</f>
        <v>2005</v>
      </c>
      <c r="B18" s="3">
        <v>2</v>
      </c>
      <c r="C18" s="3" t="s">
        <v>79</v>
      </c>
      <c r="D18" s="3" t="s">
        <v>104</v>
      </c>
      <c r="E18" s="3">
        <v>100</v>
      </c>
      <c r="F18" s="3">
        <v>1000</v>
      </c>
      <c r="G18" s="3">
        <f t="shared" si="0"/>
        <v>27</v>
      </c>
      <c r="H18" s="3">
        <f t="shared" si="1"/>
        <v>28</v>
      </c>
      <c r="I18" s="3">
        <v>1</v>
      </c>
      <c r="J18" t="s">
        <v>69</v>
      </c>
    </row>
    <row r="19" spans="1:10" x14ac:dyDescent="0.15">
      <c r="A19" s="3">
        <f>IF(表3_2[[#This Row],[所属分页]]=B18,A18+1,表3_2[[#This Row],[所属分页]]*1000+1)</f>
        <v>3001</v>
      </c>
      <c r="B19">
        <v>3</v>
      </c>
      <c r="C19" s="3" t="s">
        <v>83</v>
      </c>
      <c r="D19" t="s">
        <v>105</v>
      </c>
      <c r="E19" s="3">
        <v>100</v>
      </c>
      <c r="F19" s="3">
        <v>1000</v>
      </c>
      <c r="G19" s="10">
        <f t="shared" si="0"/>
        <v>29</v>
      </c>
      <c r="H19" s="10">
        <f t="shared" si="1"/>
        <v>30</v>
      </c>
      <c r="I19" s="3">
        <v>0</v>
      </c>
    </row>
    <row r="20" spans="1:10" x14ac:dyDescent="0.15">
      <c r="A20" s="3">
        <f>IF(表3_2[[#This Row],[所属分页]]=B19,A19+1,表3_2[[#This Row],[所属分页]]*1000+1)</f>
        <v>3002</v>
      </c>
      <c r="B20">
        <v>3</v>
      </c>
      <c r="C20" s="3" t="s">
        <v>84</v>
      </c>
      <c r="D20" t="s">
        <v>105</v>
      </c>
      <c r="E20" s="3">
        <v>100</v>
      </c>
      <c r="F20" s="3">
        <v>1000</v>
      </c>
      <c r="G20" s="10">
        <f t="shared" si="0"/>
        <v>31</v>
      </c>
      <c r="H20" s="10">
        <f t="shared" si="1"/>
        <v>32</v>
      </c>
      <c r="I20" s="3">
        <v>0</v>
      </c>
    </row>
    <row r="21" spans="1:10" x14ac:dyDescent="0.15">
      <c r="A21" s="3">
        <f>IF(表3_2[[#This Row],[所属分页]]=B20,A20+1,表3_2[[#This Row],[所属分页]]*1000+1)</f>
        <v>3003</v>
      </c>
      <c r="B21">
        <v>3</v>
      </c>
      <c r="C21" s="3" t="s">
        <v>85</v>
      </c>
      <c r="D21" t="s">
        <v>105</v>
      </c>
      <c r="E21" s="3">
        <v>100</v>
      </c>
      <c r="F21" s="3">
        <v>1000</v>
      </c>
      <c r="G21" s="10">
        <f t="shared" si="0"/>
        <v>33</v>
      </c>
      <c r="H21" s="10">
        <f t="shared" si="1"/>
        <v>34</v>
      </c>
      <c r="I21" s="3">
        <v>0</v>
      </c>
    </row>
    <row r="22" spans="1:10" x14ac:dyDescent="0.15">
      <c r="A22" s="3">
        <f>IF(表3_2[[#This Row],[所属分页]]=B21,A21+1,表3_2[[#This Row],[所属分页]]*1000+1)</f>
        <v>3004</v>
      </c>
      <c r="B22">
        <v>3</v>
      </c>
      <c r="C22" s="3" t="s">
        <v>80</v>
      </c>
      <c r="D22" t="s">
        <v>106</v>
      </c>
      <c r="E22" s="3">
        <v>100</v>
      </c>
      <c r="F22" s="3">
        <v>1000</v>
      </c>
      <c r="G22" s="10">
        <f t="shared" si="0"/>
        <v>35</v>
      </c>
      <c r="H22" s="10">
        <f t="shared" si="1"/>
        <v>36</v>
      </c>
      <c r="I22" s="3">
        <v>0</v>
      </c>
    </row>
    <row r="23" spans="1:10" x14ac:dyDescent="0.15">
      <c r="A23" s="3">
        <f>IF(表3_2[[#This Row],[所属分页]]=B22,A22+1,表3_2[[#This Row],[所属分页]]*1000+1)</f>
        <v>3005</v>
      </c>
      <c r="B23">
        <v>3</v>
      </c>
      <c r="C23" s="3" t="s">
        <v>81</v>
      </c>
      <c r="D23" t="s">
        <v>106</v>
      </c>
      <c r="E23" s="3">
        <v>100</v>
      </c>
      <c r="F23" s="3">
        <v>1000</v>
      </c>
      <c r="G23" s="10">
        <f t="shared" si="0"/>
        <v>37</v>
      </c>
      <c r="H23" s="10">
        <f t="shared" si="1"/>
        <v>38</v>
      </c>
      <c r="I23" s="3">
        <v>0</v>
      </c>
    </row>
    <row r="24" spans="1:10" x14ac:dyDescent="0.15">
      <c r="A24" s="3">
        <f>IF(表3_2[[#This Row],[所属分页]]=B23,A23+1,表3_2[[#This Row],[所属分页]]*1000+1)</f>
        <v>3006</v>
      </c>
      <c r="B24">
        <v>3</v>
      </c>
      <c r="C24" s="3" t="s">
        <v>82</v>
      </c>
      <c r="D24" t="s">
        <v>106</v>
      </c>
      <c r="E24" s="3">
        <v>100</v>
      </c>
      <c r="F24" s="3">
        <v>1000</v>
      </c>
      <c r="G24" s="10">
        <f t="shared" si="0"/>
        <v>39</v>
      </c>
      <c r="H24" s="10">
        <f t="shared" si="1"/>
        <v>40</v>
      </c>
      <c r="I24" s="3">
        <v>0</v>
      </c>
    </row>
  </sheetData>
  <phoneticPr fontId="4" type="noConversion"/>
  <dataValidations count="3">
    <dataValidation allowBlank="1" showInputMessage="1" showErrorMessage="1" prompt="不要修改" sqref="G4:H4" xr:uid="{8AE9F6EB-7FB1-41C1-AECA-F9D64E57CA5E}"/>
    <dataValidation allowBlank="1" showInputMessage="1" showErrorMessage="1" promptTitle="0不重复" prompt="1重复" sqref="D4" xr:uid="{7D9B27EB-E4EE-4072-BADD-B7721953F7A6}"/>
    <dataValidation allowBlank="1" showInputMessage="1" showErrorMessage="1" promptTitle="版本&quot;,&quot;分割————————————" prompt="如果是所有版本，则填ALL" sqref="B1" xr:uid="{9E3AF385-F345-4337-925D-F08494AAD62E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2018-05-03T09:39:42Z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