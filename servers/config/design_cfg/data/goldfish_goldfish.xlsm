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22C753ED-23FA-4D7F-9E05-BA47C10932C9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3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S8" i="3" l="1"/>
  <c r="S9" i="3"/>
  <c r="S10" i="3"/>
  <c r="M7" i="3"/>
  <c r="N7" i="3"/>
  <c r="P7" i="3"/>
  <c r="Q7" i="3"/>
  <c r="R7" i="3" s="1"/>
  <c r="P8" i="3"/>
  <c r="Q8" i="3"/>
  <c r="R8" i="3"/>
  <c r="P9" i="3"/>
  <c r="Q9" i="3"/>
  <c r="R9" i="3" s="1"/>
  <c r="P10" i="3"/>
  <c r="Q10" i="3"/>
  <c r="R10" i="3" s="1"/>
  <c r="M11" i="3"/>
  <c r="O11" i="3" s="1"/>
  <c r="N11" i="3"/>
  <c r="P11" i="3"/>
  <c r="Q11" i="3"/>
  <c r="R11" i="3" s="1"/>
  <c r="M12" i="3"/>
  <c r="N12" i="3"/>
  <c r="P12" i="3"/>
  <c r="Q12" i="3"/>
  <c r="R12" i="3" s="1"/>
  <c r="O7" i="3" l="1"/>
  <c r="S11" i="3"/>
  <c r="S12" i="3"/>
  <c r="S7" i="3"/>
  <c r="O12" i="3"/>
</calcChain>
</file>

<file path=xl/sharedStrings.xml><?xml version="1.0" encoding="utf-8"?>
<sst xmlns="http://schemas.openxmlformats.org/spreadsheetml/2006/main" count="115" uniqueCount="56">
  <si>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</si>
  <si>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</si>
  <si>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</si>
  <si>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</si>
  <si>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</si>
  <si>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</si>
  <si>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</si>
  <si>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</si>
  <si>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</si>
  <si>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</si>
  <si>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fish_cfg——fish相关参数配置。</t>
  </si>
  <si>
    <t>int</t>
  </si>
  <si>
    <t>抽奖等级</t>
    <phoneticPr fontId="3" type="noConversion"/>
  </si>
  <si>
    <t>道具编号</t>
    <phoneticPr fontId="3" type="noConversion"/>
  </si>
  <si>
    <t>道具ID</t>
    <phoneticPr fontId="3" type="noConversion"/>
  </si>
  <si>
    <t>道具数量</t>
    <phoneticPr fontId="3" type="noConversion"/>
  </si>
  <si>
    <t>道具概率</t>
    <phoneticPr fontId="3" type="noConversion"/>
  </si>
  <si>
    <t>i002</t>
    <phoneticPr fontId="3" type="noConversion"/>
  </si>
  <si>
    <t>goldlevel</t>
    <phoneticPr fontId="3" type="noConversion"/>
  </si>
  <si>
    <t>item</t>
    <phoneticPr fontId="3" type="noConversion"/>
  </si>
  <si>
    <t>item_id</t>
    <phoneticPr fontId="3" type="noConversion"/>
  </si>
  <si>
    <t>item_count</t>
    <phoneticPr fontId="3" type="noConversion"/>
  </si>
  <si>
    <t>item_probability</t>
    <phoneticPr fontId="3" type="noConversion"/>
  </si>
  <si>
    <t>string</t>
    <phoneticPr fontId="3" type="noConversion"/>
  </si>
  <si>
    <t>i001</t>
    <phoneticPr fontId="3" type="noConversion"/>
  </si>
  <si>
    <t>i015</t>
    <phoneticPr fontId="3" type="noConversion"/>
  </si>
  <si>
    <t>列1</t>
  </si>
  <si>
    <t>unexport</t>
  </si>
  <si>
    <t>第几次必中</t>
    <phoneticPr fontId="3" type="noConversion"/>
  </si>
  <si>
    <t>[]</t>
    <phoneticPr fontId="3" type="noConversion"/>
  </si>
  <si>
    <t>充值</t>
    <phoneticPr fontId="3" type="noConversion"/>
  </si>
  <si>
    <t>已抽话费</t>
    <phoneticPr fontId="3" type="noConversion"/>
  </si>
  <si>
    <t>可用充值</t>
    <phoneticPr fontId="3" type="noConversion"/>
  </si>
  <si>
    <t>可用话费</t>
    <phoneticPr fontId="3" type="noConversion"/>
  </si>
  <si>
    <t>当前加成</t>
    <phoneticPr fontId="3" type="noConversion"/>
  </si>
  <si>
    <t>额度</t>
    <phoneticPr fontId="3" type="noConversion"/>
  </si>
  <si>
    <t>加成</t>
    <phoneticPr fontId="3" type="noConversion"/>
  </si>
  <si>
    <t>wintimes</t>
    <phoneticPr fontId="3" type="noConversion"/>
  </si>
  <si>
    <t>table</t>
    <phoneticPr fontId="3" type="noConversion"/>
  </si>
  <si>
    <t>i003</t>
    <phoneticPr fontId="3" type="noConversion"/>
  </si>
  <si>
    <t>i400</t>
    <phoneticPr fontId="3" type="noConversion"/>
  </si>
  <si>
    <t>[1,2,4,6,10,16,25,40,60,90,130,180,240,310,380,470,570]</t>
    <phoneticPr fontId="3" type="noConversion"/>
  </si>
  <si>
    <t>[5,20,50,100,200,350]</t>
    <phoneticPr fontId="3" type="noConversion"/>
  </si>
  <si>
    <t>[4,10,20,30,50,90,150,230,320,420,540]</t>
    <phoneticPr fontId="3" type="noConversion"/>
  </si>
  <si>
    <t>[3,5,8,12,19,22,29,32,35,38]</t>
    <phoneticPr fontId="3" type="noConversion"/>
  </si>
  <si>
    <t>[3,7,15,25,40,75,120]</t>
    <phoneticPr fontId="3" type="noConversion"/>
  </si>
  <si>
    <t>[2,13,35,75,150]</t>
    <phoneticPr fontId="3" type="noConversion"/>
  </si>
  <si>
    <t>[10,20,60,200,500]</t>
    <phoneticPr fontId="3" type="noConversion"/>
  </si>
  <si>
    <t>[8,20,80,140]</t>
    <phoneticPr fontId="3" type="noConversion"/>
  </si>
  <si>
    <t>[3,15,40,80,120]</t>
    <phoneticPr fontId="3" type="noConversion"/>
  </si>
  <si>
    <t>[20,80,160,300]</t>
    <phoneticPr fontId="3" type="noConversion"/>
  </si>
  <si>
    <t>显示概率</t>
    <phoneticPr fontId="3" type="noConversion"/>
  </si>
  <si>
    <t>int</t>
    <phoneticPr fontId="3" type="noConversion"/>
  </si>
  <si>
    <t>showratio</t>
    <phoneticPr fontId="3" type="noConversion"/>
  </si>
  <si>
    <t>ALL</t>
    <phoneticPr fontId="3" type="noConversion"/>
  </si>
  <si>
    <t>int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</si>
</sst>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2">
    <xf numFmtId="0" fontId="0" fillId="0" borderId="0" xfId="0">
      <alignment vertical="center"/>
    </xf>
    <xf numFmtId="49" fontId="1" fillId="2" borderId="1" xfId="1" applyNumberFormat="1" applyFont="1" applyFill="1" applyBorder="1" applyAlignment="1">
      <alignment horizontal="center"/>
    </xf>
    <xf numFmtId="0" fontId="1" fillId="4" borderId="1" xfId="1" applyFont="1" applyFill="1" applyBorder="1" applyAlignment="1" applyProtection="1">
      <alignment horizontal="center"/>
    </xf>
    <xf numFmtId="0" fontId="2" fillId="0" borderId="0" xfId="1" applyAlignment="1"/>
    <xf numFmtId="49" fontId="1" fillId="3" borderId="2" xfId="1" applyNumberFormat="1" applyFont="1" applyFill="1" applyBorder="1" applyAlignment="1">
      <alignment horizontal="center" vertical="center"/>
    </xf>
    <xf numFmtId="0" fontId="1" fillId="5" borderId="3" xfId="1" applyNumberFormat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/>
    <xf numFmtId="0" fontId="0" fillId="0" borderId="4" xfId="0" applyBorder="1">
      <alignment vertical="center"/>
    </xf>
    <xf numFmtId="0" fontId="0" fillId="0" borderId="0" xfId="0" applyNumberFormat="1">
      <alignment vertical="center"/>
    </xf>
    <xf numFmtId="0" fontId="2" fillId="0" borderId="0" xfId="1" applyNumberFormat="1" applyAlignment="1"/>
    <xf numFmtId="0" fontId="2" fillId="0" borderId="0" xfId="1" applyNumberFormat="1" applyAlignment="1">
      <alignment vertical="top" wrapText="1"/>
    </xf>
    <xf numFmtId="0" fontId="2" fillId="0" borderId="0" xfId="1" applyNumberFormat="1" applyAlignment="1">
      <alignment vertical="top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6" fillId="7" borderId="1" xfId="1" applyNumberFormat="1" applyFont="1" applyFill="1" applyBorder="1" applyAlignment="1">
      <alignment horizontal="right"/>
    </xf>
    <xf numFmtId="49" fontId="6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6" fillId="8" borderId="1" xfId="0" applyNumberFormat="1" applyFont="1" applyFill="1" applyBorder="1" applyAlignment="1">
      <alignment horizontal="right" vertical="center"/>
    </xf>
    <xf numFmtId="49" fontId="6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4">
    <dxf>
      <numFmt numFmtId="0" formatCode="General"/>
    </dxf>
    <dxf>
      <alignment horizontal="general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border outline="0">
        <bottom style="thin">
          <color auto="1"/>
        </bottom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D8552A89-F479-4C5D-BFFB-1431A22E0B7B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_ite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ALL"/>
      <sheetName val="item_item"/>
    </sheet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4:H40" totalsRowShown="0" headerRowBorderDxfId="3" tableBorderDxfId="2">
  <autoFilter ref="A4:H40" xr:uid="{00000000-0009-0000-0100-000002000000}"/>
  <tableColumns count="8">
    <tableColumn id="1" xr3:uid="{00000000-0010-0000-0100-000001000000}" name="抽奖等级"/>
    <tableColumn id="2" xr3:uid="{00000000-0010-0000-0100-000002000000}" name="道具编号"/>
    <tableColumn id="3" xr3:uid="{00000000-0010-0000-0100-000003000000}" name="道具ID"/>
    <tableColumn id="4" xr3:uid="{00000000-0010-0000-0100-000004000000}" name="道具数量"/>
    <tableColumn id="9" xr3:uid="{238B900A-D878-4A2D-8A4B-BDB08D5631AD}" name="显示概率" dataDxfId="1"/>
    <tableColumn id="5" xr3:uid="{00000000-0010-0000-0100-000005000000}" name="道具概率"/>
    <tableColumn id="7" xr3:uid="{E12A2A9B-744E-4A48-879A-E71A4834FF4D}" name="第几次必中"/>
    <tableColumn id="6" xr3:uid="{00000000-0010-0000-0100-000006000000}" name="列1" dataDxfId="0">
      <calculatedColumnFormula>VLOOKUP(表2[[#This Row],[道具ID]],[1]!表1[[key值]:[名称]],12,FALSE)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5"/>
  <sheetViews>
    <sheetView workbookViewId="0">
      <selection activeCell="A6" sqref="A6:B23"/>
    </sheetView>
  </sheetViews>
  <sheetFormatPr defaultColWidth="9" defaultRowHeight="13.5" x14ac:dyDescent="0.15"/>
  <cols>
    <col min="1" max="2" width="80.625" customWidth="1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2" t="s">
        <v>4</v>
      </c>
      <c r="B3" s="3" t="s">
        <v>5</v>
      </c>
    </row>
    <row r="4" spans="1:2" ht="16.5" x14ac:dyDescent="0.15">
      <c r="A4" s="5" t="s">
        <v>6</v>
      </c>
      <c r="B4" s="3" t="s">
        <v>7</v>
      </c>
    </row>
    <row r="5" spans="1:2" x14ac:dyDescent="0.15">
      <c r="A5" s="3"/>
      <c r="B5" s="3"/>
    </row>
    <row r="6" spans="1:2" x14ac:dyDescent="0.15">
      <c r="A6" s="11" t="s">
        <v>8</v>
      </c>
      <c r="B6" s="12"/>
    </row>
    <row r="7" spans="1:2" x14ac:dyDescent="0.15">
      <c r="A7" s="12"/>
      <c r="B7" s="12"/>
    </row>
    <row r="8" spans="1:2" x14ac:dyDescent="0.15">
      <c r="A8" s="12"/>
      <c r="B8" s="12"/>
    </row>
    <row r="9" spans="1:2" x14ac:dyDescent="0.15">
      <c r="A9" s="12"/>
      <c r="B9" s="12"/>
    </row>
    <row r="10" spans="1:2" x14ac:dyDescent="0.15">
      <c r="A10" s="12"/>
      <c r="B10" s="12"/>
    </row>
    <row r="11" spans="1:2" x14ac:dyDescent="0.15">
      <c r="A11" s="12"/>
      <c r="B11" s="12"/>
    </row>
    <row r="12" spans="1:2" x14ac:dyDescent="0.15">
      <c r="A12" s="12"/>
      <c r="B12" s="12"/>
    </row>
    <row r="13" spans="1:2" x14ac:dyDescent="0.15">
      <c r="A13" s="12"/>
      <c r="B13" s="12"/>
    </row>
    <row r="14" spans="1:2" x14ac:dyDescent="0.15">
      <c r="A14" s="12"/>
      <c r="B14" s="12"/>
    </row>
    <row r="15" spans="1:2" x14ac:dyDescent="0.15">
      <c r="A15" s="12"/>
      <c r="B15" s="12"/>
    </row>
    <row r="16" spans="1:2" x14ac:dyDescent="0.15">
      <c r="A16" s="12"/>
      <c r="B16" s="12"/>
    </row>
    <row r="17" spans="1:2" x14ac:dyDescent="0.15">
      <c r="A17" s="12"/>
      <c r="B17" s="12"/>
    </row>
    <row r="18" spans="1:2" x14ac:dyDescent="0.15">
      <c r="A18" s="12"/>
      <c r="B18" s="12"/>
    </row>
    <row r="19" spans="1:2" x14ac:dyDescent="0.15">
      <c r="A19" s="12"/>
      <c r="B19" s="12"/>
    </row>
    <row r="20" spans="1:2" x14ac:dyDescent="0.15">
      <c r="A20" s="12"/>
      <c r="B20" s="12"/>
    </row>
    <row r="21" spans="1:2" x14ac:dyDescent="0.15">
      <c r="A21" s="12"/>
      <c r="B21" s="12"/>
    </row>
    <row r="22" spans="1:2" x14ac:dyDescent="0.15">
      <c r="A22" s="12"/>
      <c r="B22" s="12"/>
    </row>
    <row r="23" spans="1:2" x14ac:dyDescent="0.15">
      <c r="A23" s="12"/>
      <c r="B23" s="12"/>
    </row>
    <row r="24" spans="1:2" x14ac:dyDescent="0.15">
      <c r="A24" s="10" t="s">
        <v>9</v>
      </c>
      <c r="B24" s="10"/>
    </row>
    <row r="25" spans="1:2" x14ac:dyDescent="0.15">
      <c r="A25" s="10" t="s">
        <v>10</v>
      </c>
      <c r="B25" s="10"/>
    </row>
  </sheetData>
  <mergeCells count="3">
    <mergeCell ref="A24:B24"/>
    <mergeCell ref="A25:B25"/>
    <mergeCell ref="A6:B23"/>
  </mergeCells>
  <phoneticPr fontId="3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40"/>
  <sheetViews>
    <sheetView tabSelected="1" workbookViewId="0">
      <selection activeCell="B7" sqref="B7"/>
    </sheetView>
  </sheetViews>
  <sheetFormatPr defaultColWidth="9" defaultRowHeight="13.5" x14ac:dyDescent="0.15"/>
  <cols>
    <col min="1" max="1" width="11.75" bestFit="1" customWidth="1"/>
    <col min="2" max="9" width="20.625" customWidth="1"/>
    <col min="10" max="10" width="8.25" customWidth="1"/>
    <col min="11" max="11" width="7.875" customWidth="1"/>
    <col min="19" max="19" width="8.125" style="9" customWidth="1"/>
    <col min="20" max="20" width="7.75" customWidth="1"/>
  </cols>
  <sheetData>
    <row r="1" spans="1:27" s="14" customFormat="1" ht="12" customHeight="1" x14ac:dyDescent="0.15">
      <c r="A1" s="13"/>
      <c r="B1" s="14" t="s">
        <v>54</v>
      </c>
      <c r="C1" s="13"/>
      <c r="X1" s="15"/>
    </row>
    <row r="2" spans="1:27" s="18" customFormat="1" ht="12" customHeight="1" x14ac:dyDescent="0.15">
      <c r="A2" s="16" t="s">
        <v>18</v>
      </c>
      <c r="B2" s="17" t="s">
        <v>19</v>
      </c>
      <c r="C2" s="17" t="s">
        <v>20</v>
      </c>
      <c r="D2" s="17" t="s">
        <v>21</v>
      </c>
      <c r="E2" s="17" t="s">
        <v>53</v>
      </c>
      <c r="F2" s="17" t="s">
        <v>22</v>
      </c>
      <c r="G2" s="17" t="s">
        <v>37</v>
      </c>
      <c r="H2" s="17" t="s">
        <v>27</v>
      </c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s="21" customFormat="1" ht="12" customHeight="1" x14ac:dyDescent="0.15">
      <c r="A3" s="19" t="s">
        <v>52</v>
      </c>
      <c r="B3" s="20" t="s">
        <v>55</v>
      </c>
      <c r="C3" s="20" t="s">
        <v>23</v>
      </c>
      <c r="D3" s="20" t="s">
        <v>11</v>
      </c>
      <c r="E3" s="20" t="s">
        <v>52</v>
      </c>
      <c r="F3" s="20" t="s">
        <v>11</v>
      </c>
      <c r="G3" s="20" t="s">
        <v>38</v>
      </c>
      <c r="H3" s="20" t="s">
        <v>27</v>
      </c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1:27" x14ac:dyDescent="0.15">
      <c r="A4" t="s">
        <v>12</v>
      </c>
      <c r="B4" t="s">
        <v>13</v>
      </c>
      <c r="C4" t="s">
        <v>14</v>
      </c>
      <c r="D4" t="s">
        <v>15</v>
      </c>
      <c r="E4" s="6" t="s">
        <v>51</v>
      </c>
      <c r="F4" t="s">
        <v>16</v>
      </c>
      <c r="G4" s="6" t="s">
        <v>28</v>
      </c>
      <c r="H4" s="8" t="s">
        <v>26</v>
      </c>
    </row>
    <row r="5" spans="1:27" x14ac:dyDescent="0.15">
      <c r="A5">
        <v>1</v>
      </c>
      <c r="B5">
        <v>1</v>
      </c>
      <c r="C5" s="6" t="s">
        <v>39</v>
      </c>
      <c r="D5" s="7">
        <v>10</v>
      </c>
      <c r="E5">
        <v>10</v>
      </c>
      <c r="F5">
        <v>0</v>
      </c>
      <c r="G5" s="6" t="s">
        <v>41</v>
      </c>
      <c r="H5" t="e">
        <f>VLOOKUP(表2[[#This Row],[道具ID]],[1]!表1[[key值]:[名称]],12,FALSE)</f>
        <v>#REF!</v>
      </c>
    </row>
    <row r="6" spans="1:27" x14ac:dyDescent="0.15">
      <c r="A6">
        <v>1</v>
      </c>
      <c r="B6">
        <v>2</v>
      </c>
      <c r="C6" s="6" t="s">
        <v>24</v>
      </c>
      <c r="D6" s="7">
        <v>10000</v>
      </c>
      <c r="E6">
        <v>100</v>
      </c>
      <c r="F6">
        <v>100</v>
      </c>
      <c r="G6" s="6" t="s">
        <v>44</v>
      </c>
      <c r="H6" t="e">
        <f>VLOOKUP(表2[[#This Row],[道具ID]],[1]!表1[[key值]:[名称]],12,FALSE)</f>
        <v>#REF!</v>
      </c>
      <c r="J6" s="6" t="s">
        <v>35</v>
      </c>
      <c r="K6" s="6" t="s">
        <v>30</v>
      </c>
      <c r="L6" s="6" t="s">
        <v>31</v>
      </c>
      <c r="M6" s="6" t="s">
        <v>32</v>
      </c>
      <c r="N6" s="6" t="s">
        <v>33</v>
      </c>
      <c r="O6" s="6" t="s">
        <v>34</v>
      </c>
      <c r="P6" s="6" t="s">
        <v>36</v>
      </c>
    </row>
    <row r="7" spans="1:27" x14ac:dyDescent="0.15">
      <c r="A7">
        <v>1</v>
      </c>
      <c r="B7">
        <v>3</v>
      </c>
      <c r="C7" s="6" t="s">
        <v>24</v>
      </c>
      <c r="D7" s="7">
        <v>100</v>
      </c>
      <c r="E7">
        <v>3990</v>
      </c>
      <c r="F7">
        <v>4000</v>
      </c>
      <c r="G7" s="6" t="s">
        <v>29</v>
      </c>
      <c r="H7" t="e">
        <f>VLOOKUP(表2[[#This Row],[道具ID]],[1]!表1[[key值]:[名称]],12,FALSE)</f>
        <v>#REF!</v>
      </c>
      <c r="J7">
        <v>0.2</v>
      </c>
      <c r="K7">
        <v>60</v>
      </c>
      <c r="L7">
        <v>29.8</v>
      </c>
      <c r="M7">
        <f>K7-INT(L7/30)*30</f>
        <v>60</v>
      </c>
      <c r="N7">
        <f>L7-INT(L7/30)*30</f>
        <v>29.8</v>
      </c>
      <c r="O7">
        <f>MIN(MAX((MAX(M7,25)-N7)/30,0),2)</f>
        <v>1.0066666666666666</v>
      </c>
      <c r="P7">
        <f t="shared" ref="P7:P11" si="0">POWER((MAX(K7,(30-J7))-L7)/(30-0),1)</f>
        <v>1.0066666666666666</v>
      </c>
      <c r="Q7">
        <f>K7-L7</f>
        <v>30.2</v>
      </c>
      <c r="R7">
        <f>Q7-J7</f>
        <v>30</v>
      </c>
      <c r="S7" s="9">
        <f t="shared" ref="S7:S11" si="1">MIN(ROUND((30-J7-N7)/(30-J7)*INT(M7/30)*30,4),1)</f>
        <v>0</v>
      </c>
    </row>
    <row r="8" spans="1:27" x14ac:dyDescent="0.15">
      <c r="A8">
        <v>1</v>
      </c>
      <c r="B8">
        <v>4</v>
      </c>
      <c r="C8" s="6" t="s">
        <v>17</v>
      </c>
      <c r="D8" s="7">
        <v>2</v>
      </c>
      <c r="E8">
        <v>1100</v>
      </c>
      <c r="F8">
        <v>1100</v>
      </c>
      <c r="G8" s="6" t="s">
        <v>29</v>
      </c>
      <c r="H8" t="e">
        <f>VLOOKUP(表2[[#This Row],[道具ID]],[1]!表1[[key值]:[名称]],12,FALSE)</f>
        <v>#REF!</v>
      </c>
      <c r="J8">
        <v>1</v>
      </c>
      <c r="K8">
        <v>60</v>
      </c>
      <c r="L8">
        <v>29</v>
      </c>
      <c r="P8">
        <f t="shared" si="0"/>
        <v>1.0333333333333334</v>
      </c>
      <c r="Q8">
        <f t="shared" ref="Q8:Q12" si="2">K8-L8</f>
        <v>31</v>
      </c>
      <c r="R8">
        <f t="shared" ref="R8:R12" si="3">Q8-J8</f>
        <v>30</v>
      </c>
      <c r="S8" s="9">
        <f t="shared" si="1"/>
        <v>0</v>
      </c>
    </row>
    <row r="9" spans="1:27" x14ac:dyDescent="0.15">
      <c r="A9">
        <v>1</v>
      </c>
      <c r="B9">
        <v>5</v>
      </c>
      <c r="C9" s="6" t="s">
        <v>40</v>
      </c>
      <c r="D9" s="7">
        <v>1</v>
      </c>
      <c r="E9">
        <v>800</v>
      </c>
      <c r="F9">
        <v>800</v>
      </c>
      <c r="G9" s="6" t="s">
        <v>29</v>
      </c>
      <c r="H9" t="e">
        <f>VLOOKUP(表2[[#This Row],[道具ID]],[1]!表1[[key值]:[名称]],12,FALSE)</f>
        <v>#REF!</v>
      </c>
      <c r="J9">
        <v>3</v>
      </c>
      <c r="K9">
        <v>60</v>
      </c>
      <c r="L9">
        <v>27</v>
      </c>
      <c r="P9">
        <f t="shared" si="0"/>
        <v>1.1000000000000001</v>
      </c>
      <c r="Q9">
        <f t="shared" si="2"/>
        <v>33</v>
      </c>
      <c r="R9">
        <f t="shared" si="3"/>
        <v>30</v>
      </c>
      <c r="S9" s="9">
        <f t="shared" si="1"/>
        <v>0</v>
      </c>
    </row>
    <row r="10" spans="1:27" x14ac:dyDescent="0.15">
      <c r="A10">
        <v>1</v>
      </c>
      <c r="B10">
        <v>6</v>
      </c>
      <c r="C10" s="6" t="s">
        <v>24</v>
      </c>
      <c r="D10" s="7">
        <v>1000</v>
      </c>
      <c r="E10">
        <v>4000</v>
      </c>
      <c r="F10">
        <v>4000</v>
      </c>
      <c r="G10" s="6" t="s">
        <v>29</v>
      </c>
      <c r="H10" t="e">
        <f>VLOOKUP(表2[[#This Row],[道具ID]],[1]!表1[[key值]:[名称]],12,FALSE)</f>
        <v>#REF!</v>
      </c>
      <c r="J10">
        <v>5</v>
      </c>
      <c r="K10">
        <v>60</v>
      </c>
      <c r="L10">
        <v>25</v>
      </c>
      <c r="P10">
        <f t="shared" si="0"/>
        <v>1.1666666666666667</v>
      </c>
      <c r="Q10">
        <f t="shared" si="2"/>
        <v>35</v>
      </c>
      <c r="R10">
        <f t="shared" si="3"/>
        <v>30</v>
      </c>
      <c r="S10" s="9">
        <f t="shared" si="1"/>
        <v>0</v>
      </c>
    </row>
    <row r="11" spans="1:27" x14ac:dyDescent="0.15">
      <c r="A11">
        <v>2</v>
      </c>
      <c r="B11">
        <v>1</v>
      </c>
      <c r="C11" s="6" t="s">
        <v>39</v>
      </c>
      <c r="D11" s="7">
        <v>25</v>
      </c>
      <c r="E11">
        <v>10</v>
      </c>
      <c r="F11">
        <v>0</v>
      </c>
      <c r="G11" s="6" t="s">
        <v>43</v>
      </c>
      <c r="H11" t="e">
        <f>VLOOKUP(表2[[#This Row],[道具ID]],[1]!表1[[key值]:[名称]],12,FALSE)</f>
        <v>#REF!</v>
      </c>
      <c r="J11">
        <v>12</v>
      </c>
      <c r="K11">
        <v>60</v>
      </c>
      <c r="L11">
        <v>18</v>
      </c>
      <c r="M11">
        <f>K11-INT(L11/30)*30</f>
        <v>60</v>
      </c>
      <c r="N11">
        <f>L11-INT(L11/30)*30</f>
        <v>18</v>
      </c>
      <c r="O11">
        <f>MIN(MAX((MAX(M11,25)-N11)/30*(30-N11)/15,0),2)</f>
        <v>1.1199999999999999</v>
      </c>
      <c r="P11">
        <f t="shared" si="0"/>
        <v>1.4</v>
      </c>
      <c r="Q11">
        <f t="shared" si="2"/>
        <v>42</v>
      </c>
      <c r="R11">
        <f t="shared" si="3"/>
        <v>30</v>
      </c>
      <c r="S11" s="9">
        <f t="shared" si="1"/>
        <v>0</v>
      </c>
    </row>
    <row r="12" spans="1:27" x14ac:dyDescent="0.15">
      <c r="A12">
        <v>2</v>
      </c>
      <c r="B12">
        <v>2</v>
      </c>
      <c r="C12" s="6" t="s">
        <v>24</v>
      </c>
      <c r="D12" s="7">
        <v>50000</v>
      </c>
      <c r="E12">
        <v>1200</v>
      </c>
      <c r="F12">
        <v>1200</v>
      </c>
      <c r="G12" s="6" t="s">
        <v>45</v>
      </c>
      <c r="H12" t="e">
        <f>VLOOKUP(表2[[#This Row],[道具ID]],[1]!表1[[key值]:[名称]],12,FALSE)</f>
        <v>#REF!</v>
      </c>
      <c r="J12">
        <v>25</v>
      </c>
      <c r="K12">
        <v>0</v>
      </c>
      <c r="L12">
        <v>25</v>
      </c>
      <c r="M12">
        <f>K12-INT(L12/30)*30</f>
        <v>0</v>
      </c>
      <c r="N12">
        <f>L12-INT(L12/30)*30</f>
        <v>25</v>
      </c>
      <c r="O12">
        <f>MIN(MAX((MAX(M12,25)-N12)/30*(30-N12)/45,0),2)</f>
        <v>0</v>
      </c>
      <c r="P12">
        <f>POWER((MAX(K12,(30-J12))-L12)/(30-0),1)</f>
        <v>-0.66666666666666663</v>
      </c>
      <c r="Q12">
        <f t="shared" si="2"/>
        <v>-25</v>
      </c>
      <c r="R12">
        <f t="shared" si="3"/>
        <v>-50</v>
      </c>
      <c r="S12" s="9">
        <f>MIN(ROUND((30-J12-N12)/(30-J12)*(1+INT(M12/30)*30),4),1)</f>
        <v>-4</v>
      </c>
    </row>
    <row r="13" spans="1:27" x14ac:dyDescent="0.15">
      <c r="A13">
        <v>2</v>
      </c>
      <c r="B13">
        <v>3</v>
      </c>
      <c r="C13" s="6" t="s">
        <v>24</v>
      </c>
      <c r="D13" s="7">
        <v>5000</v>
      </c>
      <c r="E13">
        <v>3990</v>
      </c>
      <c r="F13">
        <v>4000</v>
      </c>
      <c r="G13" s="6" t="s">
        <v>29</v>
      </c>
      <c r="H13" t="e">
        <f>VLOOKUP(表2[[#This Row],[道具ID]],[1]!表1[[key值]:[名称]],12,FALSE)</f>
        <v>#REF!</v>
      </c>
    </row>
    <row r="14" spans="1:27" x14ac:dyDescent="0.15">
      <c r="A14">
        <v>2</v>
      </c>
      <c r="B14">
        <v>4</v>
      </c>
      <c r="C14" s="6" t="s">
        <v>17</v>
      </c>
      <c r="D14" s="7">
        <v>2</v>
      </c>
      <c r="E14">
        <v>2500</v>
      </c>
      <c r="F14">
        <v>2500</v>
      </c>
      <c r="G14" s="6" t="s">
        <v>29</v>
      </c>
      <c r="H14" t="e">
        <f>VLOOKUP(表2[[#This Row],[道具ID]],[1]!表1[[key值]:[名称]],12,FALSE)</f>
        <v>#REF!</v>
      </c>
    </row>
    <row r="15" spans="1:27" x14ac:dyDescent="0.15">
      <c r="A15">
        <v>2</v>
      </c>
      <c r="B15">
        <v>5</v>
      </c>
      <c r="C15" s="6" t="s">
        <v>40</v>
      </c>
      <c r="D15" s="7">
        <v>2</v>
      </c>
      <c r="E15">
        <v>2200</v>
      </c>
      <c r="F15">
        <v>2200</v>
      </c>
      <c r="G15" s="6" t="s">
        <v>29</v>
      </c>
      <c r="H15" t="e">
        <f>VLOOKUP(表2[[#This Row],[道具ID]],[1]!表1[[key值]:[名称]],12,FALSE)</f>
        <v>#REF!</v>
      </c>
    </row>
    <row r="16" spans="1:27" x14ac:dyDescent="0.15">
      <c r="A16">
        <v>2</v>
      </c>
      <c r="B16">
        <v>6</v>
      </c>
      <c r="C16" s="6" t="s">
        <v>25</v>
      </c>
      <c r="D16" s="7">
        <v>1</v>
      </c>
      <c r="E16">
        <v>100</v>
      </c>
      <c r="F16">
        <v>100</v>
      </c>
      <c r="G16" s="6" t="s">
        <v>29</v>
      </c>
      <c r="H16" t="e">
        <f>VLOOKUP(表2[[#This Row],[道具ID]],[1]!表1[[key值]:[名称]],12,FALSE)</f>
        <v>#REF!</v>
      </c>
    </row>
    <row r="17" spans="1:8" x14ac:dyDescent="0.15">
      <c r="A17">
        <v>3</v>
      </c>
      <c r="B17">
        <v>1</v>
      </c>
      <c r="C17" s="6" t="s">
        <v>39</v>
      </c>
      <c r="D17" s="7">
        <v>75</v>
      </c>
      <c r="E17">
        <v>10</v>
      </c>
      <c r="F17">
        <v>0</v>
      </c>
      <c r="G17" s="6" t="s">
        <v>42</v>
      </c>
      <c r="H17" t="e">
        <f>VLOOKUP(表2[[#This Row],[道具ID]],[1]!表1[[key值]:[名称]],12,FALSE)</f>
        <v>#REF!</v>
      </c>
    </row>
    <row r="18" spans="1:8" x14ac:dyDescent="0.15">
      <c r="A18">
        <v>3</v>
      </c>
      <c r="B18">
        <v>2</v>
      </c>
      <c r="C18" s="6" t="s">
        <v>24</v>
      </c>
      <c r="D18" s="7">
        <v>200000</v>
      </c>
      <c r="E18">
        <v>700</v>
      </c>
      <c r="F18">
        <v>700</v>
      </c>
      <c r="G18" s="6" t="s">
        <v>46</v>
      </c>
      <c r="H18" t="e">
        <f>VLOOKUP(表2[[#This Row],[道具ID]],[1]!表1[[key值]:[名称]],12,FALSE)</f>
        <v>#REF!</v>
      </c>
    </row>
    <row r="19" spans="1:8" x14ac:dyDescent="0.15">
      <c r="A19">
        <v>3</v>
      </c>
      <c r="B19">
        <v>3</v>
      </c>
      <c r="C19" s="6" t="s">
        <v>24</v>
      </c>
      <c r="D19" s="7">
        <v>20000</v>
      </c>
      <c r="E19">
        <v>4490</v>
      </c>
      <c r="F19">
        <v>4500</v>
      </c>
      <c r="G19" s="6" t="s">
        <v>29</v>
      </c>
      <c r="H19" t="e">
        <f>VLOOKUP(表2[[#This Row],[道具ID]],[1]!表1[[key值]:[名称]],12,FALSE)</f>
        <v>#REF!</v>
      </c>
    </row>
    <row r="20" spans="1:8" x14ac:dyDescent="0.15">
      <c r="A20">
        <v>3</v>
      </c>
      <c r="B20">
        <v>4</v>
      </c>
      <c r="C20" s="6" t="s">
        <v>17</v>
      </c>
      <c r="D20" s="7">
        <v>5</v>
      </c>
      <c r="E20">
        <v>2500</v>
      </c>
      <c r="F20">
        <v>2500</v>
      </c>
      <c r="G20" s="6" t="s">
        <v>29</v>
      </c>
      <c r="H20" t="e">
        <f>VLOOKUP(表2[[#This Row],[道具ID]],[1]!表1[[key值]:[名称]],12,FALSE)</f>
        <v>#REF!</v>
      </c>
    </row>
    <row r="21" spans="1:8" x14ac:dyDescent="0.15">
      <c r="A21">
        <v>3</v>
      </c>
      <c r="B21">
        <v>5</v>
      </c>
      <c r="C21" s="6" t="s">
        <v>40</v>
      </c>
      <c r="D21" s="7">
        <v>5</v>
      </c>
      <c r="E21">
        <v>2200</v>
      </c>
      <c r="F21">
        <v>2200</v>
      </c>
      <c r="G21" s="6" t="s">
        <v>29</v>
      </c>
      <c r="H21" t="e">
        <f>VLOOKUP(表2[[#This Row],[道具ID]],[1]!表1[[key值]:[名称]],12,FALSE)</f>
        <v>#REF!</v>
      </c>
    </row>
    <row r="22" spans="1:8" x14ac:dyDescent="0.15">
      <c r="A22">
        <v>3</v>
      </c>
      <c r="B22">
        <v>6</v>
      </c>
      <c r="C22" s="6" t="s">
        <v>25</v>
      </c>
      <c r="D22" s="7">
        <v>2</v>
      </c>
      <c r="E22">
        <v>100</v>
      </c>
      <c r="F22">
        <v>100</v>
      </c>
      <c r="G22" s="6" t="s">
        <v>29</v>
      </c>
      <c r="H22" t="e">
        <f>VLOOKUP(表2[[#This Row],[道具ID]],[1]!表1[[key值]:[名称]],12,FALSE)</f>
        <v>#REF!</v>
      </c>
    </row>
    <row r="23" spans="1:8" x14ac:dyDescent="0.15">
      <c r="A23">
        <v>4</v>
      </c>
      <c r="B23">
        <v>1</v>
      </c>
      <c r="C23" s="6" t="s">
        <v>39</v>
      </c>
      <c r="D23" s="7">
        <v>300</v>
      </c>
      <c r="E23">
        <v>10</v>
      </c>
      <c r="F23">
        <v>0</v>
      </c>
      <c r="G23" s="6" t="s">
        <v>47</v>
      </c>
      <c r="H23" t="e">
        <f>VLOOKUP(表2[[#This Row],[道具ID]],[1]!表1[[key值]:[名称]],12,FALSE)</f>
        <v>#REF!</v>
      </c>
    </row>
    <row r="24" spans="1:8" x14ac:dyDescent="0.15">
      <c r="A24">
        <v>4</v>
      </c>
      <c r="B24">
        <v>2</v>
      </c>
      <c r="C24" s="6" t="s">
        <v>24</v>
      </c>
      <c r="D24" s="7">
        <v>600000</v>
      </c>
      <c r="E24">
        <v>1200</v>
      </c>
      <c r="F24">
        <v>1200</v>
      </c>
      <c r="G24" s="6" t="s">
        <v>49</v>
      </c>
      <c r="H24" t="e">
        <f>VLOOKUP(表2[[#This Row],[道具ID]],[1]!表1[[key值]:[名称]],12,FALSE)</f>
        <v>#REF!</v>
      </c>
    </row>
    <row r="25" spans="1:8" x14ac:dyDescent="0.15">
      <c r="A25">
        <v>4</v>
      </c>
      <c r="B25">
        <v>3</v>
      </c>
      <c r="C25" s="6" t="s">
        <v>24</v>
      </c>
      <c r="D25" s="7">
        <v>60000</v>
      </c>
      <c r="E25">
        <v>3990</v>
      </c>
      <c r="F25">
        <v>4000</v>
      </c>
      <c r="G25" s="6" t="s">
        <v>29</v>
      </c>
      <c r="H25" t="e">
        <f>VLOOKUP(表2[[#This Row],[道具ID]],[1]!表1[[key值]:[名称]],12,FALSE)</f>
        <v>#REF!</v>
      </c>
    </row>
    <row r="26" spans="1:8" x14ac:dyDescent="0.15">
      <c r="A26">
        <v>4</v>
      </c>
      <c r="B26">
        <v>4</v>
      </c>
      <c r="C26" s="6" t="s">
        <v>17</v>
      </c>
      <c r="D26" s="7">
        <v>10</v>
      </c>
      <c r="E26">
        <v>2500</v>
      </c>
      <c r="F26">
        <v>2500</v>
      </c>
      <c r="G26" s="6" t="s">
        <v>29</v>
      </c>
      <c r="H26" t="e">
        <f>VLOOKUP(表2[[#This Row],[道具ID]],[1]!表1[[key值]:[名称]],12,FALSE)</f>
        <v>#REF!</v>
      </c>
    </row>
    <row r="27" spans="1:8" x14ac:dyDescent="0.15">
      <c r="A27">
        <v>4</v>
      </c>
      <c r="B27">
        <v>5</v>
      </c>
      <c r="C27" s="6" t="s">
        <v>40</v>
      </c>
      <c r="D27" s="7">
        <v>10</v>
      </c>
      <c r="E27">
        <v>2200</v>
      </c>
      <c r="F27">
        <v>2200</v>
      </c>
      <c r="G27" s="6" t="s">
        <v>29</v>
      </c>
      <c r="H27" t="e">
        <f>VLOOKUP(表2[[#This Row],[道具ID]],[1]!表1[[key值]:[名称]],12,FALSE)</f>
        <v>#REF!</v>
      </c>
    </row>
    <row r="28" spans="1:8" x14ac:dyDescent="0.15">
      <c r="A28">
        <v>4</v>
      </c>
      <c r="B28">
        <v>6</v>
      </c>
      <c r="C28" s="6" t="s">
        <v>25</v>
      </c>
      <c r="D28" s="7">
        <v>1</v>
      </c>
      <c r="E28">
        <v>100</v>
      </c>
      <c r="F28">
        <v>100</v>
      </c>
      <c r="G28" s="6" t="s">
        <v>29</v>
      </c>
      <c r="H28" t="e">
        <f>VLOOKUP(表2[[#This Row],[道具ID]],[1]!表1[[key值]:[名称]],12,FALSE)</f>
        <v>#REF!</v>
      </c>
    </row>
    <row r="29" spans="1:8" x14ac:dyDescent="0.15">
      <c r="A29">
        <v>5</v>
      </c>
      <c r="B29">
        <v>1</v>
      </c>
      <c r="C29" s="6" t="s">
        <v>39</v>
      </c>
      <c r="D29" s="7">
        <v>750</v>
      </c>
      <c r="E29">
        <v>10</v>
      </c>
      <c r="F29">
        <v>0</v>
      </c>
      <c r="G29" s="6" t="s">
        <v>29</v>
      </c>
      <c r="H29" t="e">
        <f>VLOOKUP(表2[[#This Row],[道具ID]],[1]!表1[[key值]:[名称]],12,FALSE)</f>
        <v>#REF!</v>
      </c>
    </row>
    <row r="30" spans="1:8" x14ac:dyDescent="0.15">
      <c r="A30">
        <v>5</v>
      </c>
      <c r="B30">
        <v>2</v>
      </c>
      <c r="C30" s="6" t="s">
        <v>24</v>
      </c>
      <c r="D30" s="7">
        <v>2000000</v>
      </c>
      <c r="E30">
        <v>1000</v>
      </c>
      <c r="F30">
        <v>1000</v>
      </c>
      <c r="G30" s="6" t="s">
        <v>48</v>
      </c>
      <c r="H30" t="e">
        <f>VLOOKUP(表2[[#This Row],[道具ID]],[1]!表1[[key值]:[名称]],12,FALSE)</f>
        <v>#REF!</v>
      </c>
    </row>
    <row r="31" spans="1:8" x14ac:dyDescent="0.15">
      <c r="A31">
        <v>5</v>
      </c>
      <c r="B31">
        <v>3</v>
      </c>
      <c r="C31" s="6" t="s">
        <v>24</v>
      </c>
      <c r="D31" s="7">
        <v>100000</v>
      </c>
      <c r="E31">
        <v>3990</v>
      </c>
      <c r="F31">
        <v>4000</v>
      </c>
      <c r="G31" s="6" t="s">
        <v>29</v>
      </c>
      <c r="H31" t="e">
        <f>VLOOKUP(表2[[#This Row],[道具ID]],[1]!表1[[key值]:[名称]],12,FALSE)</f>
        <v>#REF!</v>
      </c>
    </row>
    <row r="32" spans="1:8" x14ac:dyDescent="0.15">
      <c r="A32">
        <v>5</v>
      </c>
      <c r="B32">
        <v>4</v>
      </c>
      <c r="C32" s="6" t="s">
        <v>17</v>
      </c>
      <c r="D32" s="7">
        <v>20</v>
      </c>
      <c r="E32">
        <v>2500</v>
      </c>
      <c r="F32">
        <v>2500</v>
      </c>
      <c r="G32" s="6" t="s">
        <v>29</v>
      </c>
      <c r="H32" t="e">
        <f>VLOOKUP(表2[[#This Row],[道具ID]],[1]!表1[[key值]:[名称]],12,FALSE)</f>
        <v>#REF!</v>
      </c>
    </row>
    <row r="33" spans="1:8" x14ac:dyDescent="0.15">
      <c r="A33">
        <v>5</v>
      </c>
      <c r="B33">
        <v>5</v>
      </c>
      <c r="C33" s="6" t="s">
        <v>40</v>
      </c>
      <c r="D33" s="7">
        <v>20</v>
      </c>
      <c r="E33">
        <v>2400</v>
      </c>
      <c r="F33">
        <v>2400</v>
      </c>
      <c r="G33" s="6" t="s">
        <v>29</v>
      </c>
      <c r="H33" t="e">
        <f>VLOOKUP(表2[[#This Row],[道具ID]],[1]!表1[[key值]:[名称]],12,FALSE)</f>
        <v>#REF!</v>
      </c>
    </row>
    <row r="34" spans="1:8" x14ac:dyDescent="0.15">
      <c r="A34">
        <v>5</v>
      </c>
      <c r="B34">
        <v>6</v>
      </c>
      <c r="C34" s="6" t="s">
        <v>25</v>
      </c>
      <c r="D34" s="7">
        <v>2</v>
      </c>
      <c r="E34">
        <v>100</v>
      </c>
      <c r="F34">
        <v>100</v>
      </c>
      <c r="G34" s="6" t="s">
        <v>29</v>
      </c>
      <c r="H34" t="e">
        <f>VLOOKUP(表2[[#This Row],[道具ID]],[1]!表1[[key值]:[名称]],12,FALSE)</f>
        <v>#REF!</v>
      </c>
    </row>
    <row r="35" spans="1:8" x14ac:dyDescent="0.15">
      <c r="A35">
        <v>6</v>
      </c>
      <c r="B35">
        <v>1</v>
      </c>
      <c r="C35" s="6" t="s">
        <v>39</v>
      </c>
      <c r="D35" s="7">
        <v>1500</v>
      </c>
      <c r="E35">
        <v>10</v>
      </c>
      <c r="F35">
        <v>0</v>
      </c>
      <c r="G35" s="6" t="s">
        <v>29</v>
      </c>
      <c r="H35" t="e">
        <f>VLOOKUP(表2[[#This Row],[道具ID]],[1]!表1[[key值]:[名称]],12,FALSE)</f>
        <v>#REF!</v>
      </c>
    </row>
    <row r="36" spans="1:8" x14ac:dyDescent="0.15">
      <c r="A36">
        <v>6</v>
      </c>
      <c r="B36">
        <v>2</v>
      </c>
      <c r="C36" s="6" t="s">
        <v>24</v>
      </c>
      <c r="D36" s="7">
        <v>5000000</v>
      </c>
      <c r="E36">
        <v>500</v>
      </c>
      <c r="F36">
        <v>500</v>
      </c>
      <c r="G36" s="6" t="s">
        <v>50</v>
      </c>
      <c r="H36" t="e">
        <f>VLOOKUP(表2[[#This Row],[道具ID]],[1]!表1[[key值]:[名称]],12,FALSE)</f>
        <v>#REF!</v>
      </c>
    </row>
    <row r="37" spans="1:8" x14ac:dyDescent="0.15">
      <c r="A37">
        <v>6</v>
      </c>
      <c r="B37">
        <v>3</v>
      </c>
      <c r="C37" s="6" t="s">
        <v>24</v>
      </c>
      <c r="D37" s="7">
        <v>500000</v>
      </c>
      <c r="E37">
        <v>3990</v>
      </c>
      <c r="F37">
        <v>4000</v>
      </c>
      <c r="G37" s="6" t="s">
        <v>29</v>
      </c>
      <c r="H37" t="e">
        <f>VLOOKUP(表2[[#This Row],[道具ID]],[1]!表1[[key值]:[名称]],12,FALSE)</f>
        <v>#REF!</v>
      </c>
    </row>
    <row r="38" spans="1:8" x14ac:dyDescent="0.15">
      <c r="A38">
        <v>6</v>
      </c>
      <c r="B38">
        <v>4</v>
      </c>
      <c r="C38" s="6" t="s">
        <v>17</v>
      </c>
      <c r="D38" s="7">
        <v>50</v>
      </c>
      <c r="E38">
        <v>2800</v>
      </c>
      <c r="F38">
        <v>2800</v>
      </c>
      <c r="G38" s="6" t="s">
        <v>29</v>
      </c>
      <c r="H38" t="e">
        <f>VLOOKUP(表2[[#This Row],[道具ID]],[1]!表1[[key值]:[名称]],12,FALSE)</f>
        <v>#REF!</v>
      </c>
    </row>
    <row r="39" spans="1:8" x14ac:dyDescent="0.15">
      <c r="A39">
        <v>6</v>
      </c>
      <c r="B39">
        <v>5</v>
      </c>
      <c r="C39" s="6" t="s">
        <v>40</v>
      </c>
      <c r="D39" s="7">
        <v>50</v>
      </c>
      <c r="E39">
        <v>2600</v>
      </c>
      <c r="F39">
        <v>2600</v>
      </c>
      <c r="G39" s="6" t="s">
        <v>29</v>
      </c>
      <c r="H39" t="e">
        <f>VLOOKUP(表2[[#This Row],[道具ID]],[1]!表1[[key值]:[名称]],12,FALSE)</f>
        <v>#REF!</v>
      </c>
    </row>
    <row r="40" spans="1:8" x14ac:dyDescent="0.15">
      <c r="A40">
        <v>6</v>
      </c>
      <c r="B40">
        <v>6</v>
      </c>
      <c r="C40" s="6" t="s">
        <v>25</v>
      </c>
      <c r="D40" s="7">
        <v>3</v>
      </c>
      <c r="E40">
        <v>100</v>
      </c>
      <c r="F40">
        <v>100</v>
      </c>
      <c r="G40" s="6" t="s">
        <v>29</v>
      </c>
      <c r="H40" t="e">
        <f>VLOOKUP(表2[[#This Row],[道具ID]],[1]!表1[[key值]:[名称]],12,FALSE)</f>
        <v>#REF!</v>
      </c>
    </row>
  </sheetData>
  <phoneticPr fontId="3" type="noConversion"/>
  <dataValidations disablePrompts="1" count="2">
    <dataValidation allowBlank="1" showInputMessage="1" showErrorMessage="1" prompt="满值10000" sqref="F4" xr:uid="{00000000-0002-0000-0200-000000000000}"/>
    <dataValidation allowBlank="1" showInputMessage="1" showErrorMessage="1" promptTitle="版本&quot;,&quot;分割————————————" prompt="如果是所有版本，则填ALL" sqref="B1" xr:uid="{2C3C9722-0323-4989-8F47-FAA2D1865F62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2016-07-25T06:42:00Z</dcterms:created>
  <dcterms:modified xsi:type="dcterms:W3CDTF">2018-04-25T10:31:53Z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