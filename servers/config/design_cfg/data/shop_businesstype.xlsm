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686A5E7F-B8F2-4470-A82F-287C7D7D2CF6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11" r:id="rId2"/>
  </sheets>
  <functionGroups builtInGroupCount="19"/>
  <calcPr calcId="179017"/>
</workbook>
</file>

<file path=xl/calcChain.xml><?xml version="1.0" encoding="utf-8"?>
<calcChain xmlns="http://schemas.openxmlformats.org/spreadsheetml/2006/main">
  <c r="B66" i="1" l="1"/>
</calcChain>
</file>

<file path=xl/sharedStrings.xml><?xml version="1.0" encoding="utf-8"?>
<sst xmlns="http://schemas.openxmlformats.org/spreadsheetml/2006/main" count="78" uniqueCount="56">
  <si>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</si>
  <si>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</si>
  <si>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</si>
  <si>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</si>
  <si>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</si>
  <si>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</si>
  <si>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</si>
  <si>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</si>
  <si>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</si>
  <si>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</si>
  <si>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</si>
  <si>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</si>
  <si>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小型礼包</t>
  </si>
  <si>
    <t>中型礼包</t>
  </si>
  <si>
    <t>大型礼包</t>
  </si>
  <si>
    <t>奢华礼包</t>
  </si>
  <si>
    <t>豪华礼包</t>
  </si>
  <si>
    <t>普通月卡</t>
  </si>
  <si>
    <t>壕月卡</t>
  </si>
  <si>
    <t>一元翻盘基金</t>
  </si>
  <si>
    <t>十元翻盘基金</t>
  </si>
  <si>
    <t>id</t>
    <phoneticPr fontId="4" type="noConversion"/>
  </si>
  <si>
    <t>key</t>
    <phoneticPr fontId="4" type="noConversion"/>
  </si>
  <si>
    <t>类别</t>
    <phoneticPr fontId="4" type="noConversion"/>
  </si>
  <si>
    <t>gift_6</t>
    <phoneticPr fontId="4" type="noConversion"/>
  </si>
  <si>
    <t>gift_12</t>
    <phoneticPr fontId="4" type="noConversion"/>
  </si>
  <si>
    <t>gift_18</t>
    <phoneticPr fontId="4" type="noConversion"/>
  </si>
  <si>
    <t>gift_30</t>
    <phoneticPr fontId="4" type="noConversion"/>
  </si>
  <si>
    <t>gift_45</t>
    <phoneticPr fontId="4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</si>
  <si>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</si>
  <si>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</si>
  <si>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</si>
  <si>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</si>
  <si>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</si>
  <si>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</si>
  <si>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</si>
  <si>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</si>
  <si>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</si>
  <si>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</si>
  <si>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</si>
  <si>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</si>
  <si>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4" type="noConversion"/>
  </si>
  <si>
    <t>vnp</t>
    <phoneticPr fontId="7" type="noConversion"/>
  </si>
  <si>
    <t>VNP</t>
    <phoneticPr fontId="7" type="noConversion"/>
  </si>
  <si>
    <t>vms</t>
    <phoneticPr fontId="7" type="noConversion"/>
  </si>
  <si>
    <t>VMS</t>
    <phoneticPr fontId="7" type="noConversion"/>
  </si>
  <si>
    <t>viettel</t>
    <phoneticPr fontId="7" type="noConversion"/>
  </si>
  <si>
    <t>VTT</t>
    <phoneticPr fontId="7" type="noConversion"/>
  </si>
  <si>
    <t>运营商</t>
    <phoneticPr fontId="4" type="noConversion"/>
  </si>
  <si>
    <t>运营商名1</t>
    <phoneticPr fontId="4" type="noConversion"/>
  </si>
  <si>
    <t>string</t>
    <phoneticPr fontId="7" type="noConversion"/>
  </si>
  <si>
    <t>business_buycard</t>
    <phoneticPr fontId="7" type="noConversion"/>
  </si>
  <si>
    <t>GATE</t>
    <phoneticPr fontId="7" type="noConversion"/>
  </si>
  <si>
    <t>gate</t>
    <phoneticPr fontId="7" type="noConversion"/>
  </si>
  <si>
    <t>ALL</t>
    <phoneticPr fontId="4" type="noConversion"/>
  </si>
  <si>
    <t>business_usecard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</si>
</sst>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>
      <alignment vertical="center"/>
    </xf>
    <xf numFmtId="0" fontId="2" fillId="0" borderId="0"/>
  </cellStyleXfs>
  <cellXfs count="27">
    <xf numFmtId="0" fontId="0" fillId="0" borderId="0" xfId="0"/>
    <xf numFmtId="0" fontId="3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3" xfId="1" applyNumberFormat="1" applyFont="1" applyFill="1" applyBorder="1" applyAlignment="1">
      <alignment horizontal="center" vertical="center"/>
    </xf>
    <xf numFmtId="0" fontId="6" fillId="0" borderId="0" xfId="2" applyFont="1"/>
    <xf numFmtId="0" fontId="6" fillId="0" borderId="0" xfId="2" applyFont="1" applyAlignment="1">
      <alignment horizontal="center"/>
    </xf>
    <xf numFmtId="0" fontId="2" fillId="0" borderId="0" xfId="2" applyFont="1" applyAlignment="1">
      <alignment horizontal="right"/>
    </xf>
    <xf numFmtId="0" fontId="2" fillId="0" borderId="0" xfId="2"/>
    <xf numFmtId="0" fontId="2" fillId="0" borderId="0" xfId="2" applyAlignment="1">
      <alignment horizontal="right"/>
    </xf>
    <xf numFmtId="0" fontId="3" fillId="6" borderId="0" xfId="1" applyFill="1" applyAlignment="1"/>
    <xf numFmtId="0" fontId="3" fillId="0" borderId="0" xfId="1" applyFill="1" applyAlignment="1"/>
    <xf numFmtId="0" fontId="5" fillId="0" borderId="0" xfId="2" applyFont="1" applyAlignment="1"/>
    <xf numFmtId="0" fontId="3" fillId="0" borderId="0" xfId="1" applyAlignment="1">
      <alignment horizontal="center"/>
    </xf>
    <xf numFmtId="0" fontId="3" fillId="0" borderId="0" xfId="1" applyNumberFormat="1" applyAlignment="1"/>
    <xf numFmtId="0" fontId="3" fillId="0" borderId="0" xfId="1" applyNumberFormat="1" applyAlignment="1">
      <alignment vertical="top" wrapText="1"/>
    </xf>
    <xf numFmtId="0" fontId="3" fillId="0" borderId="0" xfId="1" applyNumberFormat="1" applyAlignment="1">
      <alignment vertical="top"/>
    </xf>
    <xf numFmtId="0" fontId="8" fillId="7" borderId="0" xfId="0" applyFont="1" applyFill="1" applyAlignment="1">
      <alignment vertical="center" wrapText="1"/>
    </xf>
    <xf numFmtId="0" fontId="8" fillId="7" borderId="0" xfId="0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49" fontId="9" fillId="8" borderId="1" xfId="1" applyNumberFormat="1" applyFont="1" applyFill="1" applyBorder="1" applyAlignment="1">
      <alignment horizontal="right"/>
    </xf>
    <xf numFmtId="49" fontId="9" fillId="8" borderId="1" xfId="1" applyNumberFormat="1" applyFont="1" applyFill="1" applyBorder="1" applyAlignment="1">
      <alignment horizontal="center"/>
    </xf>
    <xf numFmtId="0" fontId="8" fillId="8" borderId="1" xfId="0" applyFont="1" applyFill="1" applyBorder="1" applyAlignment="1">
      <alignment vertical="center"/>
    </xf>
    <xf numFmtId="49" fontId="9" fillId="9" borderId="1" xfId="0" applyNumberFormat="1" applyFont="1" applyFill="1" applyBorder="1" applyAlignment="1">
      <alignment horizontal="right" vertical="center"/>
    </xf>
    <xf numFmtId="49" fontId="9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vertic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3"/>
        <scheme val="none"/>
      </font>
      <alignment horizontal="center" vertical="center" textRotation="0" wrapText="1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314324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A215CCF-A1D0-4B01-86E4-3564652B6969}"/>
            </a:ext>
          </a:extLst>
        </xdr:cNvPr>
        <xdr:cNvSpPr/>
      </xdr:nvSpPr>
      <xdr:spPr>
        <a:xfrm>
          <a:off x="0" y="0"/>
          <a:ext cx="314324" cy="4667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FC3F38-A5C0-40DB-BAF5-15C8C2595708}" name="表4_7869" displayName="表4_7869" ref="A4:C8" totalsRowShown="0" headerRowDxfId="3">
  <autoFilter ref="A4:C8" xr:uid="{BF7B0E26-C8EF-4D37-8E55-97D4D92BB777}"/>
  <tableColumns count="3">
    <tableColumn id="1" xr3:uid="{69B580C6-CC0D-439E-BD66-4F95EF9B7868}" name="类别" dataDxfId="2"/>
    <tableColumn id="2" xr3:uid="{4B53DFF0-741D-403D-9B66-28BBD5C2B0C1}" name="运营商名1" dataDxfId="1">
      <calculatedColumnFormula>IF(表4_7869[[#This Row],[运营商]]="i001","gold","pearl")</calculatedColumnFormula>
    </tableColumn>
    <tableColumn id="8" xr3:uid="{BF4A4F33-C9A0-4CFE-9D2C-D6B7B145A0DD}" name="运营商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 x14ac:dyDescent="0.15"/>
  <cols>
    <col min="1" max="1" width="39.5" style="1" customWidth="1"/>
    <col min="2" max="2" width="85.125" style="1" customWidth="1"/>
    <col min="3" max="4" width="9" style="1"/>
    <col min="5" max="5" width="9" style="1" customWidth="1"/>
    <col min="6" max="7" width="9" style="1"/>
    <col min="8" max="8" width="12.625" style="1" customWidth="1"/>
    <col min="9" max="16384" width="9" style="1"/>
  </cols>
  <sheetData>
    <row r="1" spans="1:7" ht="16.5" x14ac:dyDescent="0.3">
      <c r="A1" s="2" t="s">
        <v>0</v>
      </c>
      <c r="B1" s="1" t="s">
        <v>1</v>
      </c>
      <c r="F1" s="1">
        <v>6</v>
      </c>
      <c r="G1" s="1" t="s">
        <v>24</v>
      </c>
    </row>
    <row r="2" spans="1:7" ht="16.5" x14ac:dyDescent="0.15">
      <c r="A2" s="3" t="s">
        <v>2</v>
      </c>
      <c r="B2" s="1" t="s">
        <v>3</v>
      </c>
      <c r="F2" s="1">
        <v>12</v>
      </c>
      <c r="G2" s="1" t="s">
        <v>25</v>
      </c>
    </row>
    <row r="3" spans="1:7" ht="16.5" x14ac:dyDescent="0.3">
      <c r="A3" s="4" t="s">
        <v>4</v>
      </c>
      <c r="B3" s="1" t="s">
        <v>5</v>
      </c>
      <c r="F3" s="1">
        <v>18</v>
      </c>
      <c r="G3" s="1" t="s">
        <v>26</v>
      </c>
    </row>
    <row r="4" spans="1:7" ht="16.5" x14ac:dyDescent="0.15">
      <c r="A4" s="5" t="s">
        <v>6</v>
      </c>
      <c r="B4" s="1" t="s">
        <v>7</v>
      </c>
      <c r="F4" s="1">
        <v>30</v>
      </c>
      <c r="G4" s="1" t="s">
        <v>27</v>
      </c>
    </row>
    <row r="5" spans="1:7" x14ac:dyDescent="0.15">
      <c r="F5" s="1">
        <v>45</v>
      </c>
      <c r="G5" s="1" t="s">
        <v>28</v>
      </c>
    </row>
    <row r="6" spans="1:7" x14ac:dyDescent="0.15">
      <c r="A6" s="16" t="s">
        <v>8</v>
      </c>
      <c r="B6" s="17"/>
    </row>
    <row r="7" spans="1:7" x14ac:dyDescent="0.15">
      <c r="A7" s="17"/>
      <c r="B7" s="17"/>
    </row>
    <row r="8" spans="1:7" x14ac:dyDescent="0.15">
      <c r="A8" s="17"/>
      <c r="B8" s="17"/>
    </row>
    <row r="9" spans="1:7" x14ac:dyDescent="0.15">
      <c r="A9" s="17"/>
      <c r="B9" s="17"/>
    </row>
    <row r="10" spans="1:7" x14ac:dyDescent="0.15">
      <c r="A10" s="17"/>
      <c r="B10" s="17"/>
    </row>
    <row r="11" spans="1:7" x14ac:dyDescent="0.15">
      <c r="A11" s="17"/>
      <c r="B11" s="17"/>
    </row>
    <row r="12" spans="1:7" x14ac:dyDescent="0.15">
      <c r="A12" s="17"/>
      <c r="B12" s="17"/>
    </row>
    <row r="13" spans="1:7" x14ac:dyDescent="0.15">
      <c r="A13" s="17"/>
      <c r="B13" s="17"/>
    </row>
    <row r="14" spans="1:7" x14ac:dyDescent="0.15">
      <c r="A14" s="17"/>
      <c r="B14" s="17"/>
    </row>
    <row r="15" spans="1:7" x14ac:dyDescent="0.15">
      <c r="A15" s="17"/>
      <c r="B15" s="17"/>
    </row>
    <row r="16" spans="1:7" ht="13.15" customHeight="1" x14ac:dyDescent="0.15">
      <c r="A16" s="17"/>
      <c r="B16" s="17"/>
    </row>
    <row r="17" spans="1:11" ht="4.1500000000000004" customHeight="1" x14ac:dyDescent="0.15">
      <c r="A17" s="17"/>
      <c r="B17" s="17"/>
    </row>
    <row r="18" spans="1:11" ht="13.5" hidden="1" customHeight="1" x14ac:dyDescent="0.15">
      <c r="A18" s="17"/>
      <c r="B18" s="17"/>
    </row>
    <row r="19" spans="1:11" ht="13.5" hidden="1" customHeight="1" x14ac:dyDescent="0.15">
      <c r="A19" s="17"/>
      <c r="B19" s="17"/>
    </row>
    <row r="20" spans="1:11" ht="13.5" hidden="1" customHeight="1" x14ac:dyDescent="0.15">
      <c r="A20" s="17"/>
      <c r="B20" s="17"/>
    </row>
    <row r="21" spans="1:11" ht="22.9" customHeight="1" x14ac:dyDescent="0.15">
      <c r="A21" s="17"/>
      <c r="B21" s="17"/>
    </row>
    <row r="22" spans="1:11" ht="45" customHeight="1" x14ac:dyDescent="0.15">
      <c r="A22" s="17"/>
      <c r="B22" s="17"/>
    </row>
    <row r="23" spans="1:11" ht="51" hidden="1" customHeight="1" x14ac:dyDescent="0.15">
      <c r="A23" s="17"/>
      <c r="B23" s="17"/>
    </row>
    <row r="24" spans="1:11" x14ac:dyDescent="0.15">
      <c r="A24" s="15" t="s">
        <v>9</v>
      </c>
      <c r="B24" s="15"/>
    </row>
    <row r="25" spans="1:11" x14ac:dyDescent="0.15">
      <c r="A25" s="15" t="s">
        <v>10</v>
      </c>
      <c r="B25" s="15"/>
    </row>
    <row r="26" spans="1:11" x14ac:dyDescent="0.15">
      <c r="A26" s="15" t="s">
        <v>11</v>
      </c>
      <c r="B26" s="15"/>
    </row>
    <row r="27" spans="1:11" x14ac:dyDescent="0.15">
      <c r="A27" s="15"/>
      <c r="B27" s="15"/>
    </row>
    <row r="28" spans="1:11" x14ac:dyDescent="0.15">
      <c r="A28" s="15"/>
      <c r="B28" s="15"/>
      <c r="C28" s="14" t="s">
        <v>41</v>
      </c>
      <c r="D28" s="14"/>
      <c r="E28" s="14"/>
      <c r="F28" s="14"/>
    </row>
    <row r="29" spans="1:11" x14ac:dyDescent="0.15">
      <c r="A29" s="15"/>
      <c r="B29" s="15"/>
      <c r="C29" s="1">
        <v>1</v>
      </c>
      <c r="D29" s="1">
        <v>60</v>
      </c>
      <c r="E29" s="1" t="s">
        <v>29</v>
      </c>
      <c r="F29" s="1">
        <v>9055</v>
      </c>
      <c r="I29" s="1">
        <v>6</v>
      </c>
      <c r="J29" s="1">
        <v>9055</v>
      </c>
      <c r="K29" s="1">
        <v>9476</v>
      </c>
    </row>
    <row r="30" spans="1:11" x14ac:dyDescent="0.15">
      <c r="A30" s="15"/>
      <c r="B30" s="15"/>
      <c r="C30" s="1">
        <v>1</v>
      </c>
      <c r="D30" s="1">
        <v>120</v>
      </c>
      <c r="E30" s="1" t="s">
        <v>30</v>
      </c>
      <c r="F30" s="1">
        <v>9056</v>
      </c>
      <c r="I30" s="1">
        <v>12</v>
      </c>
      <c r="J30" s="1">
        <v>9056</v>
      </c>
      <c r="K30" s="1">
        <v>9477</v>
      </c>
    </row>
    <row r="31" spans="1:11" x14ac:dyDescent="0.15">
      <c r="A31" s="15"/>
      <c r="B31" s="15"/>
      <c r="C31" s="1">
        <v>1</v>
      </c>
      <c r="D31" s="11">
        <v>190</v>
      </c>
      <c r="E31" s="1" t="s">
        <v>31</v>
      </c>
      <c r="F31" s="1">
        <v>9057</v>
      </c>
      <c r="I31" s="1">
        <v>18</v>
      </c>
      <c r="J31" s="1">
        <v>9072</v>
      </c>
      <c r="K31" s="1">
        <v>9493</v>
      </c>
    </row>
    <row r="32" spans="1:11" x14ac:dyDescent="0.15">
      <c r="A32" s="15"/>
      <c r="B32" s="15"/>
      <c r="C32" s="1">
        <v>1</v>
      </c>
      <c r="D32" s="12">
        <v>280</v>
      </c>
      <c r="E32" s="1" t="s">
        <v>32</v>
      </c>
      <c r="F32" s="1">
        <v>9058</v>
      </c>
      <c r="I32" s="1">
        <v>28</v>
      </c>
      <c r="J32" s="1">
        <v>9058</v>
      </c>
      <c r="K32" s="1">
        <v>9479</v>
      </c>
    </row>
    <row r="33" spans="1:11" x14ac:dyDescent="0.15">
      <c r="A33" s="15"/>
      <c r="B33" s="15"/>
      <c r="C33" s="1">
        <v>1</v>
      </c>
      <c r="D33" s="11">
        <v>480</v>
      </c>
      <c r="E33" s="1" t="s">
        <v>33</v>
      </c>
      <c r="F33" s="1">
        <v>9059</v>
      </c>
      <c r="I33" s="1">
        <v>45</v>
      </c>
      <c r="J33" s="1">
        <v>9075</v>
      </c>
      <c r="K33" s="1">
        <v>9496</v>
      </c>
    </row>
    <row r="34" spans="1:11" x14ac:dyDescent="0.15">
      <c r="A34" s="15"/>
      <c r="B34" s="15"/>
      <c r="C34" s="1">
        <v>1</v>
      </c>
      <c r="D34" s="1">
        <v>680</v>
      </c>
      <c r="E34" s="1" t="s">
        <v>34</v>
      </c>
      <c r="F34" s="1">
        <v>9060</v>
      </c>
      <c r="I34" s="1">
        <v>68</v>
      </c>
      <c r="J34" s="1">
        <v>9060</v>
      </c>
      <c r="K34" s="1">
        <v>9481</v>
      </c>
    </row>
    <row r="35" spans="1:11" x14ac:dyDescent="0.15">
      <c r="A35" s="15"/>
      <c r="B35" s="15"/>
      <c r="C35" s="1">
        <v>1</v>
      </c>
      <c r="D35" s="1">
        <v>980</v>
      </c>
      <c r="E35" s="1" t="s">
        <v>35</v>
      </c>
      <c r="F35" s="1">
        <v>9061</v>
      </c>
      <c r="I35" s="1">
        <v>98</v>
      </c>
      <c r="J35" s="1">
        <v>9061</v>
      </c>
      <c r="K35" s="1">
        <v>9482</v>
      </c>
    </row>
    <row r="36" spans="1:11" x14ac:dyDescent="0.15">
      <c r="A36" s="15"/>
      <c r="B36" s="15"/>
      <c r="C36" s="1">
        <v>1</v>
      </c>
      <c r="D36" s="1">
        <v>1680</v>
      </c>
      <c r="E36" s="1" t="s">
        <v>36</v>
      </c>
      <c r="F36" s="1">
        <v>9062</v>
      </c>
      <c r="I36" s="1">
        <v>168</v>
      </c>
      <c r="J36" s="1">
        <v>9062</v>
      </c>
      <c r="K36" s="1">
        <v>9483</v>
      </c>
    </row>
    <row r="37" spans="1:11" x14ac:dyDescent="0.15">
      <c r="A37" s="15"/>
      <c r="B37" s="15"/>
      <c r="C37" s="1">
        <v>1</v>
      </c>
      <c r="D37" s="1">
        <v>2680</v>
      </c>
      <c r="E37" s="1" t="s">
        <v>37</v>
      </c>
      <c r="F37" s="1">
        <v>9063</v>
      </c>
      <c r="I37" s="1">
        <v>268</v>
      </c>
      <c r="J37" s="1">
        <v>9063</v>
      </c>
      <c r="K37" s="1">
        <v>9484</v>
      </c>
    </row>
    <row r="38" spans="1:11" x14ac:dyDescent="0.15">
      <c r="A38" s="15"/>
      <c r="B38" s="15"/>
      <c r="C38" s="1">
        <v>1</v>
      </c>
      <c r="D38" s="11">
        <v>4680</v>
      </c>
      <c r="E38" s="1" t="s">
        <v>38</v>
      </c>
      <c r="F38" s="1">
        <v>9064</v>
      </c>
      <c r="I38" s="1">
        <v>698</v>
      </c>
      <c r="J38" s="1">
        <v>9065</v>
      </c>
      <c r="K38" s="1">
        <v>9486</v>
      </c>
    </row>
    <row r="39" spans="1:11" x14ac:dyDescent="0.15">
      <c r="A39" s="15"/>
      <c r="B39" s="15"/>
      <c r="C39" s="1">
        <v>1</v>
      </c>
      <c r="D39" s="1">
        <v>6980</v>
      </c>
      <c r="E39" s="1" t="s">
        <v>39</v>
      </c>
      <c r="F39" s="1">
        <v>9065</v>
      </c>
    </row>
    <row r="40" spans="1:11" x14ac:dyDescent="0.15">
      <c r="A40" s="15"/>
      <c r="B40" s="15"/>
      <c r="C40" s="1">
        <v>1</v>
      </c>
      <c r="D40" s="1">
        <v>9980</v>
      </c>
      <c r="E40" s="1" t="s">
        <v>40</v>
      </c>
      <c r="F40" s="1">
        <v>9066</v>
      </c>
    </row>
    <row r="41" spans="1:11" x14ac:dyDescent="0.15">
      <c r="A41" s="15"/>
      <c r="B41" s="15"/>
      <c r="C41" s="1">
        <v>1</v>
      </c>
      <c r="D41" s="1">
        <v>300</v>
      </c>
      <c r="E41" s="1" t="s">
        <v>17</v>
      </c>
      <c r="F41" s="1">
        <v>9067</v>
      </c>
    </row>
    <row r="42" spans="1:11" x14ac:dyDescent="0.15">
      <c r="A42" s="15"/>
      <c r="B42" s="15"/>
      <c r="C42" s="1">
        <v>1</v>
      </c>
      <c r="D42" s="1">
        <v>1200</v>
      </c>
      <c r="E42" s="1" t="s">
        <v>18</v>
      </c>
      <c r="F42" s="1">
        <v>9068</v>
      </c>
    </row>
    <row r="43" spans="1:11" x14ac:dyDescent="0.15">
      <c r="A43" s="15"/>
      <c r="B43" s="15"/>
      <c r="C43" s="1">
        <v>1</v>
      </c>
      <c r="D43" s="1">
        <v>10</v>
      </c>
      <c r="E43" s="1" t="s">
        <v>19</v>
      </c>
      <c r="F43" s="1">
        <v>9069</v>
      </c>
    </row>
    <row r="44" spans="1:11" x14ac:dyDescent="0.15">
      <c r="A44" s="15"/>
      <c r="B44" s="15"/>
      <c r="C44" s="1">
        <v>1</v>
      </c>
      <c r="D44" s="1">
        <v>100</v>
      </c>
      <c r="E44" s="1" t="s">
        <v>20</v>
      </c>
      <c r="F44" s="1">
        <v>9070</v>
      </c>
    </row>
    <row r="45" spans="1:11" x14ac:dyDescent="0.15">
      <c r="A45" s="15"/>
      <c r="B45" s="15"/>
      <c r="C45" s="1">
        <v>1</v>
      </c>
      <c r="D45" s="11">
        <v>90</v>
      </c>
      <c r="E45" s="1" t="s">
        <v>12</v>
      </c>
      <c r="F45" s="1">
        <v>9071</v>
      </c>
      <c r="I45" s="1">
        <v>6</v>
      </c>
      <c r="J45" s="1">
        <v>9055</v>
      </c>
      <c r="K45" s="1">
        <v>9476</v>
      </c>
    </row>
    <row r="46" spans="1:11" x14ac:dyDescent="0.15">
      <c r="C46" s="1">
        <v>1</v>
      </c>
      <c r="D46" s="12">
        <v>180</v>
      </c>
      <c r="E46" s="1" t="s">
        <v>13</v>
      </c>
      <c r="F46" s="1">
        <v>9072</v>
      </c>
      <c r="I46" s="1">
        <v>12</v>
      </c>
      <c r="J46" s="1">
        <v>9056</v>
      </c>
      <c r="K46" s="1">
        <v>9477</v>
      </c>
    </row>
    <row r="47" spans="1:11" x14ac:dyDescent="0.15">
      <c r="C47" s="1">
        <v>1</v>
      </c>
      <c r="D47" s="11">
        <v>270</v>
      </c>
      <c r="E47" s="1" t="s">
        <v>14</v>
      </c>
      <c r="F47" s="1">
        <v>9073</v>
      </c>
      <c r="I47" s="1">
        <v>18</v>
      </c>
      <c r="J47" s="1">
        <v>9072</v>
      </c>
      <c r="K47" s="1">
        <v>9493</v>
      </c>
    </row>
    <row r="48" spans="1:11" x14ac:dyDescent="0.15">
      <c r="C48" s="1">
        <v>1</v>
      </c>
      <c r="D48" s="11">
        <v>360</v>
      </c>
      <c r="E48" s="1" t="s">
        <v>15</v>
      </c>
      <c r="F48" s="1">
        <v>9074</v>
      </c>
      <c r="I48" s="1">
        <v>30</v>
      </c>
      <c r="J48" s="1">
        <v>9067</v>
      </c>
      <c r="K48" s="1">
        <v>9488</v>
      </c>
    </row>
    <row r="49" spans="3:11" x14ac:dyDescent="0.15">
      <c r="C49" s="1">
        <v>1</v>
      </c>
      <c r="D49" s="1">
        <v>450</v>
      </c>
      <c r="E49" s="1" t="s">
        <v>16</v>
      </c>
      <c r="F49" s="1">
        <v>9075</v>
      </c>
      <c r="I49" s="1">
        <v>45</v>
      </c>
      <c r="J49" s="1">
        <v>9075</v>
      </c>
      <c r="K49" s="1">
        <v>9496</v>
      </c>
    </row>
    <row r="50" spans="3:11" x14ac:dyDescent="0.15">
      <c r="C50" s="1">
        <v>2</v>
      </c>
      <c r="D50" s="1">
        <v>60</v>
      </c>
      <c r="E50" s="1" t="s">
        <v>29</v>
      </c>
      <c r="F50" s="1">
        <v>9476</v>
      </c>
    </row>
    <row r="51" spans="3:11" x14ac:dyDescent="0.15">
      <c r="C51" s="1">
        <v>2</v>
      </c>
      <c r="D51" s="1">
        <v>120</v>
      </c>
      <c r="E51" s="1" t="s">
        <v>30</v>
      </c>
      <c r="F51" s="1">
        <v>9477</v>
      </c>
    </row>
    <row r="52" spans="3:11" x14ac:dyDescent="0.15">
      <c r="C52" s="1">
        <v>2</v>
      </c>
      <c r="D52" s="1">
        <v>190</v>
      </c>
      <c r="E52" s="1" t="s">
        <v>31</v>
      </c>
      <c r="F52" s="1">
        <v>9478</v>
      </c>
    </row>
    <row r="53" spans="3:11" x14ac:dyDescent="0.15">
      <c r="C53" s="1">
        <v>2</v>
      </c>
      <c r="D53" s="1">
        <v>280</v>
      </c>
      <c r="E53" s="1" t="s">
        <v>32</v>
      </c>
      <c r="F53" s="1">
        <v>9479</v>
      </c>
    </row>
    <row r="54" spans="3:11" x14ac:dyDescent="0.15">
      <c r="C54" s="1">
        <v>2</v>
      </c>
      <c r="D54" s="1">
        <v>480</v>
      </c>
      <c r="E54" s="1" t="s">
        <v>33</v>
      </c>
      <c r="F54" s="1">
        <v>9480</v>
      </c>
    </row>
    <row r="55" spans="3:11" x14ac:dyDescent="0.15">
      <c r="C55" s="1">
        <v>2</v>
      </c>
      <c r="D55" s="1">
        <v>680</v>
      </c>
      <c r="E55" s="1" t="s">
        <v>34</v>
      </c>
      <c r="F55" s="1">
        <v>9481</v>
      </c>
    </row>
    <row r="56" spans="3:11" x14ac:dyDescent="0.15">
      <c r="C56" s="1">
        <v>2</v>
      </c>
      <c r="D56" s="1">
        <v>980</v>
      </c>
      <c r="E56" s="1" t="s">
        <v>35</v>
      </c>
      <c r="F56" s="1">
        <v>9482</v>
      </c>
    </row>
    <row r="57" spans="3:11" x14ac:dyDescent="0.15">
      <c r="C57" s="1">
        <v>2</v>
      </c>
      <c r="D57" s="1">
        <v>1680</v>
      </c>
      <c r="E57" s="1" t="s">
        <v>36</v>
      </c>
      <c r="F57" s="1">
        <v>9483</v>
      </c>
    </row>
    <row r="58" spans="3:11" x14ac:dyDescent="0.15">
      <c r="C58" s="1">
        <v>2</v>
      </c>
      <c r="D58" s="1">
        <v>2680</v>
      </c>
      <c r="E58" s="1" t="s">
        <v>37</v>
      </c>
      <c r="F58" s="1">
        <v>9484</v>
      </c>
    </row>
    <row r="59" spans="3:11" x14ac:dyDescent="0.15">
      <c r="C59" s="1">
        <v>2</v>
      </c>
      <c r="D59" s="1">
        <v>4680</v>
      </c>
      <c r="E59" s="1" t="s">
        <v>38</v>
      </c>
      <c r="F59" s="1">
        <v>9485</v>
      </c>
    </row>
    <row r="60" spans="3:11" x14ac:dyDescent="0.15">
      <c r="C60" s="1">
        <v>2</v>
      </c>
      <c r="D60" s="1">
        <v>6980</v>
      </c>
      <c r="E60" s="1" t="s">
        <v>39</v>
      </c>
      <c r="F60" s="1">
        <v>9486</v>
      </c>
    </row>
    <row r="61" spans="3:11" x14ac:dyDescent="0.15">
      <c r="C61" s="1">
        <v>2</v>
      </c>
      <c r="D61" s="1">
        <v>9980</v>
      </c>
      <c r="E61" s="1" t="s">
        <v>40</v>
      </c>
      <c r="F61" s="1">
        <v>9487</v>
      </c>
    </row>
    <row r="62" spans="3:11" x14ac:dyDescent="0.15">
      <c r="C62" s="1">
        <v>2</v>
      </c>
      <c r="D62" s="1">
        <v>300</v>
      </c>
      <c r="E62" s="1" t="s">
        <v>17</v>
      </c>
      <c r="F62" s="1">
        <v>9488</v>
      </c>
    </row>
    <row r="63" spans="3:11" x14ac:dyDescent="0.15">
      <c r="C63" s="1">
        <v>2</v>
      </c>
      <c r="D63" s="1">
        <v>1200</v>
      </c>
      <c r="E63" s="1" t="s">
        <v>18</v>
      </c>
      <c r="F63" s="1">
        <v>9489</v>
      </c>
    </row>
    <row r="64" spans="3:11" x14ac:dyDescent="0.15">
      <c r="C64" s="1">
        <v>2</v>
      </c>
      <c r="D64" s="1">
        <v>10</v>
      </c>
      <c r="E64" s="1" t="s">
        <v>19</v>
      </c>
      <c r="F64" s="1">
        <v>9490</v>
      </c>
    </row>
    <row r="65" spans="2:6" x14ac:dyDescent="0.15">
      <c r="C65" s="1">
        <v>2</v>
      </c>
      <c r="D65" s="1">
        <v>100</v>
      </c>
      <c r="E65" s="1" t="s">
        <v>20</v>
      </c>
      <c r="F65" s="1">
        <v>9491</v>
      </c>
    </row>
    <row r="66" spans="2:6" x14ac:dyDescent="0.15">
      <c r="B66" s="1">
        <f>83/117600*12</f>
        <v>8.4693877551020418E-3</v>
      </c>
      <c r="C66" s="1">
        <v>2</v>
      </c>
      <c r="D66" s="1">
        <v>90</v>
      </c>
      <c r="E66" s="1" t="s">
        <v>12</v>
      </c>
      <c r="F66" s="1">
        <v>9492</v>
      </c>
    </row>
    <row r="67" spans="2:6" x14ac:dyDescent="0.15">
      <c r="C67" s="1">
        <v>2</v>
      </c>
      <c r="D67" s="1">
        <v>180</v>
      </c>
      <c r="E67" s="1" t="s">
        <v>13</v>
      </c>
      <c r="F67" s="1">
        <v>9493</v>
      </c>
    </row>
    <row r="68" spans="2:6" x14ac:dyDescent="0.15">
      <c r="C68" s="1">
        <v>2</v>
      </c>
      <c r="D68" s="1">
        <v>270</v>
      </c>
      <c r="E68" s="1" t="s">
        <v>14</v>
      </c>
      <c r="F68" s="1">
        <v>9494</v>
      </c>
    </row>
    <row r="69" spans="2:6" x14ac:dyDescent="0.15">
      <c r="C69" s="1">
        <v>2</v>
      </c>
      <c r="D69" s="1">
        <v>360</v>
      </c>
      <c r="E69" s="1" t="s">
        <v>15</v>
      </c>
      <c r="F69" s="1">
        <v>9495</v>
      </c>
    </row>
    <row r="70" spans="2:6" x14ac:dyDescent="0.15">
      <c r="C70" s="1">
        <v>2</v>
      </c>
      <c r="D70" s="1">
        <v>450</v>
      </c>
      <c r="E70" s="1" t="s">
        <v>16</v>
      </c>
      <c r="F70" s="1">
        <v>9496</v>
      </c>
    </row>
  </sheetData>
  <mergeCells count="24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C28:F28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17DC8-6337-46E0-95F5-9A5565401CE4}">
  <sheetPr codeName="Sheet10"/>
  <dimension ref="A1:AA8"/>
  <sheetViews>
    <sheetView tabSelected="1" workbookViewId="0">
      <selection activeCell="B6" sqref="B6"/>
    </sheetView>
  </sheetViews>
  <sheetFormatPr defaultRowHeight="13.5" x14ac:dyDescent="0.15"/>
  <cols>
    <col min="1" max="1" width="16.375" style="9" customWidth="1"/>
    <col min="2" max="2" width="18.625" style="9" bestFit="1" customWidth="1"/>
    <col min="3" max="3" width="18.25" style="9" bestFit="1" customWidth="1"/>
    <col min="4" max="16384" width="9" style="9"/>
  </cols>
  <sheetData>
    <row r="1" spans="1:27" s="19" customFormat="1" ht="12" customHeight="1" x14ac:dyDescent="0.15">
      <c r="A1" s="18"/>
      <c r="B1" s="19" t="s">
        <v>54</v>
      </c>
      <c r="C1" s="18"/>
      <c r="X1" s="20"/>
    </row>
    <row r="2" spans="1:27" s="23" customFormat="1" ht="12" customHeight="1" x14ac:dyDescent="0.15">
      <c r="A2" s="21" t="s">
        <v>21</v>
      </c>
      <c r="B2" s="22" t="s">
        <v>51</v>
      </c>
      <c r="C2" s="22" t="s">
        <v>55</v>
      </c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s="26" customFormat="1" ht="12" customHeight="1" x14ac:dyDescent="0.15">
      <c r="A3" s="24" t="s">
        <v>22</v>
      </c>
      <c r="B3" s="25" t="s">
        <v>50</v>
      </c>
      <c r="C3" s="25" t="s">
        <v>50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</row>
    <row r="4" spans="1:27" s="6" customFormat="1" ht="15" customHeight="1" x14ac:dyDescent="0.15">
      <c r="A4" s="7" t="s">
        <v>23</v>
      </c>
      <c r="B4" s="7" t="s">
        <v>49</v>
      </c>
      <c r="C4" s="6" t="s">
        <v>48</v>
      </c>
    </row>
    <row r="5" spans="1:27" x14ac:dyDescent="0.15">
      <c r="A5" s="8">
        <v>1</v>
      </c>
      <c r="B5" s="13" t="s">
        <v>47</v>
      </c>
      <c r="C5" s="13" t="s">
        <v>46</v>
      </c>
    </row>
    <row r="6" spans="1:27" x14ac:dyDescent="0.15">
      <c r="A6" s="8">
        <v>2</v>
      </c>
      <c r="B6" s="13" t="s">
        <v>45</v>
      </c>
      <c r="C6" s="13" t="s">
        <v>44</v>
      </c>
    </row>
    <row r="7" spans="1:27" x14ac:dyDescent="0.15">
      <c r="A7" s="10">
        <v>3</v>
      </c>
      <c r="B7" s="13" t="s">
        <v>43</v>
      </c>
      <c r="C7" s="13" t="s">
        <v>42</v>
      </c>
    </row>
    <row r="8" spans="1:27" x14ac:dyDescent="0.15">
      <c r="A8" s="10">
        <v>4</v>
      </c>
      <c r="B8" s="13" t="s">
        <v>52</v>
      </c>
      <c r="C8" s="13" t="s">
        <v>53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F9B03E16-7B38-4CF5-AD6E-5872D68DF5B5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2018-04-25T10:03:54Z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