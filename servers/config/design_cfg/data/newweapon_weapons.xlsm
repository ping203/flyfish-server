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data\"/>
    </mc:Choice>
  </mc:AlternateContent>
  <xr:revisionPtr revIDLastSave="0" documentId="13_ncr:1_{DDEF6E1C-5CC3-42E4-940B-D7CEA93A493C}" xr6:coauthVersionLast="32" xr6:coauthVersionMax="32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ALL" sheetId="2" r:id="rId2"/>
  </sheets>
  <functionGroups builtInGroupCount="19"/>
  <externalReferences>
    <externalReference r:id="rId3"/>
  </externalReferences>
  <calcPr calcId="179017"/>
</workbook>
</file>

<file path=xl/calcChain.xml><?xml version="1.0" encoding="utf-8"?>
<calcChain xmlns="http://schemas.openxmlformats.org/spreadsheetml/2006/main">
  <c r="E5" i="2" l="1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AK5" i="2" l="1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A19" i="2" l="1"/>
  <c r="AA18" i="2" l="1"/>
  <c r="AA6" i="2" l="1"/>
  <c r="AA7" i="2"/>
  <c r="AA8" i="2"/>
  <c r="AA9" i="2"/>
  <c r="AA10" i="2"/>
  <c r="AA11" i="2"/>
  <c r="AA12" i="2"/>
  <c r="AA13" i="2"/>
  <c r="AA14" i="2"/>
  <c r="AA15" i="2"/>
  <c r="AA16" i="2"/>
  <c r="AA17" i="2"/>
  <c r="AA5" i="2"/>
</calcChain>
</file>

<file path=xl/sharedStrings.xml><?xml version="1.0" encoding="utf-8"?>
<sst xmlns="http://schemas.openxmlformats.org/spreadsheetml/2006/main" count="282" uniqueCount="231">
  <si>
    <t>字段名</t>
  </si>
  <si>
    <t>英文、小写、下划线分隔单词。如'weanpon_name'</t>
  </si>
  <si>
    <t>类型</t>
  </si>
  <si>
    <t>枚举参数：number（小数）、int（整数）、string（字符串）、key,注意：只有第一列类型可以取key。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</si>
  <si>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</si>
  <si>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</si>
  <si>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</si>
  <si>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</si>
  <si>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</si>
  <si>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</si>
  <si>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activity_cfg——活动表，活动相关参数配置。</t>
  </si>
  <si>
    <t>store_cfg——商城相关参数配置。</t>
  </si>
  <si>
    <t>id</t>
  </si>
  <si>
    <t>unexport</t>
  </si>
  <si>
    <t>name</t>
  </si>
  <si>
    <t>description</t>
  </si>
  <si>
    <t>skin_index</t>
  </si>
  <si>
    <t>weapon_base</t>
  </si>
  <si>
    <t>nets</t>
  </si>
  <si>
    <t>emission_effects</t>
  </si>
  <si>
    <t>barrel</t>
  </si>
  <si>
    <t>sound</t>
  </si>
  <si>
    <t>sp</t>
  </si>
  <si>
    <t>bounce</t>
  </si>
  <si>
    <t>power</t>
  </si>
  <si>
    <t>interval</t>
  </si>
  <si>
    <t>bullet_count</t>
  </si>
  <si>
    <t>default</t>
  </si>
  <si>
    <t>price</t>
  </si>
  <si>
    <t>bullet_type</t>
  </si>
  <si>
    <t>scale</t>
  </si>
  <si>
    <t>string</t>
  </si>
  <si>
    <t>int</t>
  </si>
  <si>
    <t>table</t>
  </si>
  <si>
    <t>皮肤名称</t>
  </si>
  <si>
    <t>皮肤说明</t>
  </si>
  <si>
    <t>列1</t>
  </si>
  <si>
    <t>列2</t>
  </si>
  <si>
    <t>皮肤ID</t>
  </si>
  <si>
    <t>基座</t>
  </si>
  <si>
    <t>渔网</t>
  </si>
  <si>
    <t>开炮火焰特效</t>
  </si>
  <si>
    <t>子弹延时生效</t>
  </si>
  <si>
    <t>子弹资源</t>
  </si>
  <si>
    <t>子弹速度</t>
  </si>
  <si>
    <t>反弹次数</t>
  </si>
  <si>
    <t>售价钻石</t>
  </si>
  <si>
    <t>子弹预制id</t>
  </si>
  <si>
    <t>战斗中缩放</t>
  </si>
  <si>
    <t>weapons_name_1</t>
  </si>
  <si>
    <t>weapons_desc_1</t>
  </si>
  <si>
    <t>pao1jizuo</t>
  </si>
  <si>
    <t>["sparks1", 9]</t>
  </si>
  <si>
    <t>[1,1,1]</t>
  </si>
  <si>
    <t>weapons_name_2</t>
  </si>
  <si>
    <t>weapons_desc_2</t>
  </si>
  <si>
    <t>jizuoemo</t>
  </si>
  <si>
    <t>["tianshikaipao", 9]</t>
  </si>
  <si>
    <t>fight_fire2</t>
  </si>
  <si>
    <t>zidanemo</t>
  </si>
  <si>
    <t>weapons_name_3</t>
  </si>
  <si>
    <t>weapons_desc_3</t>
  </si>
  <si>
    <t>tianshidizuo</t>
  </si>
  <si>
    <t>["emopaokaipao", 9]</t>
  </si>
  <si>
    <t>fight_fire3</t>
  </si>
  <si>
    <t>tianshizidan</t>
  </si>
  <si>
    <t>weapons_name_4</t>
  </si>
  <si>
    <t>weapons_desc_4</t>
  </si>
  <si>
    <t>jizuojixie</t>
  </si>
  <si>
    <t>["jixiekaipao", 5]</t>
  </si>
  <si>
    <t>fight_fire4</t>
  </si>
  <si>
    <t>zidanjixie</t>
  </si>
  <si>
    <t>weapons_name_5</t>
  </si>
  <si>
    <t>weapons_desc_5</t>
  </si>
  <si>
    <t>jizuoshuiqiang</t>
  </si>
  <si>
    <t>["shuiqiangkaipao", 9]</t>
  </si>
  <si>
    <t>fight_fire5</t>
  </si>
  <si>
    <t>zidanshuipao</t>
  </si>
  <si>
    <t>weapons_name_6</t>
  </si>
  <si>
    <t>weapons_desc_6</t>
  </si>
  <si>
    <t>jizuojinchan</t>
  </si>
  <si>
    <t>fight_fire6</t>
  </si>
  <si>
    <t>weapons_name_7</t>
  </si>
  <si>
    <t>weapons_desc_7</t>
  </si>
  <si>
    <t>jizuozj</t>
  </si>
  <si>
    <t>fight_fire7</t>
  </si>
  <si>
    <t>float</t>
    <phoneticPr fontId="7" type="noConversion"/>
  </si>
  <si>
    <t>float</t>
    <phoneticPr fontId="7" type="noConversion"/>
  </si>
  <si>
    <t>float</t>
    <phoneticPr fontId="7" type="noConversion"/>
  </si>
  <si>
    <t>[1.01,1,1]</t>
    <phoneticPr fontId="7" type="noConversion"/>
  </si>
  <si>
    <t>zidanzj</t>
    <phoneticPr fontId="7" type="noConversion"/>
  </si>
  <si>
    <t>probation</t>
    <phoneticPr fontId="7" type="noConversion"/>
  </si>
  <si>
    <t>pricescale</t>
  </si>
  <si>
    <t>试用时间</t>
    <phoneticPr fontId="7" type="noConversion"/>
  </si>
  <si>
    <t>试用折扣比例</t>
    <phoneticPr fontId="7" type="noConversion"/>
  </si>
  <si>
    <t>int</t>
    <phoneticPr fontId="7" type="noConversion"/>
  </si>
  <si>
    <t>float</t>
    <phoneticPr fontId="7" type="noConversion"/>
  </si>
  <si>
    <t>[1,2,2.02]</t>
    <phoneticPr fontId="7" type="noConversion"/>
  </si>
  <si>
    <t>皮肤音效</t>
    <phoneticPr fontId="7" type="noConversion"/>
  </si>
  <si>
    <t>子弹音效</t>
    <phoneticPr fontId="7" type="noConversion"/>
  </si>
  <si>
    <t>skinsound</t>
    <phoneticPr fontId="7" type="noConversion"/>
  </si>
  <si>
    <t>weapons_name_8</t>
    <phoneticPr fontId="7" type="noConversion"/>
  </si>
  <si>
    <t>weapons_desc_8</t>
    <phoneticPr fontId="7" type="noConversion"/>
  </si>
  <si>
    <t>特殊参数</t>
    <phoneticPr fontId="7" type="noConversion"/>
  </si>
  <si>
    <t>effectvalue</t>
    <phoneticPr fontId="7" type="noConversion"/>
  </si>
  <si>
    <t>float</t>
    <phoneticPr fontId="7" type="noConversion"/>
  </si>
  <si>
    <t>jizuoppt</t>
    <phoneticPr fontId="7" type="noConversion"/>
  </si>
  <si>
    <t>fight_fire8</t>
    <phoneticPr fontId="7" type="noConversion"/>
  </si>
  <si>
    <t>zidanppt</t>
    <phoneticPr fontId="7" type="noConversion"/>
  </si>
  <si>
    <t>progress</t>
  </si>
  <si>
    <t>time</t>
  </si>
  <si>
    <t>range</t>
  </si>
  <si>
    <t>time2</t>
  </si>
  <si>
    <t>温度上限</t>
  </si>
  <si>
    <t>过热冷却时间</t>
  </si>
  <si>
    <t>子弹偏移范围</t>
  </si>
  <si>
    <t>每降1点温度时间</t>
  </si>
  <si>
    <t>weapons_name_9</t>
    <phoneticPr fontId="7" type="noConversion"/>
  </si>
  <si>
    <t>weapons_desc_9</t>
    <phoneticPr fontId="7" type="noConversion"/>
  </si>
  <si>
    <t>[2.015,2,1]</t>
    <phoneticPr fontId="7" type="noConversion"/>
  </si>
  <si>
    <t>[5.06,5,1]</t>
    <phoneticPr fontId="7" type="noConversion"/>
  </si>
  <si>
    <t>fight_fire9</t>
    <phoneticPr fontId="7" type="noConversion"/>
  </si>
  <si>
    <t>fight_fire9</t>
    <phoneticPr fontId="7" type="noConversion"/>
  </si>
  <si>
    <t>[1.01,1,1]</t>
    <phoneticPr fontId="7" type="noConversion"/>
  </si>
  <si>
    <t>jiatelin</t>
    <phoneticPr fontId="7" type="noConversion"/>
  </si>
  <si>
    <t>weapons_name_11</t>
    <phoneticPr fontId="7" type="noConversion"/>
  </si>
  <si>
    <t>weapons_desc_11</t>
    <phoneticPr fontId="7" type="noConversion"/>
  </si>
  <si>
    <t>["shuiqiangkaipao", 11]</t>
    <phoneticPr fontId="7" type="noConversion"/>
  </si>
  <si>
    <t>jiatelinzidan</t>
    <phoneticPr fontId="7" type="noConversion"/>
  </si>
  <si>
    <t>fight_fire1</t>
    <phoneticPr fontId="7" type="noConversion"/>
  </si>
  <si>
    <t>dwzidan_01,dwzidan_02,dwzidan_03,dwzidan_04,dwzidan_05</t>
    <phoneticPr fontId="7" type="noConversion"/>
  </si>
  <si>
    <t>weapons_name_10</t>
    <phoneticPr fontId="7" type="noConversion"/>
  </si>
  <si>
    <t>weapons_desc_10</t>
    <phoneticPr fontId="7" type="noConversion"/>
  </si>
  <si>
    <t>["shuiqiangkaipao", 9]</t>
    <phoneticPr fontId="7" type="noConversion"/>
  </si>
  <si>
    <t>dwdizuo</t>
    <phoneticPr fontId="7" type="noConversion"/>
  </si>
  <si>
    <t>12jizuo</t>
    <phoneticPr fontId="7" type="noConversion"/>
  </si>
  <si>
    <t>bullet_key</t>
    <phoneticPr fontId="7" type="noConversion"/>
  </si>
  <si>
    <t>["tianshikaipao", 9]</t>
    <phoneticPr fontId="7" type="noConversion"/>
  </si>
  <si>
    <t>weapons_name_12</t>
    <phoneticPr fontId="7" type="noConversion"/>
  </si>
  <si>
    <t>weapons_desc_12</t>
    <phoneticPr fontId="7" type="noConversion"/>
  </si>
  <si>
    <t>fight_fire10</t>
    <phoneticPr fontId="7" type="noConversion"/>
  </si>
  <si>
    <t>xjdizuo</t>
    <phoneticPr fontId="7" type="noConversion"/>
  </si>
  <si>
    <t>12zidan</t>
    <phoneticPr fontId="7" type="noConversion"/>
  </si>
  <si>
    <t>[3.03,3,1]</t>
    <phoneticPr fontId="7" type="noConversion"/>
  </si>
  <si>
    <t>fight_fire12</t>
    <phoneticPr fontId="7" type="noConversion"/>
  </si>
  <si>
    <t>子弹个数</t>
    <phoneticPr fontId="7" type="noConversion"/>
  </si>
  <si>
    <t>子弹隔秒</t>
    <phoneticPr fontId="7" type="noConversion"/>
  </si>
  <si>
    <t>默认</t>
    <phoneticPr fontId="7" type="noConversion"/>
  </si>
  <si>
    <t>命中消耗奖励</t>
    <phoneticPr fontId="7" type="noConversion"/>
  </si>
  <si>
    <t>[1,2,1]</t>
    <phoneticPr fontId="7" type="noConversion"/>
  </si>
  <si>
    <t>weapons_name_13</t>
    <phoneticPr fontId="7" type="noConversion"/>
  </si>
  <si>
    <t>weapons_desc_13</t>
    <phoneticPr fontId="7" type="noConversion"/>
  </si>
  <si>
    <t>13zidan</t>
    <phoneticPr fontId="7" type="noConversion"/>
  </si>
  <si>
    <t>13dizuo</t>
    <phoneticPr fontId="7" type="noConversion"/>
  </si>
  <si>
    <t>fight_fire13</t>
    <phoneticPr fontId="7" type="noConversion"/>
  </si>
  <si>
    <t>fight_fire11,fight_fire111,fight_fire11,fight_fire111,fight_fire211</t>
    <phoneticPr fontId="7" type="noConversion"/>
  </si>
  <si>
    <t>icon</t>
    <phoneticPr fontId="7" type="noConversion"/>
  </si>
  <si>
    <t>string</t>
    <phoneticPr fontId="7" type="noConversion"/>
  </si>
  <si>
    <t>武器图标</t>
    <phoneticPr fontId="7" type="noConversion"/>
  </si>
  <si>
    <t>iconscale</t>
    <phoneticPr fontId="7" type="noConversion"/>
  </si>
  <si>
    <t>icon缩放</t>
    <phoneticPr fontId="7" type="noConversion"/>
  </si>
  <si>
    <t>int</t>
    <phoneticPr fontId="7" type="noConversion"/>
  </si>
  <si>
    <t>autofire</t>
    <phoneticPr fontId="7" type="noConversion"/>
  </si>
  <si>
    <t>自动开炮</t>
    <phoneticPr fontId="7" type="noConversion"/>
  </si>
  <si>
    <t>ptpficon</t>
  </si>
  <si>
    <t>empficon</t>
  </si>
  <si>
    <t>tspficon</t>
  </si>
  <si>
    <t>dcpficon</t>
  </si>
  <si>
    <t>ryjppficon</t>
  </si>
  <si>
    <t>jcpficon</t>
  </si>
  <si>
    <t>zjpficon</t>
  </si>
  <si>
    <t>pptpficon</t>
  </si>
  <si>
    <t>hjjtlpficon</t>
  </si>
  <si>
    <t>xjglpficon</t>
  </si>
  <si>
    <t>dwjypficon</t>
  </si>
  <si>
    <t>szaspficon</t>
  </si>
  <si>
    <t>cynspficon</t>
  </si>
  <si>
    <t>charm</t>
    <phoneticPr fontId="7" type="noConversion"/>
  </si>
  <si>
    <t>魅力</t>
    <phoneticPr fontId="7" type="noConversion"/>
  </si>
  <si>
    <t>是否售卖</t>
    <phoneticPr fontId="7" type="noConversion"/>
  </si>
  <si>
    <t>int</t>
    <phoneticPr fontId="7" type="noConversion"/>
  </si>
  <si>
    <t>issale</t>
    <phoneticPr fontId="7" type="noConversion"/>
  </si>
  <si>
    <t>皮肤标签</t>
    <phoneticPr fontId="7" type="noConversion"/>
  </si>
  <si>
    <t>tag</t>
    <phoneticPr fontId="7" type="noConversion"/>
  </si>
  <si>
    <t>string</t>
    <phoneticPr fontId="7" type="noConversion"/>
  </si>
  <si>
    <t>最强王者限定</t>
    <phoneticPr fontId="7" type="noConversion"/>
  </si>
  <si>
    <t>七夕限定</t>
    <phoneticPr fontId="7" type="noConversion"/>
  </si>
  <si>
    <t>兑换碎片</t>
    <phoneticPr fontId="7" type="noConversion"/>
  </si>
  <si>
    <t>piece</t>
    <phoneticPr fontId="7" type="noConversion"/>
  </si>
  <si>
    <t>上架时间</t>
    <phoneticPr fontId="7" type="noConversion"/>
  </si>
  <si>
    <t>下降时间</t>
    <phoneticPr fontId="7" type="noConversion"/>
  </si>
  <si>
    <t>starttime</t>
  </si>
  <si>
    <t>endtime</t>
  </si>
  <si>
    <t>[2,2,1]</t>
    <phoneticPr fontId="7" type="noConversion"/>
  </si>
  <si>
    <t>table</t>
    <phoneticPr fontId="7" type="noConversion"/>
  </si>
  <si>
    <t>[1,1,1.01]</t>
    <phoneticPr fontId="7" type="noConversion"/>
  </si>
  <si>
    <t>weapons_name_14</t>
    <phoneticPr fontId="7" type="noConversion"/>
  </si>
  <si>
    <t>weapons_desc_14</t>
    <phoneticPr fontId="7" type="noConversion"/>
  </si>
  <si>
    <t>weapons_name_15</t>
    <phoneticPr fontId="7" type="noConversion"/>
  </si>
  <si>
    <t>weapons_desc_15</t>
    <phoneticPr fontId="7" type="noConversion"/>
  </si>
  <si>
    <t>14zidan</t>
    <phoneticPr fontId="7" type="noConversion"/>
  </si>
  <si>
    <t>15zidan</t>
    <phoneticPr fontId="7" type="noConversion"/>
  </si>
  <si>
    <t>qian20icon</t>
  </si>
  <si>
    <t>yueliangtuicon</t>
  </si>
  <si>
    <t>fight_fire14</t>
    <phoneticPr fontId="7" type="noConversion"/>
  </si>
  <si>
    <t>fight_fire15</t>
    <phoneticPr fontId="7" type="noConversion"/>
  </si>
  <si>
    <t>p14_dizuo</t>
  </si>
  <si>
    <t>qian20dizuo</t>
  </si>
  <si>
    <t>[1.005,1,1.01]</t>
    <phoneticPr fontId="7" type="noConversion"/>
  </si>
  <si>
    <t>zidanyellow</t>
    <phoneticPr fontId="7" type="noConversion"/>
  </si>
  <si>
    <t>[1.015,6,1]</t>
    <phoneticPr fontId="7" type="noConversion"/>
  </si>
  <si>
    <t>key</t>
    <phoneticPr fontId="9" type="noConversion"/>
  </si>
  <si>
    <t>ALL</t>
    <phoneticPr fontId="9" type="noConversion"/>
  </si>
  <si>
    <t>武器道具</t>
    <phoneticPr fontId="7" type="noConversion"/>
  </si>
  <si>
    <t>item</t>
    <phoneticPr fontId="7" type="noConversion"/>
  </si>
  <si>
    <t>string</t>
    <phoneticPr fontId="7" type="noConversion"/>
  </si>
  <si>
    <t>w001</t>
    <phoneticPr fontId="9" type="noConversion"/>
  </si>
  <si>
    <t>w002</t>
    <phoneticPr fontId="9" type="noConversion"/>
  </si>
  <si>
    <t>w003</t>
  </si>
  <si>
    <t>w004</t>
  </si>
  <si>
    <t>w005</t>
  </si>
  <si>
    <t>w006</t>
  </si>
  <si>
    <t>w007</t>
  </si>
  <si>
    <t>w008</t>
  </si>
  <si>
    <t>w009</t>
  </si>
  <si>
    <t>w010</t>
  </si>
  <si>
    <t>w011</t>
  </si>
  <si>
    <t>w012</t>
  </si>
  <si>
    <t>w013</t>
  </si>
  <si>
    <t>w014</t>
  </si>
  <si>
    <t>w015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</si>
</sst>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sz val="10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  <font>
      <sz val="10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/>
    <xf numFmtId="0" fontId="4" fillId="0" borderId="0">
      <alignment vertical="center"/>
    </xf>
  </cellStyleXfs>
  <cellXfs count="30">
    <xf numFmtId="0" fontId="0" fillId="0" borderId="0" xfId="0" applyAlignment="1"/>
    <xf numFmtId="49" fontId="1" fillId="2" borderId="1" xfId="0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 vertical="center"/>
    </xf>
    <xf numFmtId="0" fontId="3" fillId="0" borderId="0" xfId="0" applyFont="1" applyAlignment="1"/>
    <xf numFmtId="0" fontId="2" fillId="0" borderId="0" xfId="0" applyFont="1" applyFill="1" applyAlignme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 applyAlignment="1"/>
    <xf numFmtId="0" fontId="5" fillId="0" borderId="0" xfId="0" applyFont="1" applyAlignment="1"/>
    <xf numFmtId="0" fontId="3" fillId="0" borderId="0" xfId="0" applyFont="1" applyAlignment="1">
      <alignment vertical="center"/>
    </xf>
    <xf numFmtId="0" fontId="5" fillId="0" borderId="0" xfId="0" applyFont="1" applyFill="1" applyAlignment="1"/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10" fontId="0" fillId="0" borderId="0" xfId="0" applyNumberFormat="1" applyAlignment="1"/>
    <xf numFmtId="0" fontId="3" fillId="0" borderId="0" xfId="0" applyNumberFormat="1" applyFont="1" applyAlignment="1">
      <alignment vertical="center"/>
    </xf>
    <xf numFmtId="0" fontId="2" fillId="0" borderId="0" xfId="0" applyNumberFormat="1" applyFont="1" applyFill="1" applyAlignment="1"/>
    <xf numFmtId="0" fontId="5" fillId="0" borderId="0" xfId="0" applyNumberFormat="1" applyFont="1" applyAlignment="1"/>
    <xf numFmtId="0" fontId="8" fillId="6" borderId="0" xfId="0" applyFont="1" applyFill="1" applyAlignment="1">
      <alignment vertical="center" wrapText="1"/>
    </xf>
    <xf numFmtId="0" fontId="8" fillId="6" borderId="0" xfId="0" applyFont="1" applyFill="1" applyAlignment="1">
      <alignment vertical="center"/>
    </xf>
    <xf numFmtId="0" fontId="8" fillId="6" borderId="0" xfId="0" applyFont="1" applyFill="1" applyAlignment="1">
      <alignment horizontal="center" vertical="center"/>
    </xf>
    <xf numFmtId="49" fontId="10" fillId="7" borderId="1" xfId="2" applyNumberFormat="1" applyFont="1" applyFill="1" applyBorder="1" applyAlignment="1">
      <alignment horizontal="right"/>
    </xf>
    <xf numFmtId="49" fontId="10" fillId="7" borderId="1" xfId="2" applyNumberFormat="1" applyFont="1" applyFill="1" applyBorder="1" applyAlignment="1">
      <alignment horizontal="center"/>
    </xf>
    <xf numFmtId="0" fontId="8" fillId="7" borderId="1" xfId="0" applyFont="1" applyFill="1" applyBorder="1" applyAlignment="1">
      <alignment vertical="center"/>
    </xf>
    <xf numFmtId="49" fontId="10" fillId="8" borderId="1" xfId="0" applyNumberFormat="1" applyFont="1" applyFill="1" applyBorder="1" applyAlignment="1">
      <alignment horizontal="right" vertical="center"/>
    </xf>
    <xf numFmtId="49" fontId="10" fillId="8" borderId="1" xfId="0" applyNumberFormat="1" applyFont="1" applyFill="1" applyBorder="1" applyAlignment="1">
      <alignment horizontal="center" vertical="center"/>
    </xf>
    <xf numFmtId="0" fontId="8" fillId="8" borderId="1" xfId="0" applyFont="1" applyFill="1" applyBorder="1" applyAlignment="1">
      <alignment vertical="center"/>
    </xf>
    <xf numFmtId="0" fontId="11" fillId="0" borderId="0" xfId="0" applyFont="1" applyAlignment="1"/>
    <xf numFmtId="0" fontId="0" fillId="0" borderId="0" xfId="0" applyNumberForma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</cellXfs>
  <cellStyles count="3">
    <cellStyle name="常规" xfId="0" builtinId="0"/>
    <cellStyle name="常规 2" xfId="2" xr:uid="{00000000-0005-0000-0000-000001000000}"/>
    <cellStyle name="常规 2 2" xfId="1" xr:uid="{00000000-0005-0000-0000-000002000000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微软雅黑"/>
        <family val="3"/>
        <charset val="134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宋体"/>
        <family val="3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宋体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宋体"/>
        <family val="3"/>
        <charset val="134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宋体"/>
        <scheme val="none"/>
      </font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宋体"/>
        <scheme val="none"/>
      </font>
      <alignment horizontal="general" vertical="bottom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19050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3ACF1C59-1D2B-43C1-84EB-DAEC789D47BC}"/>
            </a:ext>
          </a:extLst>
        </xdr:cNvPr>
        <xdr:cNvSpPr/>
      </xdr:nvSpPr>
      <xdr:spPr>
        <a:xfrm>
          <a:off x="0" y="0"/>
          <a:ext cx="285750" cy="47625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ring_string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iption"/>
      <sheetName val="翻译文本"/>
      <sheetName val="wanba,17525"/>
      <sheetName val="google"/>
      <sheetName val="vietnam_vn"/>
      <sheetName val="vietnam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1" displayName="表1" ref="A4:AM19" totalsRowShown="0">
  <autoFilter ref="A4:AM19" xr:uid="{00000000-0009-0000-0100-000001000000}"/>
  <tableColumns count="39">
    <tableColumn id="1" xr3:uid="{00000000-0010-0000-0000-000001000000}" name="id" dataDxfId="20"/>
    <tableColumn id="3" xr3:uid="{00000000-0010-0000-0000-000003000000}" name="皮肤名称"/>
    <tableColumn id="4" xr3:uid="{00000000-0010-0000-0000-000004000000}" name="皮肤说明"/>
    <tableColumn id="5" xr3:uid="{00000000-0010-0000-0000-000005000000}" name="列1" dataDxfId="19">
      <calculatedColumnFormula>VLOOKUP(表1[[#This Row],[皮肤名称]],[1]!表1_8[#Data],2,FALSE)</calculatedColumnFormula>
    </tableColumn>
    <tableColumn id="6" xr3:uid="{00000000-0010-0000-0000-000006000000}" name="列2" dataDxfId="18">
      <calculatedColumnFormula>VLOOKUP(表1[[#This Row],[皮肤说明]],[1]!表1_8[#Data],2,FALSE)</calculatedColumnFormula>
    </tableColumn>
    <tableColumn id="7" xr3:uid="{00000000-0010-0000-0000-000007000000}" name="皮肤ID"/>
    <tableColumn id="8" xr3:uid="{00000000-0010-0000-0000-000008000000}" name="基座"/>
    <tableColumn id="9" xr3:uid="{00000000-0010-0000-0000-000009000000}" name="渔网"/>
    <tableColumn id="10" xr3:uid="{00000000-0010-0000-0000-00000A000000}" name="开炮火焰特效"/>
    <tableColumn id="11" xr3:uid="{00000000-0010-0000-0000-00000B000000}" name="子弹延时生效">
      <calculatedColumnFormula>100</calculatedColumnFormula>
    </tableColumn>
    <tableColumn id="12" xr3:uid="{00000000-0010-0000-0000-00000C000000}" name="子弹音效"/>
    <tableColumn id="25" xr3:uid="{00000000-0010-0000-0000-000019000000}" name="皮肤音效" dataDxfId="17"/>
    <tableColumn id="13" xr3:uid="{00000000-0010-0000-0000-00000D000000}" name="子弹资源"/>
    <tableColumn id="30" xr3:uid="{00000000-0010-0000-0000-00001E000000}" name="武器图标" dataDxfId="16"/>
    <tableColumn id="31" xr3:uid="{00000000-0010-0000-0000-00001F000000}" name="魅力" dataDxfId="15"/>
    <tableColumn id="14" xr3:uid="{00000000-0010-0000-0000-00000E000000}" name="子弹速度"/>
    <tableColumn id="15" xr3:uid="{00000000-0010-0000-0000-00000F000000}" name="反弹次数"/>
    <tableColumn id="2" xr3:uid="{00000000-0010-0000-0000-000002000000}" name="特殊参数" dataDxfId="14"/>
    <tableColumn id="16" xr3:uid="{00000000-0010-0000-0000-000010000000}" name="命中消耗奖励"/>
    <tableColumn id="17" xr3:uid="{00000000-0010-0000-0000-000011000000}" name="子弹隔秒"/>
    <tableColumn id="18" xr3:uid="{00000000-0010-0000-0000-000012000000}" name="子弹个数"/>
    <tableColumn id="19" xr3:uid="{00000000-0010-0000-0000-000013000000}" name="默认"/>
    <tableColumn id="34" xr3:uid="{00000000-0010-0000-0000-000022000000}" name="是否售卖" dataDxfId="13"/>
    <tableColumn id="20" xr3:uid="{00000000-0010-0000-0000-000014000000}" name="售价钻石"/>
    <tableColumn id="21" xr3:uid="{00000000-0010-0000-0000-000015000000}" name="子弹预制id"/>
    <tableColumn id="22" xr3:uid="{00000000-0010-0000-0000-000016000000}" name="战斗中缩放"/>
    <tableColumn id="32" xr3:uid="{00000000-0010-0000-0000-000020000000}" name="icon缩放" dataDxfId="12">
      <calculatedColumnFormula>表1[[#This Row],[战斗中缩放]]*0.3</calculatedColumnFormula>
    </tableColumn>
    <tableColumn id="23" xr3:uid="{00000000-0010-0000-0000-000017000000}" name="试用时间" dataDxfId="11"/>
    <tableColumn id="24" xr3:uid="{00000000-0010-0000-0000-000018000000}" name="试用折扣比例" dataDxfId="10"/>
    <tableColumn id="26" xr3:uid="{00000000-0010-0000-0000-00001A000000}" name="温度上限" dataDxfId="9"/>
    <tableColumn id="27" xr3:uid="{00000000-0010-0000-0000-00001B000000}" name="过热冷却时间" dataDxfId="8"/>
    <tableColumn id="28" xr3:uid="{00000000-0010-0000-0000-00001C000000}" name="子弹偏移范围" dataDxfId="7"/>
    <tableColumn id="29" xr3:uid="{00000000-0010-0000-0000-00001D000000}" name="每降1点温度时间" dataDxfId="6"/>
    <tableColumn id="33" xr3:uid="{00000000-0010-0000-0000-000021000000}" name="自动开炮" dataDxfId="5"/>
    <tableColumn id="35" xr3:uid="{00000000-0010-0000-0000-000023000000}" name="皮肤标签" dataDxfId="4"/>
    <tableColumn id="39" xr3:uid="{07B3707D-7289-4661-9A0B-5ACA871F7F16}" name="武器道具" dataDxfId="3"/>
    <tableColumn id="36" xr3:uid="{F5605B31-D966-4235-978D-389A093AD666}" name="兑换碎片" dataDxfId="2">
      <calculatedColumnFormula>"[""w" &amp; 500+表1[[#This Row],[id]]&amp;""","&amp;MIN(INT(表1[[#This Row],[售价钻石]]^0.6/10+1)*10,150)&amp;"]"</calculatedColumnFormula>
    </tableColumn>
    <tableColumn id="37" xr3:uid="{84293F70-15B1-45E5-BC77-B5297F61C62A}" name="上架时间" dataDxfId="1"/>
    <tableColumn id="38" xr3:uid="{BA3BA843-DF5F-4DD4-9C80-09E4CDA9A63C}" name="下降时间" dataDxfId="0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53"/>
  <sheetViews>
    <sheetView workbookViewId="0">
      <selection activeCell="D12" sqref="D12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4" ht="16.5" x14ac:dyDescent="0.3">
      <c r="A1" s="1" t="s">
        <v>0</v>
      </c>
      <c r="B1" t="s">
        <v>1</v>
      </c>
      <c r="C1">
        <v>0</v>
      </c>
      <c r="D1">
        <v>0</v>
      </c>
    </row>
    <row r="2" spans="1:4" ht="16.5" x14ac:dyDescent="0.15">
      <c r="A2" s="2" t="s">
        <v>2</v>
      </c>
      <c r="B2" t="s">
        <v>3</v>
      </c>
      <c r="C2">
        <v>1</v>
      </c>
      <c r="D2">
        <v>5</v>
      </c>
    </row>
    <row r="3" spans="1:4" ht="16.5" x14ac:dyDescent="0.3">
      <c r="A3" s="11" t="s">
        <v>4</v>
      </c>
      <c r="B3" t="s">
        <v>5</v>
      </c>
      <c r="C3">
        <v>2</v>
      </c>
      <c r="D3">
        <v>10</v>
      </c>
    </row>
    <row r="4" spans="1:4" ht="16.5" x14ac:dyDescent="0.15">
      <c r="A4" s="12" t="s">
        <v>6</v>
      </c>
      <c r="B4" t="s">
        <v>7</v>
      </c>
      <c r="C4">
        <v>3</v>
      </c>
      <c r="D4">
        <v>20</v>
      </c>
    </row>
    <row r="5" spans="1:4" x14ac:dyDescent="0.15">
      <c r="C5">
        <v>4</v>
      </c>
      <c r="D5">
        <v>30</v>
      </c>
    </row>
    <row r="6" spans="1:4" x14ac:dyDescent="0.15">
      <c r="A6" s="28" t="s">
        <v>8</v>
      </c>
      <c r="B6" s="29"/>
      <c r="C6">
        <v>5</v>
      </c>
      <c r="D6">
        <v>60</v>
      </c>
    </row>
    <row r="7" spans="1:4" x14ac:dyDescent="0.15">
      <c r="A7" s="29"/>
      <c r="B7" s="29"/>
      <c r="C7">
        <v>6</v>
      </c>
      <c r="D7">
        <v>100</v>
      </c>
    </row>
    <row r="8" spans="1:4" x14ac:dyDescent="0.15">
      <c r="A8" s="29"/>
      <c r="B8" s="29"/>
      <c r="C8">
        <v>7</v>
      </c>
      <c r="D8">
        <v>150</v>
      </c>
    </row>
    <row r="9" spans="1:4" x14ac:dyDescent="0.15">
      <c r="A9" s="29"/>
      <c r="B9" s="29"/>
      <c r="C9">
        <v>8</v>
      </c>
      <c r="D9">
        <v>200</v>
      </c>
    </row>
    <row r="10" spans="1:4" x14ac:dyDescent="0.15">
      <c r="A10" s="29"/>
      <c r="B10" s="29"/>
      <c r="C10">
        <v>9</v>
      </c>
      <c r="D10">
        <v>300</v>
      </c>
    </row>
    <row r="11" spans="1:4" x14ac:dyDescent="0.15">
      <c r="A11" s="29"/>
      <c r="B11" s="29"/>
      <c r="C11">
        <v>10</v>
      </c>
      <c r="D11">
        <v>400</v>
      </c>
    </row>
    <row r="12" spans="1:4" x14ac:dyDescent="0.15">
      <c r="A12" s="29"/>
      <c r="B12" s="29"/>
      <c r="C12">
        <v>11</v>
      </c>
      <c r="D12">
        <v>600</v>
      </c>
    </row>
    <row r="13" spans="1:4" x14ac:dyDescent="0.15">
      <c r="A13" s="29"/>
      <c r="B13" s="29"/>
      <c r="C13">
        <v>12</v>
      </c>
      <c r="D13">
        <v>800</v>
      </c>
    </row>
    <row r="14" spans="1:4" x14ac:dyDescent="0.15">
      <c r="A14" s="29"/>
      <c r="B14" s="29"/>
    </row>
    <row r="15" spans="1:4" x14ac:dyDescent="0.15">
      <c r="A15" s="29"/>
      <c r="B15" s="29"/>
    </row>
    <row r="16" spans="1:4" ht="13.15" customHeight="1" x14ac:dyDescent="0.15">
      <c r="A16" s="29"/>
      <c r="B16" s="29"/>
    </row>
    <row r="17" spans="1:2" ht="4.1500000000000004" customHeight="1" x14ac:dyDescent="0.15">
      <c r="A17" s="29"/>
      <c r="B17" s="29"/>
    </row>
    <row r="18" spans="1:2" hidden="1" x14ac:dyDescent="0.15">
      <c r="A18" s="29"/>
      <c r="B18" s="29"/>
    </row>
    <row r="19" spans="1:2" hidden="1" x14ac:dyDescent="0.15">
      <c r="A19" s="29"/>
      <c r="B19" s="29"/>
    </row>
    <row r="20" spans="1:2" hidden="1" x14ac:dyDescent="0.15">
      <c r="A20" s="29"/>
      <c r="B20" s="29"/>
    </row>
    <row r="21" spans="1:2" ht="22.9" customHeight="1" x14ac:dyDescent="0.15">
      <c r="A21" s="29"/>
      <c r="B21" s="29"/>
    </row>
    <row r="22" spans="1:2" ht="45" hidden="1" customHeight="1" x14ac:dyDescent="0.15">
      <c r="A22" s="29"/>
      <c r="B22" s="29"/>
    </row>
    <row r="23" spans="1:2" ht="51" hidden="1" customHeight="1" x14ac:dyDescent="0.15">
      <c r="A23" s="29"/>
      <c r="B23" s="29"/>
    </row>
    <row r="24" spans="1:2" x14ac:dyDescent="0.15">
      <c r="A24" s="27" t="s">
        <v>9</v>
      </c>
      <c r="B24" s="27"/>
    </row>
    <row r="25" spans="1:2" x14ac:dyDescent="0.15">
      <c r="A25" s="27" t="s">
        <v>10</v>
      </c>
      <c r="B25" s="27"/>
    </row>
    <row r="26" spans="1:2" x14ac:dyDescent="0.15">
      <c r="A26" s="27" t="s">
        <v>11</v>
      </c>
      <c r="B26" s="27"/>
    </row>
    <row r="27" spans="1:2" x14ac:dyDescent="0.15">
      <c r="A27" s="27"/>
      <c r="B27" s="27"/>
    </row>
    <row r="28" spans="1:2" x14ac:dyDescent="0.15">
      <c r="A28" s="27"/>
      <c r="B28" s="27"/>
    </row>
    <row r="29" spans="1:2" x14ac:dyDescent="0.15">
      <c r="A29" s="27"/>
      <c r="B29" s="27"/>
    </row>
    <row r="30" spans="1:2" x14ac:dyDescent="0.15">
      <c r="A30" s="27"/>
      <c r="B30" s="27"/>
    </row>
    <row r="31" spans="1:2" x14ac:dyDescent="0.15">
      <c r="A31" s="27"/>
      <c r="B31" s="27"/>
    </row>
    <row r="32" spans="1:2" x14ac:dyDescent="0.15">
      <c r="A32" s="27"/>
      <c r="B32" s="27"/>
    </row>
    <row r="33" spans="1:2" x14ac:dyDescent="0.15">
      <c r="A33" s="27"/>
      <c r="B33" s="27"/>
    </row>
    <row r="34" spans="1:2" x14ac:dyDescent="0.15">
      <c r="A34" s="27"/>
      <c r="B34" s="27"/>
    </row>
    <row r="35" spans="1:2" x14ac:dyDescent="0.15">
      <c r="A35" s="27"/>
      <c r="B35" s="27"/>
    </row>
    <row r="36" spans="1:2" x14ac:dyDescent="0.15">
      <c r="A36" s="27"/>
      <c r="B36" s="27"/>
    </row>
    <row r="37" spans="1:2" x14ac:dyDescent="0.15">
      <c r="A37" s="27"/>
      <c r="B37" s="27"/>
    </row>
    <row r="38" spans="1:2" x14ac:dyDescent="0.15">
      <c r="A38" s="27"/>
      <c r="B38" s="27"/>
    </row>
    <row r="39" spans="1:2" x14ac:dyDescent="0.15">
      <c r="A39" s="27"/>
      <c r="B39" s="27"/>
    </row>
    <row r="40" spans="1:2" x14ac:dyDescent="0.15">
      <c r="A40" s="27"/>
      <c r="B40" s="27"/>
    </row>
    <row r="41" spans="1:2" x14ac:dyDescent="0.15">
      <c r="A41" s="27"/>
      <c r="B41" s="27"/>
    </row>
    <row r="42" spans="1:2" x14ac:dyDescent="0.15">
      <c r="A42" s="27"/>
      <c r="B42" s="27"/>
    </row>
    <row r="43" spans="1:2" x14ac:dyDescent="0.15">
      <c r="A43" s="27"/>
      <c r="B43" s="27"/>
    </row>
    <row r="44" spans="1:2" x14ac:dyDescent="0.15">
      <c r="A44" s="27"/>
      <c r="B44" s="27"/>
    </row>
    <row r="45" spans="1:2" x14ac:dyDescent="0.15">
      <c r="A45" s="27"/>
      <c r="B45" s="27"/>
    </row>
    <row r="46" spans="1:2" x14ac:dyDescent="0.15">
      <c r="A46" s="27"/>
      <c r="B46" s="27"/>
    </row>
    <row r="47" spans="1:2" x14ac:dyDescent="0.15">
      <c r="A47" s="27"/>
      <c r="B47" s="27"/>
    </row>
    <row r="48" spans="1:2" x14ac:dyDescent="0.15">
      <c r="A48" s="27"/>
      <c r="B48" s="27"/>
    </row>
    <row r="49" spans="1:2" x14ac:dyDescent="0.15">
      <c r="A49" s="27"/>
      <c r="B49" s="27"/>
    </row>
    <row r="50" spans="1:2" x14ac:dyDescent="0.15">
      <c r="A50" s="27"/>
      <c r="B50" s="27"/>
    </row>
    <row r="51" spans="1:2" x14ac:dyDescent="0.15">
      <c r="A51" s="27"/>
      <c r="B51" s="27"/>
    </row>
    <row r="52" spans="1:2" x14ac:dyDescent="0.15">
      <c r="A52" s="27"/>
      <c r="B52" s="27"/>
    </row>
    <row r="53" spans="1:2" x14ac:dyDescent="0.15">
      <c r="A53" s="27"/>
      <c r="B53" s="27"/>
    </row>
  </sheetData>
  <mergeCells count="31">
    <mergeCell ref="A6:B23"/>
    <mergeCell ref="A49:B49"/>
    <mergeCell ref="A50:B50"/>
    <mergeCell ref="A51:B51"/>
    <mergeCell ref="A52:B52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53:B53"/>
    <mergeCell ref="A44:B44"/>
    <mergeCell ref="A45:B45"/>
    <mergeCell ref="A46:B46"/>
    <mergeCell ref="A47:B47"/>
    <mergeCell ref="A48:B48"/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</mergeCells>
  <phoneticPr fontId="7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M38"/>
  <sheetViews>
    <sheetView tabSelected="1" workbookViewId="0">
      <selection activeCell="L14" sqref="L14"/>
    </sheetView>
  </sheetViews>
  <sheetFormatPr defaultColWidth="9" defaultRowHeight="16.5" x14ac:dyDescent="0.35"/>
  <cols>
    <col min="1" max="1" width="7.125" style="6" customWidth="1"/>
    <col min="2" max="3" width="14.125" style="7" customWidth="1"/>
    <col min="4" max="4" width="9.625" style="7" customWidth="1"/>
    <col min="5" max="5" width="17" style="7" customWidth="1"/>
    <col min="6" max="6" width="8" style="7" customWidth="1"/>
    <col min="7" max="7" width="10.75" style="7" customWidth="1"/>
    <col min="8" max="8" width="6.375" style="7" customWidth="1"/>
    <col min="9" max="9" width="13.625" style="7" customWidth="1"/>
    <col min="10" max="10" width="8.375" style="7" customWidth="1"/>
    <col min="11" max="11" width="10" style="7" customWidth="1"/>
    <col min="12" max="12" width="9.875" style="7" customWidth="1"/>
    <col min="13" max="13" width="10.5" style="7" customWidth="1"/>
    <col min="14" max="14" width="9.125" style="7" customWidth="1"/>
    <col min="15" max="15" width="7.5" style="7" bestFit="1" customWidth="1"/>
    <col min="16" max="16" width="9.25" style="7" customWidth="1"/>
    <col min="17" max="17" width="9" style="7" customWidth="1"/>
    <col min="18" max="18" width="9.5" style="7" customWidth="1"/>
    <col min="19" max="19" width="11.25" style="7" customWidth="1"/>
    <col min="20" max="20" width="7.875" style="7" customWidth="1"/>
    <col min="21" max="21" width="8" style="7" customWidth="1"/>
    <col min="22" max="22" width="6.625" style="7" customWidth="1"/>
    <col min="23" max="23" width="8.75" style="7" customWidth="1"/>
    <col min="24" max="24" width="8.125" style="7" customWidth="1"/>
    <col min="25" max="27" width="11.125" style="7" customWidth="1"/>
    <col min="28" max="28" width="10" style="7" bestFit="1" customWidth="1"/>
    <col min="29" max="29" width="11.625" style="7" bestFit="1" customWidth="1"/>
    <col min="30" max="34" width="9" style="7"/>
    <col min="35" max="35" width="11.375" style="7" bestFit="1" customWidth="1"/>
    <col min="36" max="36" width="11.375" style="7" customWidth="1"/>
    <col min="37" max="37" width="12.125" style="7" customWidth="1"/>
    <col min="38" max="38" width="18.75" style="7" customWidth="1"/>
    <col min="39" max="39" width="18.875" style="7" customWidth="1"/>
    <col min="40" max="16384" width="9" style="7"/>
  </cols>
  <sheetData>
    <row r="1" spans="1:39" s="18" customFormat="1" ht="12" customHeight="1" x14ac:dyDescent="0.15">
      <c r="A1" s="17"/>
      <c r="B1" s="18" t="s">
        <v>212</v>
      </c>
      <c r="C1" s="17"/>
      <c r="X1" s="19"/>
    </row>
    <row r="2" spans="1:39" s="22" customFormat="1" ht="12" customHeight="1" x14ac:dyDescent="0.15">
      <c r="A2" s="20" t="s">
        <v>12</v>
      </c>
      <c r="B2" s="21" t="s">
        <v>14</v>
      </c>
      <c r="C2" s="21" t="s">
        <v>15</v>
      </c>
      <c r="D2" s="21" t="s">
        <v>13</v>
      </c>
      <c r="E2" s="21" t="s">
        <v>13</v>
      </c>
      <c r="F2" s="21" t="s">
        <v>16</v>
      </c>
      <c r="G2" s="21" t="s">
        <v>17</v>
      </c>
      <c r="H2" s="21" t="s">
        <v>18</v>
      </c>
      <c r="I2" s="21" t="s">
        <v>19</v>
      </c>
      <c r="J2" s="21" t="s">
        <v>20</v>
      </c>
      <c r="K2" s="21" t="s">
        <v>21</v>
      </c>
      <c r="L2" s="21" t="s">
        <v>100</v>
      </c>
      <c r="M2" s="21" t="s">
        <v>136</v>
      </c>
      <c r="N2" s="21" t="s">
        <v>156</v>
      </c>
      <c r="O2" s="21" t="s">
        <v>177</v>
      </c>
      <c r="P2" s="21" t="s">
        <v>22</v>
      </c>
      <c r="Q2" s="21" t="s">
        <v>23</v>
      </c>
      <c r="R2" s="21" t="s">
        <v>104</v>
      </c>
      <c r="S2" s="21" t="s">
        <v>24</v>
      </c>
      <c r="T2" s="21" t="s">
        <v>25</v>
      </c>
      <c r="U2" s="21" t="s">
        <v>26</v>
      </c>
      <c r="V2" s="21" t="s">
        <v>27</v>
      </c>
      <c r="W2" s="21" t="s">
        <v>181</v>
      </c>
      <c r="X2" s="21" t="s">
        <v>28</v>
      </c>
      <c r="Y2" s="21" t="s">
        <v>29</v>
      </c>
      <c r="Z2" s="21" t="s">
        <v>30</v>
      </c>
      <c r="AA2" s="21" t="s">
        <v>159</v>
      </c>
      <c r="AB2" s="22" t="s">
        <v>91</v>
      </c>
      <c r="AC2" s="22" t="s">
        <v>92</v>
      </c>
      <c r="AD2" s="22" t="s">
        <v>109</v>
      </c>
      <c r="AE2" s="22" t="s">
        <v>110</v>
      </c>
      <c r="AF2" s="22" t="s">
        <v>111</v>
      </c>
      <c r="AG2" s="22" t="s">
        <v>112</v>
      </c>
      <c r="AH2" s="22" t="s">
        <v>162</v>
      </c>
      <c r="AI2" s="22" t="s">
        <v>183</v>
      </c>
      <c r="AJ2" s="22" t="s">
        <v>214</v>
      </c>
      <c r="AK2" s="22" t="s">
        <v>188</v>
      </c>
      <c r="AL2" s="22" t="s">
        <v>191</v>
      </c>
      <c r="AM2" s="22" t="s">
        <v>192</v>
      </c>
    </row>
    <row r="3" spans="1:39" s="25" customFormat="1" ht="12" customHeight="1" x14ac:dyDescent="0.15">
      <c r="A3" s="23" t="s">
        <v>211</v>
      </c>
      <c r="B3" s="24" t="s">
        <v>157</v>
      </c>
      <c r="C3" s="24" t="s">
        <v>31</v>
      </c>
      <c r="D3" s="24" t="s">
        <v>13</v>
      </c>
      <c r="E3" s="24" t="s">
        <v>13</v>
      </c>
      <c r="F3" s="24" t="s">
        <v>32</v>
      </c>
      <c r="G3" s="24" t="s">
        <v>31</v>
      </c>
      <c r="H3" s="24" t="s">
        <v>32</v>
      </c>
      <c r="I3" s="24" t="s">
        <v>33</v>
      </c>
      <c r="J3" s="24" t="s">
        <v>88</v>
      </c>
      <c r="K3" s="24" t="s">
        <v>31</v>
      </c>
      <c r="L3" s="24" t="s">
        <v>31</v>
      </c>
      <c r="M3" s="24" t="s">
        <v>31</v>
      </c>
      <c r="N3" s="24" t="s">
        <v>157</v>
      </c>
      <c r="O3" s="24" t="s">
        <v>95</v>
      </c>
      <c r="P3" s="24" t="s">
        <v>32</v>
      </c>
      <c r="Q3" s="24" t="s">
        <v>32</v>
      </c>
      <c r="R3" s="24" t="s">
        <v>105</v>
      </c>
      <c r="S3" s="24" t="s">
        <v>33</v>
      </c>
      <c r="T3" s="24" t="s">
        <v>87</v>
      </c>
      <c r="U3" s="24" t="s">
        <v>32</v>
      </c>
      <c r="V3" s="24" t="s">
        <v>32</v>
      </c>
      <c r="W3" s="24" t="s">
        <v>180</v>
      </c>
      <c r="X3" s="24" t="s">
        <v>32</v>
      </c>
      <c r="Y3" s="24" t="s">
        <v>32</v>
      </c>
      <c r="Z3" s="24" t="s">
        <v>87</v>
      </c>
      <c r="AA3" s="24" t="s">
        <v>86</v>
      </c>
      <c r="AB3" s="25" t="s">
        <v>95</v>
      </c>
      <c r="AC3" s="25" t="s">
        <v>96</v>
      </c>
      <c r="AD3" s="25" t="s">
        <v>95</v>
      </c>
      <c r="AE3" s="25" t="s">
        <v>86</v>
      </c>
      <c r="AF3" s="25" t="s">
        <v>95</v>
      </c>
      <c r="AG3" s="25" t="s">
        <v>86</v>
      </c>
      <c r="AH3" s="25" t="s">
        <v>161</v>
      </c>
      <c r="AI3" s="25" t="s">
        <v>184</v>
      </c>
      <c r="AJ3" s="25" t="s">
        <v>215</v>
      </c>
      <c r="AK3" s="25" t="s">
        <v>194</v>
      </c>
      <c r="AL3" s="25" t="s">
        <v>31</v>
      </c>
      <c r="AM3" s="25" t="s">
        <v>31</v>
      </c>
    </row>
    <row r="4" spans="1:39" x14ac:dyDescent="0.35">
      <c r="A4" s="3" t="s">
        <v>12</v>
      </c>
      <c r="B4" s="3" t="s">
        <v>34</v>
      </c>
      <c r="C4" s="3" t="s">
        <v>35</v>
      </c>
      <c r="D4" s="3" t="s">
        <v>36</v>
      </c>
      <c r="E4" s="3" t="s">
        <v>37</v>
      </c>
      <c r="F4" s="3" t="s">
        <v>38</v>
      </c>
      <c r="G4" s="3" t="s">
        <v>39</v>
      </c>
      <c r="H4" s="3" t="s">
        <v>40</v>
      </c>
      <c r="I4" s="3" t="s">
        <v>41</v>
      </c>
      <c r="J4" s="3" t="s">
        <v>42</v>
      </c>
      <c r="K4" s="3" t="s">
        <v>99</v>
      </c>
      <c r="L4" s="3" t="s">
        <v>98</v>
      </c>
      <c r="M4" s="3" t="s">
        <v>43</v>
      </c>
      <c r="N4" s="3" t="s">
        <v>158</v>
      </c>
      <c r="O4" s="3" t="s">
        <v>178</v>
      </c>
      <c r="P4" s="3" t="s">
        <v>44</v>
      </c>
      <c r="Q4" s="3" t="s">
        <v>45</v>
      </c>
      <c r="R4" s="3" t="s">
        <v>103</v>
      </c>
      <c r="S4" s="3" t="s">
        <v>148</v>
      </c>
      <c r="T4" s="3" t="s">
        <v>146</v>
      </c>
      <c r="U4" s="3" t="s">
        <v>145</v>
      </c>
      <c r="V4" s="3" t="s">
        <v>147</v>
      </c>
      <c r="W4" s="3" t="s">
        <v>179</v>
      </c>
      <c r="X4" s="7" t="s">
        <v>46</v>
      </c>
      <c r="Y4" s="7" t="s">
        <v>47</v>
      </c>
      <c r="Z4" s="7" t="s">
        <v>48</v>
      </c>
      <c r="AA4" s="7" t="s">
        <v>160</v>
      </c>
      <c r="AB4" s="7" t="s">
        <v>93</v>
      </c>
      <c r="AC4" s="7" t="s">
        <v>94</v>
      </c>
      <c r="AD4" s="7" t="s">
        <v>113</v>
      </c>
      <c r="AE4" s="7" t="s">
        <v>114</v>
      </c>
      <c r="AF4" s="7" t="s">
        <v>115</v>
      </c>
      <c r="AG4" s="7" t="s">
        <v>116</v>
      </c>
      <c r="AH4" s="7" t="s">
        <v>163</v>
      </c>
      <c r="AI4" s="7" t="s">
        <v>182</v>
      </c>
      <c r="AJ4" s="7" t="s">
        <v>213</v>
      </c>
      <c r="AK4" s="7" t="s">
        <v>187</v>
      </c>
      <c r="AL4" s="7" t="s">
        <v>189</v>
      </c>
      <c r="AM4" s="7" t="s">
        <v>190</v>
      </c>
    </row>
    <row r="5" spans="1:39" s="4" customFormat="1" x14ac:dyDescent="0.35">
      <c r="A5" s="8">
        <v>1</v>
      </c>
      <c r="B5" s="9" t="s">
        <v>49</v>
      </c>
      <c r="C5" s="9" t="s">
        <v>50</v>
      </c>
      <c r="D5" s="9" t="str">
        <f>VLOOKUP(表1[[#This Row],[皮肤名称]],[1]!表1_8[#Data],2,FALSE)</f>
        <v>火炮</v>
      </c>
      <c r="E5" s="9" t="str">
        <f>VLOOKUP(表1[[#This Row],[皮肤说明]],[1]!表1_8[#Data],2,FALSE)</f>
        <v>常规火炮\n子弹反弹2次</v>
      </c>
      <c r="F5" s="8">
        <v>0</v>
      </c>
      <c r="G5" s="8" t="s">
        <v>51</v>
      </c>
      <c r="H5" s="8">
        <v>1</v>
      </c>
      <c r="I5" s="8" t="s">
        <v>52</v>
      </c>
      <c r="J5" s="8">
        <v>150</v>
      </c>
      <c r="K5" s="8" t="s">
        <v>129</v>
      </c>
      <c r="L5" s="8">
        <v>0</v>
      </c>
      <c r="M5" s="8" t="s">
        <v>209</v>
      </c>
      <c r="N5" s="8" t="s">
        <v>164</v>
      </c>
      <c r="O5" s="8">
        <v>0</v>
      </c>
      <c r="P5" s="8">
        <v>1000</v>
      </c>
      <c r="Q5" s="8">
        <v>2</v>
      </c>
      <c r="R5" s="8">
        <v>0</v>
      </c>
      <c r="S5" s="8" t="s">
        <v>53</v>
      </c>
      <c r="T5" s="8">
        <v>0.25</v>
      </c>
      <c r="U5" s="8">
        <v>1</v>
      </c>
      <c r="V5" s="8">
        <v>1</v>
      </c>
      <c r="W5" s="8">
        <v>1</v>
      </c>
      <c r="X5" s="10">
        <v>0</v>
      </c>
      <c r="Y5" s="10">
        <v>1</v>
      </c>
      <c r="Z5" s="10">
        <v>0.6</v>
      </c>
      <c r="AA5" s="10">
        <f>表1[[#This Row],[战斗中缩放]]*0.3</f>
        <v>0.18</v>
      </c>
      <c r="AB5" s="4">
        <v>0</v>
      </c>
      <c r="AC5" s="4">
        <v>1</v>
      </c>
      <c r="AD5" s="4">
        <v>0</v>
      </c>
      <c r="AE5" s="4">
        <v>0</v>
      </c>
      <c r="AF5" s="4">
        <v>0</v>
      </c>
      <c r="AG5" s="4">
        <v>0</v>
      </c>
      <c r="AH5" s="4">
        <v>0</v>
      </c>
      <c r="AI5" s="4">
        <v>0</v>
      </c>
      <c r="AJ5" s="26" t="s">
        <v>216</v>
      </c>
      <c r="AK5" s="4" t="str">
        <f>"[""w" &amp; 500+表1[[#This Row],[id]]&amp;""","&amp;MIN(INT(表1[[#This Row],[售价钻石]]^0.6/10+1)*10,150)&amp;"]"</f>
        <v>["w501",10]</v>
      </c>
      <c r="AL5" s="4">
        <v>0</v>
      </c>
      <c r="AM5" s="4">
        <v>0</v>
      </c>
    </row>
    <row r="6" spans="1:39" s="4" customFormat="1" x14ac:dyDescent="0.35">
      <c r="A6" s="8">
        <v>2</v>
      </c>
      <c r="B6" s="9" t="s">
        <v>54</v>
      </c>
      <c r="C6" s="9" t="s">
        <v>55</v>
      </c>
      <c r="D6" s="9" t="str">
        <f>VLOOKUP(表1[[#This Row],[皮肤名称]],[1]!表1_8[#Data],2,FALSE)</f>
        <v>恶魔之血</v>
      </c>
      <c r="E6" s="9" t="str">
        <f>VLOOKUP(表1[[#This Row],[皮肤说明]],[1]!表1_8[#Data],2,FALSE)</f>
        <v>子弹反弹4次\n子弹命中+1%\n开炮速度+25%</v>
      </c>
      <c r="F6" s="8">
        <v>1</v>
      </c>
      <c r="G6" s="8" t="s">
        <v>56</v>
      </c>
      <c r="H6" s="8">
        <v>2</v>
      </c>
      <c r="I6" s="8" t="s">
        <v>57</v>
      </c>
      <c r="J6" s="8">
        <v>150</v>
      </c>
      <c r="K6" s="8" t="s">
        <v>58</v>
      </c>
      <c r="L6" s="8" t="s">
        <v>58</v>
      </c>
      <c r="M6" s="8" t="s">
        <v>59</v>
      </c>
      <c r="N6" s="8" t="s">
        <v>165</v>
      </c>
      <c r="O6" s="8">
        <v>150</v>
      </c>
      <c r="P6" s="8">
        <v>1000</v>
      </c>
      <c r="Q6" s="8">
        <v>4</v>
      </c>
      <c r="R6" s="8">
        <v>0</v>
      </c>
      <c r="S6" s="8" t="s">
        <v>53</v>
      </c>
      <c r="T6" s="8">
        <v>0.2</v>
      </c>
      <c r="U6" s="8">
        <v>1</v>
      </c>
      <c r="V6" s="8">
        <v>0</v>
      </c>
      <c r="W6" s="8">
        <v>1</v>
      </c>
      <c r="X6" s="10">
        <v>499</v>
      </c>
      <c r="Y6" s="10">
        <v>2</v>
      </c>
      <c r="Z6" s="10">
        <v>0.6</v>
      </c>
      <c r="AA6" s="10">
        <f>表1[[#This Row],[战斗中缩放]]*0.3</f>
        <v>0.18</v>
      </c>
      <c r="AB6" s="4">
        <v>0</v>
      </c>
      <c r="AC6" s="4">
        <v>1</v>
      </c>
      <c r="AD6" s="4">
        <v>0</v>
      </c>
      <c r="AE6" s="4">
        <v>0</v>
      </c>
      <c r="AF6" s="4">
        <v>0</v>
      </c>
      <c r="AG6" s="4">
        <v>0</v>
      </c>
      <c r="AH6" s="4">
        <v>0</v>
      </c>
      <c r="AI6" s="4">
        <v>0</v>
      </c>
      <c r="AJ6" s="26" t="s">
        <v>217</v>
      </c>
      <c r="AK6" s="4" t="str">
        <f>"[""w" &amp; 500+表1[[#This Row],[id]]&amp;""","&amp;MIN(INT(表1[[#This Row],[售价钻石]]^0.6/10+1)*10,150)&amp;"]"</f>
        <v>["w502",50]</v>
      </c>
      <c r="AL6" s="4">
        <v>0</v>
      </c>
      <c r="AM6" s="4">
        <v>0</v>
      </c>
    </row>
    <row r="7" spans="1:39" s="4" customFormat="1" x14ac:dyDescent="0.35">
      <c r="A7" s="8">
        <v>3</v>
      </c>
      <c r="B7" s="9" t="s">
        <v>60</v>
      </c>
      <c r="C7" s="9" t="s">
        <v>61</v>
      </c>
      <c r="D7" s="9" t="str">
        <f>VLOOKUP(表1[[#This Row],[皮肤名称]],[1]!表1_8[#Data],2,FALSE)</f>
        <v>天使之眼</v>
      </c>
      <c r="E7" s="9" t="str">
        <f>VLOOKUP(表1[[#This Row],[皮肤说明]],[1]!表1_8[#Data],2,FALSE)</f>
        <v>子弹无限反弹\n子弹命中+104%\n开炮消耗+100%</v>
      </c>
      <c r="F7" s="8">
        <v>2</v>
      </c>
      <c r="G7" s="8" t="s">
        <v>62</v>
      </c>
      <c r="H7" s="8">
        <v>3</v>
      </c>
      <c r="I7" s="8" t="s">
        <v>63</v>
      </c>
      <c r="J7" s="8">
        <v>150</v>
      </c>
      <c r="K7" s="8" t="s">
        <v>64</v>
      </c>
      <c r="L7" s="8" t="s">
        <v>64</v>
      </c>
      <c r="M7" s="8" t="s">
        <v>65</v>
      </c>
      <c r="N7" s="8" t="s">
        <v>166</v>
      </c>
      <c r="O7" s="8">
        <v>600</v>
      </c>
      <c r="P7" s="8">
        <v>1000</v>
      </c>
      <c r="Q7" s="8">
        <v>999</v>
      </c>
      <c r="R7" s="8">
        <v>0</v>
      </c>
      <c r="S7" s="8" t="s">
        <v>119</v>
      </c>
      <c r="T7" s="8">
        <v>0.25</v>
      </c>
      <c r="U7" s="8">
        <v>1</v>
      </c>
      <c r="V7" s="8">
        <v>0</v>
      </c>
      <c r="W7" s="8">
        <v>1</v>
      </c>
      <c r="X7" s="10">
        <v>9999999</v>
      </c>
      <c r="Y7" s="10">
        <v>3</v>
      </c>
      <c r="Z7" s="10">
        <v>0.6</v>
      </c>
      <c r="AA7" s="10">
        <f>表1[[#This Row],[战斗中缩放]]*0.3</f>
        <v>0.18</v>
      </c>
      <c r="AB7" s="4">
        <v>0</v>
      </c>
      <c r="AC7" s="4">
        <v>1</v>
      </c>
      <c r="AD7" s="4">
        <v>0</v>
      </c>
      <c r="AE7" s="4">
        <v>0</v>
      </c>
      <c r="AF7" s="4">
        <v>0</v>
      </c>
      <c r="AG7" s="4">
        <v>0</v>
      </c>
      <c r="AH7" s="4">
        <v>1</v>
      </c>
      <c r="AI7" s="4">
        <v>0</v>
      </c>
      <c r="AJ7" s="26" t="s">
        <v>218</v>
      </c>
      <c r="AK7" s="4" t="str">
        <f>"[""w" &amp; 500+表1[[#This Row],[id]]&amp;""","&amp;MIN(INT(表1[[#This Row],[售价钻石]]^0.6/10+1)*10,150)&amp;"]"</f>
        <v>["w503",150]</v>
      </c>
      <c r="AL7" s="4">
        <v>0</v>
      </c>
      <c r="AM7" s="4">
        <v>0</v>
      </c>
    </row>
    <row r="8" spans="1:39" s="4" customFormat="1" x14ac:dyDescent="0.35">
      <c r="A8" s="8">
        <v>4</v>
      </c>
      <c r="B8" s="9" t="s">
        <v>66</v>
      </c>
      <c r="C8" s="9" t="s">
        <v>67</v>
      </c>
      <c r="D8" s="9" t="str">
        <f>VLOOKUP(表1[[#This Row],[皮肤名称]],[1]!表1_8[#Data],2,FALSE)</f>
        <v>GX770电磁炮</v>
      </c>
      <c r="E8" s="9" t="str">
        <f>VLOOKUP(表1[[#This Row],[皮肤说明]],[1]!表1_8[#Data],2,FALSE)</f>
        <v>子弹反弹3次\n获得金币+102%\n开炮消耗+100%\n激光累积速度+100%</v>
      </c>
      <c r="F8" s="8">
        <v>3</v>
      </c>
      <c r="G8" s="8" t="s">
        <v>68</v>
      </c>
      <c r="H8" s="8">
        <v>4</v>
      </c>
      <c r="I8" s="8" t="s">
        <v>69</v>
      </c>
      <c r="J8" s="8">
        <v>150</v>
      </c>
      <c r="K8" s="8" t="s">
        <v>70</v>
      </c>
      <c r="L8" s="8" t="s">
        <v>70</v>
      </c>
      <c r="M8" s="8" t="s">
        <v>71</v>
      </c>
      <c r="N8" s="8" t="s">
        <v>167</v>
      </c>
      <c r="O8" s="8">
        <v>240</v>
      </c>
      <c r="P8" s="8">
        <v>1000</v>
      </c>
      <c r="Q8" s="8">
        <v>3</v>
      </c>
      <c r="R8" s="8">
        <v>0</v>
      </c>
      <c r="S8" s="8" t="s">
        <v>97</v>
      </c>
      <c r="T8" s="8">
        <v>0.25</v>
      </c>
      <c r="U8" s="8">
        <v>1</v>
      </c>
      <c r="V8" s="8">
        <v>0</v>
      </c>
      <c r="W8" s="8">
        <v>1</v>
      </c>
      <c r="X8" s="10">
        <v>699</v>
      </c>
      <c r="Y8" s="10">
        <v>4</v>
      </c>
      <c r="Z8" s="10">
        <v>0.6</v>
      </c>
      <c r="AA8" s="10">
        <f>表1[[#This Row],[战斗中缩放]]*0.3</f>
        <v>0.18</v>
      </c>
      <c r="AB8" s="4">
        <v>0</v>
      </c>
      <c r="AC8" s="4">
        <v>1</v>
      </c>
      <c r="AD8" s="4">
        <v>0</v>
      </c>
      <c r="AE8" s="4">
        <v>0</v>
      </c>
      <c r="AF8" s="4">
        <v>0</v>
      </c>
      <c r="AG8" s="4">
        <v>0</v>
      </c>
      <c r="AH8" s="4">
        <v>0</v>
      </c>
      <c r="AI8" s="4">
        <v>0</v>
      </c>
      <c r="AJ8" s="26" t="s">
        <v>219</v>
      </c>
      <c r="AK8" s="4" t="str">
        <f>"[""w" &amp; 500+表1[[#This Row],[id]]&amp;""","&amp;MIN(INT(表1[[#This Row],[售价钻石]]^0.6/10+1)*10,150)&amp;"]"</f>
        <v>["w504",60]</v>
      </c>
      <c r="AL8" s="4">
        <v>0</v>
      </c>
      <c r="AM8" s="4">
        <v>0</v>
      </c>
    </row>
    <row r="9" spans="1:39" s="4" customFormat="1" x14ac:dyDescent="0.35">
      <c r="A9" s="8">
        <v>5</v>
      </c>
      <c r="B9" s="9" t="s">
        <v>72</v>
      </c>
      <c r="C9" s="9" t="s">
        <v>73</v>
      </c>
      <c r="D9" s="9" t="str">
        <f>VLOOKUP(表1[[#This Row],[皮肤名称]],[1]!表1_8[#Data],2,FALSE)</f>
        <v>熔岩巨炮</v>
      </c>
      <c r="E9" s="9" t="str">
        <f>VLOOKUP(表1[[#This Row],[皮肤说明]],[1]!表1_8[#Data],2,FALSE)</f>
        <v>子弹反弹5次\n子弹命中+1%\n子弹速度+100%</v>
      </c>
      <c r="F9" s="8">
        <v>4</v>
      </c>
      <c r="G9" s="8" t="s">
        <v>74</v>
      </c>
      <c r="H9" s="8">
        <v>5</v>
      </c>
      <c r="I9" s="8" t="s">
        <v>75</v>
      </c>
      <c r="J9" s="8">
        <v>120</v>
      </c>
      <c r="K9" s="8" t="s">
        <v>76</v>
      </c>
      <c r="L9" s="8" t="s">
        <v>76</v>
      </c>
      <c r="M9" s="8" t="s">
        <v>77</v>
      </c>
      <c r="N9" s="8" t="s">
        <v>168</v>
      </c>
      <c r="O9" s="8">
        <v>90</v>
      </c>
      <c r="P9" s="8">
        <v>2000</v>
      </c>
      <c r="Q9" s="8">
        <v>5</v>
      </c>
      <c r="R9" s="8">
        <v>0</v>
      </c>
      <c r="S9" s="8" t="s">
        <v>53</v>
      </c>
      <c r="T9" s="8">
        <v>0.25</v>
      </c>
      <c r="U9" s="8">
        <v>1</v>
      </c>
      <c r="V9" s="8">
        <v>0</v>
      </c>
      <c r="W9" s="8">
        <v>1</v>
      </c>
      <c r="X9" s="10">
        <v>299</v>
      </c>
      <c r="Y9" s="10">
        <v>5</v>
      </c>
      <c r="Z9" s="10">
        <v>0.55000000000000004</v>
      </c>
      <c r="AA9" s="10">
        <f>表1[[#This Row],[战斗中缩放]]*0.3</f>
        <v>0.16500000000000001</v>
      </c>
      <c r="AB9" s="4">
        <v>0</v>
      </c>
      <c r="AC9" s="4">
        <v>1</v>
      </c>
      <c r="AD9" s="4">
        <v>0</v>
      </c>
      <c r="AE9" s="4">
        <v>0</v>
      </c>
      <c r="AF9" s="4">
        <v>0</v>
      </c>
      <c r="AG9" s="4">
        <v>0</v>
      </c>
      <c r="AH9" s="4">
        <v>0</v>
      </c>
      <c r="AI9" s="4">
        <v>0</v>
      </c>
      <c r="AJ9" s="26" t="s">
        <v>220</v>
      </c>
      <c r="AK9" s="4" t="str">
        <f>"[""w" &amp; 500+表1[[#This Row],[id]]&amp;""","&amp;MIN(INT(表1[[#This Row],[售价钻石]]^0.6/10+1)*10,150)&amp;"]"</f>
        <v>["w505",40]</v>
      </c>
      <c r="AL9" s="4">
        <v>0</v>
      </c>
      <c r="AM9" s="4">
        <v>0</v>
      </c>
    </row>
    <row r="10" spans="1:39" s="4" customFormat="1" x14ac:dyDescent="0.35">
      <c r="A10" s="8">
        <v>6</v>
      </c>
      <c r="B10" s="9" t="s">
        <v>78</v>
      </c>
      <c r="C10" s="9" t="s">
        <v>79</v>
      </c>
      <c r="D10" s="9" t="str">
        <f>VLOOKUP(表1[[#This Row],[皮肤名称]],[1]!表1_8[#Data],2,FALSE)</f>
        <v>蛤蟆文太</v>
      </c>
      <c r="E10" s="9" t="str">
        <f>VLOOKUP(表1[[#This Row],[皮肤说明]],[1]!表1_8[#Data],2,FALSE)</f>
        <v>自带锁定\n子弹命中+408%\n开炮消耗+400%\n激光累积速度+400%</v>
      </c>
      <c r="F10" s="8">
        <v>5</v>
      </c>
      <c r="G10" s="8" t="s">
        <v>80</v>
      </c>
      <c r="H10" s="8">
        <v>6</v>
      </c>
      <c r="I10" s="8" t="s">
        <v>75</v>
      </c>
      <c r="J10" s="8">
        <v>0</v>
      </c>
      <c r="K10" s="8" t="s">
        <v>81</v>
      </c>
      <c r="L10" s="8" t="s">
        <v>81</v>
      </c>
      <c r="M10" s="8" t="s">
        <v>77</v>
      </c>
      <c r="N10" s="8" t="s">
        <v>169</v>
      </c>
      <c r="O10" s="8">
        <v>630</v>
      </c>
      <c r="P10" s="8">
        <v>8000</v>
      </c>
      <c r="Q10" s="8">
        <v>0</v>
      </c>
      <c r="R10" s="8">
        <v>0</v>
      </c>
      <c r="S10" s="8" t="s">
        <v>120</v>
      </c>
      <c r="T10" s="8">
        <v>0.6</v>
      </c>
      <c r="U10" s="8">
        <v>1</v>
      </c>
      <c r="V10" s="8">
        <v>0</v>
      </c>
      <c r="W10" s="8">
        <v>1</v>
      </c>
      <c r="X10" s="10">
        <v>1799</v>
      </c>
      <c r="Y10" s="10">
        <v>6</v>
      </c>
      <c r="Z10" s="10">
        <v>0.6</v>
      </c>
      <c r="AA10" s="10">
        <f>表1[[#This Row],[战斗中缩放]]*0.3</f>
        <v>0.18</v>
      </c>
      <c r="AB10" s="4">
        <v>0</v>
      </c>
      <c r="AC10" s="4">
        <v>1</v>
      </c>
      <c r="AD10" s="4">
        <v>0</v>
      </c>
      <c r="AE10" s="4">
        <v>0</v>
      </c>
      <c r="AF10" s="4">
        <v>0</v>
      </c>
      <c r="AG10" s="4">
        <v>0</v>
      </c>
      <c r="AH10" s="4">
        <v>1</v>
      </c>
      <c r="AI10" s="4">
        <v>0</v>
      </c>
      <c r="AJ10" s="26" t="s">
        <v>221</v>
      </c>
      <c r="AK10" s="4" t="str">
        <f>"[""w" &amp; 500+表1[[#This Row],[id]]&amp;""","&amp;MIN(INT(表1[[#This Row],[售价钻石]]^0.6/10+1)*10,150)&amp;"]"</f>
        <v>["w506",90]</v>
      </c>
      <c r="AL10" s="4">
        <v>0</v>
      </c>
      <c r="AM10" s="4">
        <v>0</v>
      </c>
    </row>
    <row r="11" spans="1:39" s="4" customFormat="1" x14ac:dyDescent="0.35">
      <c r="A11" s="8">
        <v>7</v>
      </c>
      <c r="B11" s="9" t="s">
        <v>82</v>
      </c>
      <c r="C11" s="9" t="s">
        <v>83</v>
      </c>
      <c r="D11" s="9" t="str">
        <f>VLOOKUP(表1[[#This Row],[皮肤名称]],[1]!表1_8[#Data],2,FALSE)</f>
        <v>星舰·黎明</v>
      </c>
      <c r="E11" s="9" t="str">
        <f>VLOOKUP(表1[[#This Row],[皮肤说明]],[1]!表1_8[#Data],2,FALSE)</f>
        <v>子弹无限反弹\n子弹命中+1%\n获得金币+1%\n开炮速度+100%</v>
      </c>
      <c r="F11" s="8">
        <v>6</v>
      </c>
      <c r="G11" s="8" t="s">
        <v>84</v>
      </c>
      <c r="H11" s="8">
        <v>7</v>
      </c>
      <c r="I11" s="8" t="s">
        <v>75</v>
      </c>
      <c r="J11" s="8">
        <v>100</v>
      </c>
      <c r="K11" s="8" t="s">
        <v>85</v>
      </c>
      <c r="L11" s="8" t="s">
        <v>85</v>
      </c>
      <c r="M11" s="8" t="s">
        <v>90</v>
      </c>
      <c r="N11" s="8" t="s">
        <v>170</v>
      </c>
      <c r="O11" s="8">
        <v>690</v>
      </c>
      <c r="P11" s="8">
        <v>1000</v>
      </c>
      <c r="Q11" s="8">
        <v>999</v>
      </c>
      <c r="R11" s="8">
        <v>0</v>
      </c>
      <c r="S11" s="8" t="s">
        <v>208</v>
      </c>
      <c r="T11" s="8">
        <v>0.13</v>
      </c>
      <c r="U11" s="8">
        <v>1</v>
      </c>
      <c r="V11" s="8">
        <v>0</v>
      </c>
      <c r="W11" s="8">
        <v>1</v>
      </c>
      <c r="X11" s="10">
        <v>1999</v>
      </c>
      <c r="Y11" s="10">
        <v>7</v>
      </c>
      <c r="Z11" s="10">
        <v>0.6</v>
      </c>
      <c r="AA11" s="10">
        <f>表1[[#This Row],[战斗中缩放]]*0.3</f>
        <v>0.18</v>
      </c>
      <c r="AB11" s="4">
        <v>0</v>
      </c>
      <c r="AC11" s="4">
        <v>1</v>
      </c>
      <c r="AD11" s="4">
        <v>0</v>
      </c>
      <c r="AE11" s="4">
        <v>0</v>
      </c>
      <c r="AF11" s="4">
        <v>0</v>
      </c>
      <c r="AG11" s="4">
        <v>0</v>
      </c>
      <c r="AH11" s="4">
        <v>1</v>
      </c>
      <c r="AI11" s="4">
        <v>0</v>
      </c>
      <c r="AJ11" s="26" t="s">
        <v>222</v>
      </c>
      <c r="AK11" s="4" t="str">
        <f>"[""w" &amp; 500+表1[[#This Row],[id]]&amp;""","&amp;MIN(INT(表1[[#This Row],[售价钻石]]^0.6/10+1)*10,150)&amp;"]"</f>
        <v>["w507",100]</v>
      </c>
      <c r="AL11" s="4">
        <v>0</v>
      </c>
      <c r="AM11" s="4">
        <v>0</v>
      </c>
    </row>
    <row r="12" spans="1:39" s="4" customFormat="1" x14ac:dyDescent="0.35">
      <c r="A12" s="8">
        <v>8</v>
      </c>
      <c r="B12" s="9" t="s">
        <v>101</v>
      </c>
      <c r="C12" s="9" t="s">
        <v>102</v>
      </c>
      <c r="D12" s="14" t="str">
        <f>VLOOKUP(表1[[#This Row],[皮肤名称]],[1]!表1_8[#Data],2,FALSE)</f>
        <v>泡泡膛</v>
      </c>
      <c r="E12" s="14" t="str">
        <f>VLOOKUP(表1[[#This Row],[皮肤说明]],[1]!表1_8[#Data],2,FALSE)</f>
        <v>发射水炮到地上\n开炮消耗+100%\n激光累积速度+100%\n14%概率额外发射8颗水泡</v>
      </c>
      <c r="F12" s="8">
        <v>7</v>
      </c>
      <c r="G12" s="8" t="s">
        <v>106</v>
      </c>
      <c r="H12" s="8">
        <v>8</v>
      </c>
      <c r="I12" s="8" t="s">
        <v>75</v>
      </c>
      <c r="J12" s="8">
        <v>0</v>
      </c>
      <c r="K12" s="8" t="s">
        <v>107</v>
      </c>
      <c r="L12" s="8" t="s">
        <v>85</v>
      </c>
      <c r="M12" s="8" t="s">
        <v>108</v>
      </c>
      <c r="N12" s="8" t="s">
        <v>171</v>
      </c>
      <c r="O12" s="8">
        <v>750</v>
      </c>
      <c r="P12" s="8">
        <v>1000</v>
      </c>
      <c r="Q12" s="8">
        <v>0</v>
      </c>
      <c r="R12" s="8">
        <v>0.13</v>
      </c>
      <c r="S12" s="8" t="s">
        <v>149</v>
      </c>
      <c r="T12" s="8">
        <v>0.26</v>
      </c>
      <c r="U12" s="8">
        <v>1</v>
      </c>
      <c r="V12" s="8">
        <v>0</v>
      </c>
      <c r="W12" s="8">
        <v>1</v>
      </c>
      <c r="X12" s="10">
        <v>2099</v>
      </c>
      <c r="Y12" s="10">
        <v>8</v>
      </c>
      <c r="Z12" s="10">
        <v>0.6</v>
      </c>
      <c r="AA12" s="10">
        <f>表1[[#This Row],[战斗中缩放]]*0.3</f>
        <v>0.18</v>
      </c>
      <c r="AB12" s="15">
        <v>0</v>
      </c>
      <c r="AC12" s="4">
        <v>1</v>
      </c>
      <c r="AD12" s="4">
        <v>0</v>
      </c>
      <c r="AE12" s="4">
        <v>0</v>
      </c>
      <c r="AF12" s="4">
        <v>0</v>
      </c>
      <c r="AG12" s="4">
        <v>0</v>
      </c>
      <c r="AH12" s="4">
        <v>1</v>
      </c>
      <c r="AI12" s="4">
        <v>0</v>
      </c>
      <c r="AJ12" s="26" t="s">
        <v>223</v>
      </c>
      <c r="AK12" s="4" t="str">
        <f>"[""w" &amp; 500+表1[[#This Row],[id]]&amp;""","&amp;MIN(INT(表1[[#This Row],[售价钻石]]^0.6/10+1)*10,150)&amp;"]"</f>
        <v>["w508",100]</v>
      </c>
      <c r="AL12" s="4">
        <v>0</v>
      </c>
      <c r="AM12" s="4">
        <v>0</v>
      </c>
    </row>
    <row r="13" spans="1:39" s="4" customFormat="1" x14ac:dyDescent="0.35">
      <c r="A13" s="8">
        <v>9</v>
      </c>
      <c r="B13" s="9" t="s">
        <v>117</v>
      </c>
      <c r="C13" s="9" t="s">
        <v>118</v>
      </c>
      <c r="D13" s="14" t="str">
        <f>VLOOKUP(表1[[#This Row],[皮肤名称]],[1]!表1_8[#Data],2,FALSE)</f>
        <v>黄金加特林</v>
      </c>
      <c r="E13" s="14" t="str">
        <f>VLOOKUP(表1[[#This Row],[皮肤说明]],[1]!表1_8[#Data],2,FALSE)</f>
        <v>子弹无限反弹\n子弹命中+2%\n开炮速度+150%</v>
      </c>
      <c r="F13" s="8">
        <v>8</v>
      </c>
      <c r="G13" s="8" t="s">
        <v>124</v>
      </c>
      <c r="H13" s="8">
        <v>9</v>
      </c>
      <c r="I13" s="8" t="s">
        <v>75</v>
      </c>
      <c r="J13" s="8">
        <v>150</v>
      </c>
      <c r="K13" s="8" t="s">
        <v>121</v>
      </c>
      <c r="L13" s="8" t="s">
        <v>122</v>
      </c>
      <c r="M13" s="8" t="s">
        <v>128</v>
      </c>
      <c r="N13" s="8" t="s">
        <v>172</v>
      </c>
      <c r="O13" s="8">
        <v>630</v>
      </c>
      <c r="P13" s="8">
        <v>1000</v>
      </c>
      <c r="Q13" s="8">
        <v>999</v>
      </c>
      <c r="R13" s="8">
        <v>0</v>
      </c>
      <c r="S13" s="8" t="s">
        <v>123</v>
      </c>
      <c r="T13" s="8">
        <v>0.1</v>
      </c>
      <c r="U13" s="8">
        <v>1</v>
      </c>
      <c r="V13" s="8">
        <v>0</v>
      </c>
      <c r="W13" s="8">
        <v>1</v>
      </c>
      <c r="X13" s="10">
        <v>1799</v>
      </c>
      <c r="Y13" s="10">
        <v>9</v>
      </c>
      <c r="Z13" s="10">
        <v>0.6</v>
      </c>
      <c r="AA13" s="10">
        <f>表1[[#This Row],[战斗中缩放]]*0.3</f>
        <v>0.18</v>
      </c>
      <c r="AB13" s="15">
        <v>0</v>
      </c>
      <c r="AC13" s="4">
        <v>1</v>
      </c>
      <c r="AD13" s="4">
        <v>100</v>
      </c>
      <c r="AE13" s="4">
        <v>5</v>
      </c>
      <c r="AF13" s="4">
        <v>10</v>
      </c>
      <c r="AG13" s="4">
        <v>0.5</v>
      </c>
      <c r="AH13" s="4">
        <v>1</v>
      </c>
      <c r="AI13" s="4">
        <v>0</v>
      </c>
      <c r="AJ13" s="26" t="s">
        <v>224</v>
      </c>
      <c r="AK13" s="4" t="str">
        <f>"[""w" &amp; 500+表1[[#This Row],[id]]&amp;""","&amp;MIN(INT(表1[[#This Row],[售价钻石]]^0.6/10+1)*10,150)&amp;"]"</f>
        <v>["w509",90]</v>
      </c>
      <c r="AL13" s="4">
        <v>0</v>
      </c>
      <c r="AM13" s="4">
        <v>0</v>
      </c>
    </row>
    <row r="14" spans="1:39" s="4" customFormat="1" x14ac:dyDescent="0.35">
      <c r="A14" s="8">
        <v>10</v>
      </c>
      <c r="B14" s="9" t="s">
        <v>131</v>
      </c>
      <c r="C14" s="9" t="s">
        <v>132</v>
      </c>
      <c r="D14" s="14" t="str">
        <f>VLOOKUP(表1[[#This Row],[皮肤名称]],[1]!表1_8[#Data],2,FALSE)</f>
        <v>星舰·孤狼</v>
      </c>
      <c r="E14" s="14" t="str">
        <f>VLOOKUP(表1[[#This Row],[皮肤说明]],[1]!表1_8[#Data],2,FALSE)</f>
        <v>激光扫射\n子弹命中+205%\n开炮消耗+200%\n激光累积速度+200%</v>
      </c>
      <c r="F14" s="8">
        <v>9</v>
      </c>
      <c r="G14" s="8" t="s">
        <v>141</v>
      </c>
      <c r="H14" s="8">
        <v>10</v>
      </c>
      <c r="I14" s="8" t="s">
        <v>133</v>
      </c>
      <c r="J14" s="8">
        <v>0</v>
      </c>
      <c r="K14" s="8" t="s">
        <v>140</v>
      </c>
      <c r="L14" s="8" t="s">
        <v>140</v>
      </c>
      <c r="M14" s="8">
        <v>0</v>
      </c>
      <c r="N14" s="8" t="s">
        <v>173</v>
      </c>
      <c r="O14" s="8">
        <v>480</v>
      </c>
      <c r="P14" s="8">
        <v>1000</v>
      </c>
      <c r="Q14" s="8">
        <v>0</v>
      </c>
      <c r="R14" s="8">
        <v>100.801</v>
      </c>
      <c r="S14" s="8" t="s">
        <v>143</v>
      </c>
      <c r="T14" s="8">
        <v>0.4</v>
      </c>
      <c r="U14" s="8">
        <v>1</v>
      </c>
      <c r="V14" s="8">
        <v>0</v>
      </c>
      <c r="W14" s="8">
        <v>1</v>
      </c>
      <c r="X14" s="10">
        <v>9999999</v>
      </c>
      <c r="Y14" s="10">
        <v>10</v>
      </c>
      <c r="Z14" s="10">
        <v>0.7</v>
      </c>
      <c r="AA14" s="10">
        <f>表1[[#This Row],[战斗中缩放]]*0.3</f>
        <v>0.21</v>
      </c>
      <c r="AB14" s="15">
        <v>0</v>
      </c>
      <c r="AC14" s="4">
        <v>1</v>
      </c>
      <c r="AD14" s="4">
        <v>0</v>
      </c>
      <c r="AE14" s="4">
        <v>0</v>
      </c>
      <c r="AF14" s="4">
        <v>0</v>
      </c>
      <c r="AG14" s="4">
        <v>0</v>
      </c>
      <c r="AH14" s="4">
        <v>1</v>
      </c>
      <c r="AI14" s="4">
        <v>0</v>
      </c>
      <c r="AJ14" s="26" t="s">
        <v>225</v>
      </c>
      <c r="AK14" s="4" t="str">
        <f>"[""w" &amp; 500+表1[[#This Row],[id]]&amp;""","&amp;MIN(INT(表1[[#This Row],[售价钻石]]^0.6/10+1)*10,150)&amp;"]"</f>
        <v>["w510",150]</v>
      </c>
      <c r="AL14" s="4">
        <v>0</v>
      </c>
      <c r="AM14" s="4">
        <v>0</v>
      </c>
    </row>
    <row r="15" spans="1:39" s="4" customFormat="1" x14ac:dyDescent="0.35">
      <c r="A15" s="8">
        <v>11</v>
      </c>
      <c r="B15" s="9" t="s">
        <v>125</v>
      </c>
      <c r="C15" s="9" t="s">
        <v>126</v>
      </c>
      <c r="D15" s="14" t="str">
        <f>VLOOKUP(表1[[#This Row],[皮肤名称]],[1]!表1_8[#Data],2,FALSE)</f>
        <v>电玩精英</v>
      </c>
      <c r="E15" s="14" t="str">
        <f>VLOOKUP(表1[[#This Row],[皮肤说明]],[1]!表1_8[#Data],2,FALSE)</f>
        <v>子弹无限反弹\n激光累积速度+100%\n捕获奖金鱼获得奖金+15%\n子弹命中、开炮消耗+100%</v>
      </c>
      <c r="F15" s="8">
        <v>10</v>
      </c>
      <c r="G15" s="8" t="s">
        <v>134</v>
      </c>
      <c r="H15" s="8">
        <v>11</v>
      </c>
      <c r="I15" s="8" t="s">
        <v>127</v>
      </c>
      <c r="J15" s="8">
        <v>150</v>
      </c>
      <c r="K15" s="8" t="s">
        <v>155</v>
      </c>
      <c r="L15" s="8" t="s">
        <v>121</v>
      </c>
      <c r="M15" s="8" t="s">
        <v>130</v>
      </c>
      <c r="N15" s="8" t="s">
        <v>174</v>
      </c>
      <c r="O15" s="8">
        <v>660</v>
      </c>
      <c r="P15" s="8">
        <v>1000</v>
      </c>
      <c r="Q15" s="8">
        <v>999</v>
      </c>
      <c r="R15" s="8">
        <v>0.15</v>
      </c>
      <c r="S15" s="8" t="s">
        <v>193</v>
      </c>
      <c r="T15" s="8">
        <v>0.25</v>
      </c>
      <c r="U15" s="8">
        <v>1</v>
      </c>
      <c r="V15" s="8">
        <v>0</v>
      </c>
      <c r="W15" s="8">
        <v>1</v>
      </c>
      <c r="X15" s="10">
        <v>1899</v>
      </c>
      <c r="Y15" s="10">
        <v>11</v>
      </c>
      <c r="Z15" s="10">
        <v>0.65</v>
      </c>
      <c r="AA15" s="10">
        <f>表1[[#This Row],[战斗中缩放]]*0.3</f>
        <v>0.19500000000000001</v>
      </c>
      <c r="AB15" s="15">
        <v>0</v>
      </c>
      <c r="AC15" s="4">
        <v>1</v>
      </c>
      <c r="AD15" s="4">
        <v>0</v>
      </c>
      <c r="AE15" s="4">
        <v>0</v>
      </c>
      <c r="AF15" s="4">
        <v>0</v>
      </c>
      <c r="AG15" s="4">
        <v>0</v>
      </c>
      <c r="AH15" s="4">
        <v>1</v>
      </c>
      <c r="AI15" s="4">
        <v>0</v>
      </c>
      <c r="AJ15" s="26" t="s">
        <v>226</v>
      </c>
      <c r="AK15" s="4" t="str">
        <f>"[""w" &amp; 500+表1[[#This Row],[id]]&amp;""","&amp;MIN(INT(表1[[#This Row],[售价钻石]]^0.6/10+1)*10,150)&amp;"]"</f>
        <v>["w511",100]</v>
      </c>
      <c r="AL15" s="4">
        <v>0</v>
      </c>
      <c r="AM15" s="4">
        <v>0</v>
      </c>
    </row>
    <row r="16" spans="1:39" s="4" customFormat="1" x14ac:dyDescent="0.35">
      <c r="A16" s="8">
        <v>12</v>
      </c>
      <c r="B16" s="9" t="s">
        <v>138</v>
      </c>
      <c r="C16" s="9" t="s">
        <v>139</v>
      </c>
      <c r="D16" s="14" t="str">
        <f>VLOOKUP(表1[[#This Row],[皮肤名称]],[1]!表1_8[#Data],2,FALSE)</f>
        <v>霜之哀伤</v>
      </c>
      <c r="E16" s="14" t="str">
        <f>VLOOKUP(表1[[#This Row],[皮肤说明]],[1]!表1_8[#Data],2,FALSE)</f>
        <v>子弹无限反弹\n开炮速度+70%\n降低鱼游动速度80%\n子弹命中、获得金币+1%</v>
      </c>
      <c r="F16" s="8">
        <v>11</v>
      </c>
      <c r="G16" s="8" t="s">
        <v>135</v>
      </c>
      <c r="H16" s="8">
        <v>12</v>
      </c>
      <c r="I16" s="8" t="s">
        <v>137</v>
      </c>
      <c r="J16" s="8">
        <v>150</v>
      </c>
      <c r="K16" s="8" t="s">
        <v>144</v>
      </c>
      <c r="L16" s="8" t="s">
        <v>144</v>
      </c>
      <c r="M16" s="8" t="s">
        <v>142</v>
      </c>
      <c r="N16" s="8" t="s">
        <v>175</v>
      </c>
      <c r="O16" s="8">
        <v>780</v>
      </c>
      <c r="P16" s="8">
        <v>1000</v>
      </c>
      <c r="Q16" s="8">
        <v>999</v>
      </c>
      <c r="R16" s="8">
        <v>0.7</v>
      </c>
      <c r="S16" s="8" t="s">
        <v>195</v>
      </c>
      <c r="T16" s="8">
        <v>0.15</v>
      </c>
      <c r="U16" s="8">
        <v>1</v>
      </c>
      <c r="V16" s="8">
        <v>0</v>
      </c>
      <c r="W16" s="8">
        <v>1</v>
      </c>
      <c r="X16" s="10">
        <v>2199</v>
      </c>
      <c r="Y16" s="10">
        <v>12</v>
      </c>
      <c r="Z16" s="10">
        <v>0.6</v>
      </c>
      <c r="AA16" s="10">
        <f>表1[[#This Row],[战斗中缩放]]*0.3</f>
        <v>0.18</v>
      </c>
      <c r="AB16" s="15">
        <v>0</v>
      </c>
      <c r="AC16" s="4">
        <v>1</v>
      </c>
      <c r="AD16" s="4">
        <v>0</v>
      </c>
      <c r="AE16" s="4">
        <v>0</v>
      </c>
      <c r="AF16" s="4">
        <v>0</v>
      </c>
      <c r="AG16" s="4">
        <v>0</v>
      </c>
      <c r="AH16" s="4">
        <v>0</v>
      </c>
      <c r="AI16" s="4" t="s">
        <v>186</v>
      </c>
      <c r="AJ16" s="26" t="s">
        <v>227</v>
      </c>
      <c r="AK16" s="4" t="str">
        <f>"[""w" &amp; 500+表1[[#This Row],[id]]&amp;""","&amp;MIN(INT(表1[[#This Row],[售价钻石]]^0.6/10+1)*10,150)&amp;"]"</f>
        <v>["w512",110]</v>
      </c>
      <c r="AL16" s="4">
        <v>0</v>
      </c>
      <c r="AM16" s="4">
        <v>0</v>
      </c>
    </row>
    <row r="17" spans="1:39" s="4" customFormat="1" x14ac:dyDescent="0.35">
      <c r="A17" s="8">
        <v>13</v>
      </c>
      <c r="B17" s="9" t="s">
        <v>150</v>
      </c>
      <c r="C17" s="9" t="s">
        <v>151</v>
      </c>
      <c r="D17" s="14" t="str">
        <f>VLOOKUP(表1[[#This Row],[皮肤名称]],[1]!表1_8[#Data],2,FALSE)</f>
        <v>赤炎女神的诅咒</v>
      </c>
      <c r="E17" s="14" t="str">
        <f>VLOOKUP(表1[[#This Row],[皮肤说明]],[1]!表1_8[#Data],2,FALSE)</f>
        <v>子弹无限反弹\n子弹命中+2%\n每次攻击使鱼分值减1\n并同比例提高其捕获率</v>
      </c>
      <c r="F17" s="8">
        <v>12</v>
      </c>
      <c r="G17" s="8" t="s">
        <v>153</v>
      </c>
      <c r="H17" s="8">
        <v>13</v>
      </c>
      <c r="I17" s="8" t="s">
        <v>137</v>
      </c>
      <c r="J17" s="8">
        <v>150</v>
      </c>
      <c r="K17" s="8" t="s">
        <v>154</v>
      </c>
      <c r="L17" s="8" t="s">
        <v>154</v>
      </c>
      <c r="M17" s="8" t="s">
        <v>152</v>
      </c>
      <c r="N17" s="8" t="s">
        <v>176</v>
      </c>
      <c r="O17" s="8">
        <v>930</v>
      </c>
      <c r="P17" s="8">
        <v>1000</v>
      </c>
      <c r="Q17" s="8">
        <v>999</v>
      </c>
      <c r="R17" s="8">
        <v>1</v>
      </c>
      <c r="S17" s="8" t="s">
        <v>89</v>
      </c>
      <c r="T17" s="8">
        <v>0.25</v>
      </c>
      <c r="U17" s="8">
        <v>1</v>
      </c>
      <c r="V17" s="8">
        <v>0</v>
      </c>
      <c r="W17" s="8">
        <v>0</v>
      </c>
      <c r="X17" s="10">
        <v>2599</v>
      </c>
      <c r="Y17" s="10">
        <v>13</v>
      </c>
      <c r="Z17" s="10">
        <v>1</v>
      </c>
      <c r="AA17" s="10">
        <f>表1[[#This Row],[战斗中缩放]]*0.3</f>
        <v>0.3</v>
      </c>
      <c r="AB17" s="15">
        <v>0</v>
      </c>
      <c r="AC17" s="4">
        <v>1</v>
      </c>
      <c r="AD17" s="4">
        <v>0</v>
      </c>
      <c r="AE17" s="4">
        <v>0</v>
      </c>
      <c r="AF17" s="4">
        <v>0</v>
      </c>
      <c r="AG17" s="4">
        <v>0</v>
      </c>
      <c r="AH17" s="4">
        <v>1</v>
      </c>
      <c r="AI17" s="4" t="s">
        <v>185</v>
      </c>
      <c r="AJ17" s="26" t="s">
        <v>228</v>
      </c>
      <c r="AK17" s="4" t="str">
        <f>"[""w" &amp; 500+表1[[#This Row],[id]]&amp;""","&amp;MIN(INT(表1[[#This Row],[售价钻石]]^0.6/10+1)*10,150)&amp;"]"</f>
        <v>["w513",120]</v>
      </c>
      <c r="AL17" s="4">
        <v>0</v>
      </c>
      <c r="AM17" s="4">
        <v>0</v>
      </c>
    </row>
    <row r="18" spans="1:39" s="4" customFormat="1" x14ac:dyDescent="0.35">
      <c r="A18" s="8">
        <v>14</v>
      </c>
      <c r="B18" s="9" t="s">
        <v>196</v>
      </c>
      <c r="C18" s="9" t="s">
        <v>197</v>
      </c>
      <c r="D18" s="14" t="str">
        <f>VLOOKUP(表1[[#This Row],[皮肤名称]],[1]!表1_8[#Data],2,FALSE)</f>
        <v>月亮兔</v>
      </c>
      <c r="E18" s="14" t="str">
        <f>VLOOKUP(表1[[#This Row],[皮肤说明]],[1]!表1_8[#Data],2,FALSE)</f>
        <v>子弹无限反弹\n开炮消耗+100%\n激光累积速度+100%\n击中时52%概率产生新子弹</v>
      </c>
      <c r="F18" s="8">
        <v>13</v>
      </c>
      <c r="G18" s="8" t="s">
        <v>206</v>
      </c>
      <c r="H18" s="8">
        <v>1</v>
      </c>
      <c r="I18" s="8" t="s">
        <v>137</v>
      </c>
      <c r="J18" s="8">
        <v>0</v>
      </c>
      <c r="K18" s="8" t="s">
        <v>204</v>
      </c>
      <c r="L18" s="8" t="s">
        <v>204</v>
      </c>
      <c r="M18" s="8" t="s">
        <v>200</v>
      </c>
      <c r="N18" s="8" t="s">
        <v>203</v>
      </c>
      <c r="O18" s="16">
        <v>1080</v>
      </c>
      <c r="P18" s="8">
        <v>500</v>
      </c>
      <c r="Q18" s="8">
        <v>999</v>
      </c>
      <c r="R18" s="8">
        <v>0.504</v>
      </c>
      <c r="S18" s="8" t="s">
        <v>149</v>
      </c>
      <c r="T18" s="8">
        <v>0.25</v>
      </c>
      <c r="U18" s="8">
        <v>1</v>
      </c>
      <c r="V18" s="8">
        <v>0</v>
      </c>
      <c r="W18" s="8">
        <v>0</v>
      </c>
      <c r="X18" s="10">
        <v>9999999</v>
      </c>
      <c r="Y18" s="10">
        <v>14</v>
      </c>
      <c r="Z18" s="10">
        <v>0.9</v>
      </c>
      <c r="AA18" s="10">
        <f>表1[[#This Row],[战斗中缩放]]*0.3</f>
        <v>0.27</v>
      </c>
      <c r="AB18" s="15">
        <v>0</v>
      </c>
      <c r="AC18" s="4">
        <v>1</v>
      </c>
      <c r="AD18" s="4">
        <v>0</v>
      </c>
      <c r="AE18" s="4">
        <v>0</v>
      </c>
      <c r="AF18" s="4">
        <v>0</v>
      </c>
      <c r="AG18" s="4">
        <v>0</v>
      </c>
      <c r="AH18" s="4">
        <v>1</v>
      </c>
      <c r="AI18" s="4" t="s">
        <v>185</v>
      </c>
      <c r="AJ18" s="26" t="s">
        <v>229</v>
      </c>
      <c r="AK18" s="4" t="str">
        <f>"[""w" &amp; 500+表1[[#This Row],[id]]&amp;""","&amp;MIN(INT(表1[[#This Row],[售价钻石]]^0.6/10+1)*10,150)&amp;"]"</f>
        <v>["w514",150]</v>
      </c>
      <c r="AL18" s="4">
        <v>0</v>
      </c>
      <c r="AM18" s="4">
        <v>0</v>
      </c>
    </row>
    <row r="19" spans="1:39" s="4" customFormat="1" x14ac:dyDescent="0.35">
      <c r="A19" s="8">
        <v>15</v>
      </c>
      <c r="B19" s="9" t="s">
        <v>198</v>
      </c>
      <c r="C19" s="9" t="s">
        <v>199</v>
      </c>
      <c r="D19" s="14" t="str">
        <f>VLOOKUP(表1[[#This Row],[皮肤名称]],[1]!表1_8[#Data],2,FALSE)</f>
        <v>歼20战机</v>
      </c>
      <c r="E19" s="14" t="str">
        <f>VLOOKUP(表1[[#This Row],[皮肤说明]],[1]!表1_8[#Data],2,FALSE)</f>
        <v>子弹无限反弹，且命中+2%\n激光累积速度+500%\n发射一枚消耗+500%的导弹\n导弹分裂成4-8颗子弹</v>
      </c>
      <c r="F19" s="8">
        <v>14</v>
      </c>
      <c r="G19" s="8" t="s">
        <v>207</v>
      </c>
      <c r="H19" s="8">
        <v>1</v>
      </c>
      <c r="I19" s="8" t="s">
        <v>137</v>
      </c>
      <c r="J19" s="8">
        <v>0</v>
      </c>
      <c r="K19" s="8" t="s">
        <v>205</v>
      </c>
      <c r="L19" s="8" t="s">
        <v>205</v>
      </c>
      <c r="M19" s="8" t="s">
        <v>201</v>
      </c>
      <c r="N19" s="8" t="s">
        <v>202</v>
      </c>
      <c r="O19" s="16">
        <v>1080</v>
      </c>
      <c r="P19" s="8">
        <v>500</v>
      </c>
      <c r="Q19" s="8">
        <v>999</v>
      </c>
      <c r="R19" s="8">
        <v>1</v>
      </c>
      <c r="S19" s="8" t="s">
        <v>210</v>
      </c>
      <c r="T19" s="8">
        <v>0.75</v>
      </c>
      <c r="U19" s="8">
        <v>1</v>
      </c>
      <c r="V19" s="8">
        <v>0</v>
      </c>
      <c r="W19" s="8">
        <v>0</v>
      </c>
      <c r="X19" s="10">
        <v>9999999</v>
      </c>
      <c r="Y19" s="10">
        <v>15</v>
      </c>
      <c r="Z19" s="10">
        <v>0.8</v>
      </c>
      <c r="AA19" s="10">
        <f>表1[[#This Row],[战斗中缩放]]*0.3</f>
        <v>0.24</v>
      </c>
      <c r="AB19" s="15">
        <v>0</v>
      </c>
      <c r="AC19" s="4">
        <v>1</v>
      </c>
      <c r="AD19" s="4">
        <v>0</v>
      </c>
      <c r="AE19" s="4">
        <v>0</v>
      </c>
      <c r="AF19" s="4">
        <v>0</v>
      </c>
      <c r="AG19" s="4">
        <v>0</v>
      </c>
      <c r="AH19" s="4">
        <v>1</v>
      </c>
      <c r="AI19" s="4" t="s">
        <v>185</v>
      </c>
      <c r="AJ19" s="26" t="s">
        <v>230</v>
      </c>
      <c r="AK19" s="4" t="str">
        <f>"[""w" &amp; 500+表1[[#This Row],[id]]&amp;""","&amp;MIN(INT(表1[[#This Row],[售价钻石]]^0.6/10+1)*10,150)&amp;"]"</f>
        <v>["w515",150]</v>
      </c>
      <c r="AL19" s="4">
        <v>0</v>
      </c>
      <c r="AM19" s="4">
        <v>0</v>
      </c>
    </row>
    <row r="20" spans="1:39" s="4" customFormat="1" x14ac:dyDescent="0.3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</row>
    <row r="21" spans="1:39" s="4" customFormat="1" x14ac:dyDescent="0.3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</row>
    <row r="22" spans="1:39" s="4" customFormat="1" x14ac:dyDescent="0.35">
      <c r="A22"/>
      <c r="B22"/>
      <c r="C22"/>
      <c r="D22"/>
      <c r="E22"/>
      <c r="F22"/>
      <c r="G22"/>
      <c r="H22"/>
      <c r="I22"/>
      <c r="J22"/>
      <c r="L22"/>
      <c r="M22"/>
      <c r="N22"/>
      <c r="O22"/>
      <c r="P22"/>
      <c r="Q22"/>
      <c r="R22"/>
      <c r="S22"/>
      <c r="T22"/>
      <c r="U22"/>
      <c r="V22"/>
      <c r="W22"/>
    </row>
    <row r="23" spans="1:39" s="4" customFormat="1" x14ac:dyDescent="0.35">
      <c r="A23"/>
      <c r="B23"/>
      <c r="C23"/>
      <c r="D23"/>
      <c r="E23"/>
      <c r="F23"/>
      <c r="G23"/>
      <c r="H23"/>
      <c r="I23"/>
      <c r="J23"/>
      <c r="L23"/>
      <c r="M23"/>
      <c r="N23"/>
      <c r="O23"/>
      <c r="P23"/>
      <c r="Q23"/>
      <c r="R23"/>
      <c r="S23"/>
      <c r="T23"/>
      <c r="U23"/>
      <c r="V23"/>
      <c r="W23"/>
    </row>
    <row r="24" spans="1:39" s="4" customFormat="1" x14ac:dyDescent="0.35">
      <c r="A24"/>
      <c r="B24"/>
      <c r="C24"/>
      <c r="D24"/>
      <c r="E24"/>
      <c r="F24"/>
      <c r="G24"/>
      <c r="H24"/>
      <c r="I24"/>
      <c r="J24"/>
      <c r="L24"/>
      <c r="M24"/>
      <c r="N24"/>
      <c r="O24"/>
      <c r="P24"/>
      <c r="Q24"/>
      <c r="R24"/>
      <c r="S24"/>
      <c r="T24"/>
      <c r="U24"/>
      <c r="V24"/>
      <c r="W24"/>
    </row>
    <row r="25" spans="1:39" s="4" customFormat="1" x14ac:dyDescent="0.35">
      <c r="A25"/>
      <c r="B25"/>
      <c r="C25"/>
      <c r="D25"/>
      <c r="E25"/>
      <c r="F25"/>
      <c r="H25"/>
      <c r="I25"/>
      <c r="J25"/>
      <c r="L25"/>
      <c r="M25"/>
      <c r="N25"/>
      <c r="O25"/>
      <c r="P25"/>
      <c r="Q25"/>
      <c r="R25"/>
      <c r="S25"/>
      <c r="T25"/>
      <c r="U25"/>
      <c r="V25"/>
      <c r="W25"/>
    </row>
    <row r="26" spans="1:39" s="4" customFormat="1" x14ac:dyDescent="0.35">
      <c r="A26"/>
      <c r="B26"/>
      <c r="C26"/>
      <c r="D26"/>
      <c r="E26"/>
      <c r="F26"/>
      <c r="G26"/>
      <c r="H26"/>
      <c r="I26"/>
      <c r="J26" s="13"/>
      <c r="L26"/>
      <c r="M26"/>
      <c r="N26"/>
      <c r="O26"/>
      <c r="P26"/>
      <c r="Q26"/>
      <c r="R26"/>
      <c r="S26"/>
      <c r="T26"/>
      <c r="U26"/>
      <c r="V26"/>
      <c r="W26"/>
    </row>
    <row r="27" spans="1:39" s="5" customFormat="1" x14ac:dyDescent="0.35">
      <c r="A27"/>
      <c r="B27"/>
      <c r="C27"/>
      <c r="D27"/>
      <c r="E27"/>
      <c r="F27"/>
      <c r="G27"/>
      <c r="H27"/>
      <c r="I27"/>
      <c r="J27"/>
      <c r="L27"/>
      <c r="M27"/>
      <c r="N27"/>
      <c r="O27"/>
      <c r="P27"/>
      <c r="Q27"/>
      <c r="R27"/>
      <c r="S27"/>
      <c r="T27"/>
      <c r="U27"/>
      <c r="V27"/>
      <c r="W27"/>
      <c r="X27" s="4"/>
      <c r="Y27" s="4"/>
      <c r="Z27" s="4"/>
      <c r="AA27" s="4"/>
      <c r="AB27" s="4"/>
      <c r="AC27" s="4"/>
      <c r="AD27" s="4"/>
      <c r="AE27" s="4"/>
      <c r="AF27" s="4"/>
      <c r="AG27" s="4"/>
    </row>
    <row r="28" spans="1:39" x14ac:dyDescent="0.35">
      <c r="A28"/>
      <c r="B28"/>
      <c r="C28"/>
      <c r="D28"/>
      <c r="E28"/>
      <c r="F28"/>
      <c r="G28"/>
      <c r="H28"/>
      <c r="I28"/>
      <c r="J28"/>
      <c r="L28"/>
      <c r="M28"/>
      <c r="N28"/>
      <c r="O28"/>
      <c r="P28"/>
      <c r="Q28"/>
      <c r="R28"/>
      <c r="S28"/>
      <c r="T28"/>
      <c r="U28"/>
      <c r="V28"/>
      <c r="W28"/>
      <c r="X28" s="5"/>
      <c r="Y28" s="5"/>
      <c r="Z28" s="5"/>
      <c r="AA28" s="5"/>
      <c r="AB28" s="5"/>
      <c r="AC28" s="5"/>
      <c r="AD28" s="5"/>
      <c r="AE28" s="5"/>
      <c r="AF28" s="5"/>
      <c r="AG28" s="5"/>
    </row>
    <row r="29" spans="1:39" x14ac:dyDescent="0.35">
      <c r="I29"/>
      <c r="M29"/>
    </row>
    <row r="30" spans="1:39" x14ac:dyDescent="0.35">
      <c r="I30"/>
      <c r="M30"/>
    </row>
    <row r="31" spans="1:39" x14ac:dyDescent="0.35">
      <c r="I31"/>
      <c r="M31"/>
    </row>
    <row r="32" spans="1:39" x14ac:dyDescent="0.35">
      <c r="I32"/>
      <c r="M32"/>
    </row>
    <row r="33" spans="9:13" x14ac:dyDescent="0.35">
      <c r="I33"/>
      <c r="M33"/>
    </row>
    <row r="34" spans="9:13" x14ac:dyDescent="0.35">
      <c r="I34"/>
      <c r="M34"/>
    </row>
    <row r="35" spans="9:13" x14ac:dyDescent="0.35">
      <c r="I35"/>
      <c r="M35"/>
    </row>
    <row r="36" spans="9:13" x14ac:dyDescent="0.35">
      <c r="I36"/>
      <c r="M36"/>
    </row>
    <row r="37" spans="9:13" x14ac:dyDescent="0.35">
      <c r="I37"/>
      <c r="M37"/>
    </row>
    <row r="38" spans="9:13" x14ac:dyDescent="0.35">
      <c r="I38"/>
    </row>
  </sheetData>
  <phoneticPr fontId="7" type="noConversion"/>
  <dataValidations count="3">
    <dataValidation allowBlank="1" showInputMessage="1" showErrorMessage="1" promptTitle="[伤害倍率，每发子弹消耗的金币倍率，奖励倍率]" prompt="战斗内开炮最终命中*此系数_x000a_战斗内开炮消耗金币*此系数，向下取整_x000a_战斗内捕鱼获得金币*此系数，向下取整" sqref="S4" xr:uid="{00000000-0002-0000-0100-000000000000}"/>
    <dataValidation allowBlank="1" showInputMessage="1" showErrorMessage="1" promptTitle="每个皮肤所代表的意思————————————" prompt="泡泡膛，x%概率额外发泡_x000a_孤狼，激光最小长度，最大长度_x000a_电玩，奖金加成比例_x000a_霜之哀伤，减速比例_x000a_赤炎，降低鱼的分值数" sqref="R4" xr:uid="{00000000-0002-0000-0100-000001000000}"/>
    <dataValidation allowBlank="1" showInputMessage="1" showErrorMessage="1" promptTitle="版本&quot;,&quot;分割————————————" prompt="如果是所有版本，则填ALL" sqref="B1" xr:uid="{D914F8E1-DE9B-4B0D-A04B-3ED17764B8F2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2018-05-24T06:59:02Z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2052-10.1.0.6393</vt:lpwstr>
  </property>
</Properties>
</file>