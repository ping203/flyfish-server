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F:\design_output\"/>
    </mc:Choice>
  </mc:AlternateContent>
  <xr:revisionPtr revIDLastSave="0" documentId="13_ncr:1_{4301E465-DC71-42EF-94EF-566BD796C986}" xr6:coauthVersionLast="31" xr6:coauthVersionMax="31" xr10:uidLastSave="{00000000-0000-0000-0000-000000000000}"/>
  <bookViews>
    <workbookView xWindow="0" yWindow="0" windowWidth="28695" windowHeight="14580" activeTab="1" xr2:uid="{00000000-000D-0000-FFFF-FFFF00000000}"/>
  </bookViews>
  <sheets>
    <sheet name="description" sheetId="1" r:id="rId1"/>
    <sheet name="混合" sheetId="12" r:id="rId2"/>
    <sheet name="Google" sheetId="11" r:id="rId3"/>
  </sheets>
  <functionGroups builtInGroupCount="19"/>
  <calcPr calcId="179017"/>
</workbook>
</file>

<file path=xl/calcChain.xml><?xml version="1.0" encoding="utf-8"?>
<calcChain xmlns="http://schemas.openxmlformats.org/spreadsheetml/2006/main">
  <c r="I5" i="11" l="1"/>
  <c r="I6" i="11"/>
  <c r="I7" i="11"/>
  <c r="I8" i="11"/>
  <c r="I9" i="11"/>
  <c r="I10" i="11"/>
  <c r="I11" i="11"/>
  <c r="I12" i="11"/>
  <c r="I13" i="11"/>
  <c r="I14" i="11"/>
  <c r="G5" i="12" l="1"/>
  <c r="G6" i="12"/>
  <c r="G7" i="12"/>
  <c r="G8" i="12"/>
  <c r="G9" i="12"/>
  <c r="G10" i="12"/>
  <c r="G11" i="12"/>
  <c r="G12" i="12"/>
  <c r="G13" i="12"/>
  <c r="G14" i="12"/>
  <c r="K14" i="12" l="1"/>
  <c r="K13" i="12"/>
  <c r="K12" i="12"/>
  <c r="K11" i="12"/>
  <c r="K10" i="12"/>
  <c r="K9" i="12"/>
  <c r="K8" i="12"/>
  <c r="K7" i="12"/>
  <c r="K6" i="12"/>
  <c r="K5" i="12"/>
  <c r="G5" i="11"/>
  <c r="G6" i="11"/>
  <c r="K6" i="11"/>
  <c r="G7" i="11"/>
  <c r="G8" i="11"/>
  <c r="K8" i="11"/>
  <c r="G9" i="11"/>
  <c r="G10" i="11"/>
  <c r="K10" i="11"/>
  <c r="G11" i="11"/>
  <c r="G12" i="11"/>
  <c r="K12" i="11"/>
  <c r="G13" i="11"/>
  <c r="G14" i="11"/>
  <c r="K14" i="11"/>
  <c r="K13" i="11"/>
  <c r="K11" i="11"/>
  <c r="K9" i="11"/>
  <c r="K7" i="11"/>
  <c r="K5" i="11"/>
  <c r="B66" i="1" l="1"/>
</calcChain>
</file>

<file path=xl/sharedStrings.xml><?xml version="1.0" encoding="utf-8"?>
<sst xmlns="http://schemas.openxmlformats.org/spreadsheetml/2006/main" count="178" uniqueCount="88">
  <si>
    <t>字段名</t>
  </si>
  <si>
    <t>英文、驼峰命名。如'WeanponName'</t>
  </si>
  <si>
    <t>类型</t>
  </si>
  <si>
    <t>枚举参数：number（小数）、int(整数)、string（字符串）、key,注意：只有第一列类型可以取key。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</si>
  <si>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</si>
  <si>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</si>
  <si>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</si>
  <si>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</si>
  <si>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9、其他规范约束逐渐完善中。。。
</t>
  </si>
  <si>
    <t>分表名含义</t>
  </si>
  <si>
    <t>itemtype_const_cfg——商品类型定义</t>
  </si>
  <si>
    <t>gift_cfg——礼包，gold_cfg——金币，pearl_cfg——珍珠，vip_cfg——vip</t>
  </si>
  <si>
    <t>string</t>
  </si>
  <si>
    <t>id</t>
  </si>
  <si>
    <t>icon</t>
  </si>
  <si>
    <t>price</t>
  </si>
  <si>
    <t>item</t>
  </si>
  <si>
    <t>int</t>
  </si>
  <si>
    <t>table</t>
  </si>
  <si>
    <t>显示图标</t>
  </si>
  <si>
    <t>价格</t>
  </si>
  <si>
    <t>礼包内容</t>
  </si>
  <si>
    <t>小型礼包</t>
  </si>
  <si>
    <t>中型礼包</t>
  </si>
  <si>
    <t>大型礼包</t>
  </si>
  <si>
    <t>奢华礼包</t>
  </si>
  <si>
    <t>豪华礼包</t>
  </si>
  <si>
    <t>物品 key值</t>
  </si>
  <si>
    <t>普通月卡</t>
  </si>
  <si>
    <t>壕月卡</t>
  </si>
  <si>
    <t>一元翻盘基金</t>
  </si>
  <si>
    <t>十元翻盘基金</t>
  </si>
  <si>
    <t>funid</t>
    <phoneticPr fontId="4" type="noConversion"/>
  </si>
  <si>
    <t>int</t>
    <phoneticPr fontId="4" type="noConversion"/>
  </si>
  <si>
    <t>玩吧id</t>
    <phoneticPr fontId="4" type="noConversion"/>
  </si>
  <si>
    <t>funidiOS</t>
    <phoneticPr fontId="4" type="noConversion"/>
  </si>
  <si>
    <t>玩吧idiOS</t>
    <phoneticPr fontId="4" type="noConversion"/>
  </si>
  <si>
    <t>string</t>
    <phoneticPr fontId="4" type="noConversion"/>
  </si>
  <si>
    <t>iOS</t>
    <phoneticPr fontId="4" type="noConversion"/>
  </si>
  <si>
    <t>com.fishjoy.product1</t>
    <phoneticPr fontId="4" type="noConversion"/>
  </si>
  <si>
    <t>com.fishjoy.product2</t>
  </si>
  <si>
    <t>com.fishjoy.product3</t>
  </si>
  <si>
    <t>com.fishjoy.product4</t>
  </si>
  <si>
    <t>com.fishjoy.product5</t>
  </si>
  <si>
    <t>gift_6</t>
    <phoneticPr fontId="4" type="noConversion"/>
  </si>
  <si>
    <t>gift_12</t>
    <phoneticPr fontId="4" type="noConversion"/>
  </si>
  <si>
    <t>gift_18</t>
    <phoneticPr fontId="4" type="noConversion"/>
  </si>
  <si>
    <t>gift_30</t>
    <phoneticPr fontId="4" type="noConversion"/>
  </si>
  <si>
    <t>gift_45</t>
    <phoneticPr fontId="4" type="noConversion"/>
  </si>
  <si>
    <t>60钻石</t>
  </si>
  <si>
    <t>120钻石</t>
  </si>
  <si>
    <t>190钻石</t>
  </si>
  <si>
    <t>280钻石</t>
  </si>
  <si>
    <t>480钻石</t>
  </si>
  <si>
    <t>680钻石</t>
  </si>
  <si>
    <t>980钻石</t>
  </si>
  <si>
    <t>1680钻石</t>
  </si>
  <si>
    <t>2680钻石</t>
  </si>
  <si>
    <t>4680钻石</t>
  </si>
  <si>
    <t>6980钻石</t>
  </si>
  <si>
    <t>9980钻石</t>
  </si>
  <si>
    <t>玩吧计费点，2为玩吧iOS</t>
    <phoneticPr fontId="4" type="noConversion"/>
  </si>
  <si>
    <t>com.fishjoy.product6</t>
    <phoneticPr fontId="4" type="noConversion"/>
  </si>
  <si>
    <t>com.fishjoy.product7</t>
    <phoneticPr fontId="4" type="noConversion"/>
  </si>
  <si>
    <t>com.fishjoy.product8</t>
    <phoneticPr fontId="4" type="noConversion"/>
  </si>
  <si>
    <t>com.fishjoy.product9</t>
    <phoneticPr fontId="4" type="noConversion"/>
  </si>
  <si>
    <t>com.fishjoy.product10</t>
    <phoneticPr fontId="4" type="noConversion"/>
  </si>
  <si>
    <t>scjb12</t>
    <phoneticPr fontId="4" type="noConversion"/>
  </si>
  <si>
    <t>scjb11</t>
    <phoneticPr fontId="4" type="noConversion"/>
  </si>
  <si>
    <t>scjb</t>
    <phoneticPr fontId="4" type="noConversion"/>
  </si>
  <si>
    <t>scjb1</t>
    <phoneticPr fontId="4" type="noConversion"/>
  </si>
  <si>
    <t>scjb2</t>
    <phoneticPr fontId="4" type="noConversion"/>
  </si>
  <si>
    <t>scjb3</t>
    <phoneticPr fontId="4" type="noConversion"/>
  </si>
  <si>
    <t>scjb4</t>
    <phoneticPr fontId="4" type="noConversion"/>
  </si>
  <si>
    <t>scjb5</t>
    <phoneticPr fontId="4" type="noConversion"/>
  </si>
  <si>
    <t>scjb6</t>
    <phoneticPr fontId="4" type="noConversion"/>
  </si>
  <si>
    <t>scjb7</t>
    <phoneticPr fontId="4" type="noConversion"/>
  </si>
  <si>
    <t>name</t>
    <phoneticPr fontId="4" type="noConversion"/>
  </si>
  <si>
    <t>名称</t>
    <phoneticPr fontId="4" type="noConversion"/>
  </si>
  <si>
    <t>buyCost</t>
  </si>
  <si>
    <t>购买消耗</t>
  </si>
  <si>
    <t>firstratio</t>
  </si>
  <si>
    <t>首次倍数</t>
  </si>
  <si>
    <t>productid</t>
    <phoneticPr fontId="4" type="noConversion"/>
  </si>
  <si>
    <t>平台计费ID通用</t>
    <phoneticPr fontId="4" type="noConversion"/>
  </si>
  <si>
    <t>coco,ios,wanba</t>
    <phoneticPr fontId="4" type="noConversion"/>
  </si>
  <si>
    <t>int</t>
    <phoneticPr fontId="7" type="noConversion"/>
  </si>
  <si>
    <t>google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</si>
</sst>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宋体"/>
      <charset val="134"/>
      <scheme val="minor"/>
    </font>
    <font>
      <sz val="11"/>
      <color indexed="8"/>
      <name val="微软雅黑"/>
      <family val="2"/>
      <charset val="134"/>
    </font>
    <font>
      <sz val="11"/>
      <color theme="1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10"/>
      <color indexed="8"/>
      <name val="宋体"/>
      <family val="3"/>
      <charset val="134"/>
      <scheme val="minor"/>
    </font>
    <font>
      <sz val="9"/>
      <name val="宋体"/>
      <family val="3"/>
      <charset val="134"/>
    </font>
  </fonts>
  <fills count="10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FF00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3">
    <xf numFmtId="0" fontId="0" fillId="0" borderId="0"/>
    <xf numFmtId="0" fontId="3" fillId="0" borderId="0">
      <alignment vertical="center"/>
    </xf>
    <xf numFmtId="0" fontId="2" fillId="0" borderId="0"/>
  </cellStyleXfs>
  <cellXfs count="29">
    <xf numFmtId="0" fontId="0" fillId="0" borderId="0" xfId="0"/>
    <xf numFmtId="0" fontId="0" fillId="0" borderId="3" xfId="0" applyFont="1" applyFill="1" applyBorder="1" applyAlignment="1">
      <alignment horizontal="center" vertical="center"/>
    </xf>
    <xf numFmtId="0" fontId="0" fillId="5" borderId="1" xfId="0" applyFont="1" applyFill="1" applyBorder="1" applyAlignment="1">
      <alignment horizontal="center" vertical="center"/>
    </xf>
    <xf numFmtId="0" fontId="0" fillId="5" borderId="4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0" fillId="0" borderId="5" xfId="0" applyFont="1" applyFill="1" applyBorder="1" applyAlignment="1">
      <alignment horizontal="center" vertical="center"/>
    </xf>
    <xf numFmtId="0" fontId="0" fillId="5" borderId="6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3" fillId="0" borderId="0" xfId="0" applyFont="1" applyFill="1" applyAlignment="1"/>
    <xf numFmtId="0" fontId="3" fillId="0" borderId="0" xfId="1" applyAlignment="1"/>
    <xf numFmtId="49" fontId="1" fillId="2" borderId="1" xfId="1" applyNumberFormat="1" applyFont="1" applyFill="1" applyBorder="1" applyAlignment="1">
      <alignment horizontal="center"/>
    </xf>
    <xf numFmtId="49" fontId="1" fillId="3" borderId="2" xfId="1" applyNumberFormat="1" applyFont="1" applyFill="1" applyBorder="1" applyAlignment="1">
      <alignment horizontal="center" vertical="center"/>
    </xf>
    <xf numFmtId="0" fontId="1" fillId="4" borderId="1" xfId="1" applyFont="1" applyFill="1" applyBorder="1" applyAlignment="1" applyProtection="1">
      <alignment horizontal="center"/>
    </xf>
    <xf numFmtId="0" fontId="1" fillId="6" borderId="3" xfId="1" applyNumberFormat="1" applyFont="1" applyFill="1" applyBorder="1" applyAlignment="1">
      <alignment horizontal="center" vertical="center"/>
    </xf>
    <xf numFmtId="0" fontId="3" fillId="7" borderId="0" xfId="1" applyFill="1" applyAlignment="1"/>
    <xf numFmtId="0" fontId="3" fillId="0" borderId="0" xfId="1" applyFill="1" applyAlignment="1"/>
    <xf numFmtId="0" fontId="5" fillId="8" borderId="0" xfId="0" applyFont="1" applyFill="1" applyAlignment="1">
      <alignment vertical="center" wrapText="1"/>
    </xf>
    <xf numFmtId="0" fontId="5" fillId="8" borderId="0" xfId="0" applyFont="1" applyFill="1" applyAlignment="1">
      <alignment vertical="center"/>
    </xf>
    <xf numFmtId="0" fontId="5" fillId="8" borderId="0" xfId="0" applyFont="1" applyFill="1" applyAlignment="1">
      <alignment horizontal="center" vertical="center"/>
    </xf>
    <xf numFmtId="49" fontId="6" fillId="5" borderId="1" xfId="1" applyNumberFormat="1" applyFont="1" applyFill="1" applyBorder="1" applyAlignment="1">
      <alignment horizontal="right"/>
    </xf>
    <xf numFmtId="49" fontId="6" fillId="5" borderId="1" xfId="1" applyNumberFormat="1" applyFont="1" applyFill="1" applyBorder="1" applyAlignment="1">
      <alignment horizontal="center"/>
    </xf>
    <xf numFmtId="0" fontId="5" fillId="5" borderId="1" xfId="0" applyFont="1" applyFill="1" applyBorder="1" applyAlignment="1">
      <alignment vertical="center"/>
    </xf>
    <xf numFmtId="49" fontId="6" fillId="9" borderId="1" xfId="0" applyNumberFormat="1" applyFont="1" applyFill="1" applyBorder="1" applyAlignment="1">
      <alignment horizontal="right" vertical="center"/>
    </xf>
    <xf numFmtId="49" fontId="6" fillId="9" borderId="1" xfId="0" applyNumberFormat="1" applyFont="1" applyFill="1" applyBorder="1" applyAlignment="1">
      <alignment horizontal="center" vertical="center"/>
    </xf>
    <xf numFmtId="0" fontId="5" fillId="9" borderId="1" xfId="0" applyFont="1" applyFill="1" applyBorder="1" applyAlignment="1">
      <alignment vertical="center"/>
    </xf>
    <xf numFmtId="0" fontId="3" fillId="0" borderId="0" xfId="1" applyAlignment="1">
      <alignment horizontal="center"/>
    </xf>
    <xf numFmtId="0" fontId="3" fillId="0" borderId="0" xfId="1" applyNumberFormat="1" applyAlignment="1"/>
    <xf numFmtId="0" fontId="3" fillId="0" borderId="0" xfId="1" applyNumberFormat="1" applyAlignment="1">
      <alignment vertical="top" wrapText="1"/>
    </xf>
    <xf numFmtId="0" fontId="3" fillId="0" borderId="0" xfId="1" applyNumberFormat="1" applyAlignment="1">
      <alignment vertical="top"/>
    </xf>
  </cellXfs>
  <cellStyles count="3">
    <cellStyle name="常规" xfId="0" builtinId="0"/>
    <cellStyle name="常规 2" xfId="1" xr:uid="{00000000-0005-0000-0000-000001000000}"/>
    <cellStyle name="常规 3" xfId="2" xr:uid="{06C56F03-8DAD-4EB0-8641-292C4D6D2BD7}"/>
  </cellStyles>
  <dxfs count="18"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charset val="134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charset val="134"/>
        <scheme val="minor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family val="3"/>
        <charset val="134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family val="3"/>
        <charset val="134"/>
        <scheme val="minor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宋体"/>
        <family val="3"/>
        <charset val="134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宋体"/>
        <family val="3"/>
        <charset val="134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.5"/>
        <color indexed="8"/>
        <name val="punctuation"/>
        <family val="3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.5"/>
        <color rgb="FF333333"/>
        <name val="punctuation"/>
        <family val="1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/>
      </border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charset val="134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charset val="134"/>
        <scheme val="minor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family val="3"/>
        <charset val="134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family val="3"/>
        <charset val="134"/>
        <scheme val="minor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宋体"/>
        <family val="3"/>
        <charset val="134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宋体"/>
        <family val="3"/>
        <charset val="134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.5"/>
        <color indexed="8"/>
        <name val="punctuation"/>
        <family val="3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.5"/>
        <color rgb="FF333333"/>
        <name val="punctuation"/>
        <family val="1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/>
      </border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285750</xdr:colOff>
      <xdr:row>3</xdr:row>
      <xdr:rowOff>0</xdr:rowOff>
    </xdr:to>
    <xdr:sp macro="[0]!开始导表" textlink="">
      <xdr:nvSpPr>
        <xdr:cNvPr id="2" name="矩形 1">
          <a:extLst>
            <a:ext uri="{FF2B5EF4-FFF2-40B4-BE49-F238E27FC236}">
              <a16:creationId xmlns:a16="http://schemas.microsoft.com/office/drawing/2014/main" id="{F3F14F3E-5075-4611-B072-6CBDA5BC1DA0}"/>
            </a:ext>
          </a:extLst>
        </xdr:cNvPr>
        <xdr:cNvSpPr/>
      </xdr:nvSpPr>
      <xdr:spPr>
        <a:xfrm>
          <a:off x="0" y="0"/>
          <a:ext cx="285750" cy="457200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0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285750</xdr:colOff>
      <xdr:row>3</xdr:row>
      <xdr:rowOff>19050</xdr:rowOff>
    </xdr:to>
    <xdr:sp macro="[0]!开始导表" textlink="">
      <xdr:nvSpPr>
        <xdr:cNvPr id="2" name="矩形 1">
          <a:extLst>
            <a:ext uri="{FF2B5EF4-FFF2-40B4-BE49-F238E27FC236}">
              <a16:creationId xmlns:a16="http://schemas.microsoft.com/office/drawing/2014/main" id="{75E972D1-0F99-42CC-A294-1BB68E0774A4}"/>
            </a:ext>
          </a:extLst>
        </xdr:cNvPr>
        <xdr:cNvSpPr/>
      </xdr:nvSpPr>
      <xdr:spPr>
        <a:xfrm>
          <a:off x="0" y="0"/>
          <a:ext cx="285750" cy="476250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0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33A52B6-F2BF-4F3B-AEE0-12FB035C8B48}" name="表4_93" displayName="表4_93" ref="A4:K14" totalsRowShown="0">
  <autoFilter ref="A4:K14" xr:uid="{00000000-0009-0000-0100-000004000000}"/>
  <tableColumns count="11">
    <tableColumn id="1" xr3:uid="{1C919297-B6D9-4DA9-873C-FBB73748F784}" name="物品 key值"/>
    <tableColumn id="6" xr3:uid="{EF45AD06-1568-4372-93B8-B0FBC9BDF7D5}" name="玩吧id" dataDxfId="17" dataCellStyle="常规 2"/>
    <tableColumn id="7" xr3:uid="{94776EF2-309E-4000-B01F-99AAE8463BDC}" name="玩吧idiOS" dataDxfId="16" dataCellStyle="常规 2"/>
    <tableColumn id="8" xr3:uid="{CC28459A-AEF9-4BC3-A653-FDDB74F5378E}" name="iOS" dataDxfId="15"/>
    <tableColumn id="11" xr3:uid="{C4DA4964-D985-4004-A46D-90317CC5E594}" name="平台计费ID通用" dataDxfId="14"/>
    <tableColumn id="2" xr3:uid="{184B3327-7685-48DC-82B6-16924B2F37AC}" name="显示图标"/>
    <tableColumn id="10" xr3:uid="{5689BAA8-0B8A-480D-A372-7A697B3DD792}" name="购买消耗" dataDxfId="13">
      <calculatedColumnFormula>"[[""r000"","&amp;表4_93[[#This Row],[价格]]&amp;"]]"</calculatedColumnFormula>
    </tableColumn>
    <tableColumn id="3" xr3:uid="{BB56F3FC-39C2-4FFC-98F2-C1B76AF58282}" name="价格" dataDxfId="12"/>
    <tableColumn id="4" xr3:uid="{C27BE778-B7C4-49FA-82CA-C426C946D424}" name="礼包内容" dataDxfId="11"/>
    <tableColumn id="9" xr3:uid="{76C31AF6-E389-4812-853A-A2F830C453E2}" name="首次倍数" dataDxfId="10"/>
    <tableColumn id="5" xr3:uid="{1DAC515E-8E17-476A-B30F-4629180A78E7}" name="名称" dataDxfId="9">
      <calculatedColumnFormula>表4_93[[#This Row],[礼包内容]]&amp;"金币"</calculatedColumnFormula>
    </tableColumn>
  </tableColumns>
  <tableStyleInfo name="TableStyleMedium1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5327052-29F5-42A6-A7E1-B3928F91C7E5}" name="表4_92" displayName="表4_92" ref="A4:K14" totalsRowShown="0">
  <autoFilter ref="A4:K14" xr:uid="{00000000-0009-0000-0100-000004000000}"/>
  <tableColumns count="11">
    <tableColumn id="1" xr3:uid="{05D77898-2C37-40D6-BE01-1B9D633B5E3B}" name="物品 key值"/>
    <tableColumn id="6" xr3:uid="{39F4CD40-5E0D-4B27-95A1-3B0CEA30EF44}" name="玩吧id" dataDxfId="8" dataCellStyle="常规 2"/>
    <tableColumn id="7" xr3:uid="{73CA2B0D-9A07-48B7-B3AB-EC9A7A91E42F}" name="玩吧idiOS" dataDxfId="7" dataCellStyle="常规 2"/>
    <tableColumn id="8" xr3:uid="{D2F2A579-CB40-43F1-9686-0AF6F88052EC}" name="iOS" dataDxfId="6"/>
    <tableColumn id="11" xr3:uid="{CB50C209-F3A7-4F2F-8104-1E8B42A579BC}" name="平台计费ID通用" dataDxfId="5"/>
    <tableColumn id="2" xr3:uid="{81B723F8-E901-40A9-A1C8-AA4678807160}" name="显示图标"/>
    <tableColumn id="10" xr3:uid="{56F077CF-D447-4571-A8E8-4E67FD40884B}" name="购买消耗" dataDxfId="4">
      <calculatedColumnFormula>"[[""r002"","&amp;表4_92[[#This Row],[价格]]&amp;"]]"</calculatedColumnFormula>
    </tableColumn>
    <tableColumn id="3" xr3:uid="{0CFD99A8-8AEC-47FA-BF46-3B5C000EE914}" name="价格" dataDxfId="3"/>
    <tableColumn id="4" xr3:uid="{A9D830F8-79DC-4CCF-946E-41A2D6489DE3}" name="礼包内容" dataDxfId="2">
      <calculatedColumnFormula>ROUNDUP((表4_92[[#This Row],[价格]]*60000*(1+(ROW()-5)/50))/1000,0)*1000</calculatedColumnFormula>
    </tableColumn>
    <tableColumn id="9" xr3:uid="{33FCB6C7-64C5-4D17-A09E-60181D720838}" name="首次倍数" dataDxfId="1"/>
    <tableColumn id="5" xr3:uid="{565CF958-1EDA-4B10-B73A-33D37152FCCE}" name="名称" dataDxfId="0">
      <calculatedColumnFormula>表4_92[[#This Row],[礼包内容]]&amp;"金币"</calculatedColumnFormula>
    </tableColumn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70"/>
  <sheetViews>
    <sheetView topLeftCell="A24" workbookViewId="0">
      <selection activeCell="K29" sqref="K29:K38"/>
    </sheetView>
  </sheetViews>
  <sheetFormatPr defaultColWidth="9" defaultRowHeight="13.5" x14ac:dyDescent="0.15"/>
  <cols>
    <col min="1" max="1" width="39.5" style="9" customWidth="1"/>
    <col min="2" max="2" width="85.125" style="9" customWidth="1"/>
    <col min="3" max="4" width="9" style="9"/>
    <col min="5" max="5" width="9" style="9" customWidth="1"/>
    <col min="6" max="7" width="9" style="9"/>
    <col min="8" max="8" width="12.625" style="9" customWidth="1"/>
    <col min="9" max="16384" width="9" style="9"/>
  </cols>
  <sheetData>
    <row r="1" spans="1:7" ht="16.5" x14ac:dyDescent="0.3">
      <c r="A1" s="10" t="s">
        <v>0</v>
      </c>
      <c r="B1" s="9" t="s">
        <v>1</v>
      </c>
      <c r="F1" s="9">
        <v>6</v>
      </c>
      <c r="G1" s="9" t="s">
        <v>44</v>
      </c>
    </row>
    <row r="2" spans="1:7" ht="16.5" x14ac:dyDescent="0.15">
      <c r="A2" s="11" t="s">
        <v>2</v>
      </c>
      <c r="B2" s="9" t="s">
        <v>3</v>
      </c>
      <c r="F2" s="9">
        <v>12</v>
      </c>
      <c r="G2" s="9" t="s">
        <v>45</v>
      </c>
    </row>
    <row r="3" spans="1:7" ht="16.5" x14ac:dyDescent="0.3">
      <c r="A3" s="12" t="s">
        <v>4</v>
      </c>
      <c r="B3" s="9" t="s">
        <v>5</v>
      </c>
      <c r="F3" s="9">
        <v>18</v>
      </c>
      <c r="G3" s="9" t="s">
        <v>46</v>
      </c>
    </row>
    <row r="4" spans="1:7" ht="16.5" x14ac:dyDescent="0.15">
      <c r="A4" s="13" t="s">
        <v>6</v>
      </c>
      <c r="B4" s="9" t="s">
        <v>7</v>
      </c>
      <c r="F4" s="9">
        <v>30</v>
      </c>
      <c r="G4" s="9" t="s">
        <v>47</v>
      </c>
    </row>
    <row r="5" spans="1:7" x14ac:dyDescent="0.15">
      <c r="F5" s="9">
        <v>45</v>
      </c>
      <c r="G5" s="9" t="s">
        <v>48</v>
      </c>
    </row>
    <row r="6" spans="1:7" x14ac:dyDescent="0.15">
      <c r="A6" s="27" t="s">
        <v>8</v>
      </c>
      <c r="B6" s="28"/>
    </row>
    <row r="7" spans="1:7" x14ac:dyDescent="0.15">
      <c r="A7" s="28"/>
      <c r="B7" s="28"/>
    </row>
    <row r="8" spans="1:7" x14ac:dyDescent="0.15">
      <c r="A8" s="28"/>
      <c r="B8" s="28"/>
    </row>
    <row r="9" spans="1:7" x14ac:dyDescent="0.15">
      <c r="A9" s="28"/>
      <c r="B9" s="28"/>
    </row>
    <row r="10" spans="1:7" x14ac:dyDescent="0.15">
      <c r="A10" s="28"/>
      <c r="B10" s="28"/>
    </row>
    <row r="11" spans="1:7" x14ac:dyDescent="0.15">
      <c r="A11" s="28"/>
      <c r="B11" s="28"/>
    </row>
    <row r="12" spans="1:7" x14ac:dyDescent="0.15">
      <c r="A12" s="28"/>
      <c r="B12" s="28"/>
    </row>
    <row r="13" spans="1:7" x14ac:dyDescent="0.15">
      <c r="A13" s="28"/>
      <c r="B13" s="28"/>
    </row>
    <row r="14" spans="1:7" x14ac:dyDescent="0.15">
      <c r="A14" s="28"/>
      <c r="B14" s="28"/>
    </row>
    <row r="15" spans="1:7" x14ac:dyDescent="0.15">
      <c r="A15" s="28"/>
      <c r="B15" s="28"/>
    </row>
    <row r="16" spans="1:7" ht="13.15" customHeight="1" x14ac:dyDescent="0.15">
      <c r="A16" s="28"/>
      <c r="B16" s="28"/>
    </row>
    <row r="17" spans="1:11" ht="4.1500000000000004" customHeight="1" x14ac:dyDescent="0.15">
      <c r="A17" s="28"/>
      <c r="B17" s="28"/>
    </row>
    <row r="18" spans="1:11" ht="13.5" hidden="1" customHeight="1" x14ac:dyDescent="0.15">
      <c r="A18" s="28"/>
      <c r="B18" s="28"/>
    </row>
    <row r="19" spans="1:11" ht="13.5" hidden="1" customHeight="1" x14ac:dyDescent="0.15">
      <c r="A19" s="28"/>
      <c r="B19" s="28"/>
    </row>
    <row r="20" spans="1:11" ht="13.5" hidden="1" customHeight="1" x14ac:dyDescent="0.15">
      <c r="A20" s="28"/>
      <c r="B20" s="28"/>
    </row>
    <row r="21" spans="1:11" ht="22.9" customHeight="1" x14ac:dyDescent="0.15">
      <c r="A21" s="28"/>
      <c r="B21" s="28"/>
    </row>
    <row r="22" spans="1:11" ht="45" customHeight="1" x14ac:dyDescent="0.15">
      <c r="A22" s="28"/>
      <c r="B22" s="28"/>
    </row>
    <row r="23" spans="1:11" ht="51" hidden="1" customHeight="1" x14ac:dyDescent="0.15">
      <c r="A23" s="28"/>
      <c r="B23" s="28"/>
    </row>
    <row r="24" spans="1:11" x14ac:dyDescent="0.15">
      <c r="A24" s="26" t="s">
        <v>9</v>
      </c>
      <c r="B24" s="26"/>
    </row>
    <row r="25" spans="1:11" x14ac:dyDescent="0.15">
      <c r="A25" s="26" t="s">
        <v>10</v>
      </c>
      <c r="B25" s="26"/>
    </row>
    <row r="26" spans="1:11" x14ac:dyDescent="0.15">
      <c r="A26" s="26" t="s">
        <v>11</v>
      </c>
      <c r="B26" s="26"/>
    </row>
    <row r="27" spans="1:11" x14ac:dyDescent="0.15">
      <c r="A27" s="26"/>
      <c r="B27" s="26"/>
    </row>
    <row r="28" spans="1:11" x14ac:dyDescent="0.15">
      <c r="A28" s="26"/>
      <c r="B28" s="26"/>
      <c r="C28" s="25" t="s">
        <v>61</v>
      </c>
      <c r="D28" s="25"/>
      <c r="E28" s="25"/>
      <c r="F28" s="25"/>
    </row>
    <row r="29" spans="1:11" x14ac:dyDescent="0.15">
      <c r="A29" s="26"/>
      <c r="B29" s="26"/>
      <c r="C29" s="9">
        <v>1</v>
      </c>
      <c r="D29" s="9">
        <v>60</v>
      </c>
      <c r="E29" s="9" t="s">
        <v>49</v>
      </c>
      <c r="F29" s="9">
        <v>9055</v>
      </c>
      <c r="I29" s="9">
        <v>6</v>
      </c>
      <c r="J29" s="9">
        <v>9055</v>
      </c>
      <c r="K29" s="9">
        <v>9476</v>
      </c>
    </row>
    <row r="30" spans="1:11" x14ac:dyDescent="0.15">
      <c r="A30" s="26"/>
      <c r="B30" s="26"/>
      <c r="C30" s="9">
        <v>1</v>
      </c>
      <c r="D30" s="9">
        <v>120</v>
      </c>
      <c r="E30" s="9" t="s">
        <v>50</v>
      </c>
      <c r="F30" s="9">
        <v>9056</v>
      </c>
      <c r="I30" s="9">
        <v>12</v>
      </c>
      <c r="J30" s="9">
        <v>9056</v>
      </c>
      <c r="K30" s="9">
        <v>9477</v>
      </c>
    </row>
    <row r="31" spans="1:11" x14ac:dyDescent="0.15">
      <c r="A31" s="26"/>
      <c r="B31" s="26"/>
      <c r="C31" s="9">
        <v>1</v>
      </c>
      <c r="D31" s="14">
        <v>190</v>
      </c>
      <c r="E31" s="9" t="s">
        <v>51</v>
      </c>
      <c r="F31" s="9">
        <v>9057</v>
      </c>
      <c r="I31" s="9">
        <v>18</v>
      </c>
      <c r="J31" s="9">
        <v>9072</v>
      </c>
      <c r="K31" s="9">
        <v>9493</v>
      </c>
    </row>
    <row r="32" spans="1:11" x14ac:dyDescent="0.15">
      <c r="A32" s="26"/>
      <c r="B32" s="26"/>
      <c r="C32" s="9">
        <v>1</v>
      </c>
      <c r="D32" s="15">
        <v>280</v>
      </c>
      <c r="E32" s="9" t="s">
        <v>52</v>
      </c>
      <c r="F32" s="9">
        <v>9058</v>
      </c>
      <c r="I32" s="9">
        <v>28</v>
      </c>
      <c r="J32" s="9">
        <v>9058</v>
      </c>
      <c r="K32" s="9">
        <v>9479</v>
      </c>
    </row>
    <row r="33" spans="1:11" x14ac:dyDescent="0.15">
      <c r="A33" s="26"/>
      <c r="B33" s="26"/>
      <c r="C33" s="9">
        <v>1</v>
      </c>
      <c r="D33" s="14">
        <v>480</v>
      </c>
      <c r="E33" s="9" t="s">
        <v>53</v>
      </c>
      <c r="F33" s="9">
        <v>9059</v>
      </c>
      <c r="I33" s="9">
        <v>45</v>
      </c>
      <c r="J33" s="9">
        <v>9075</v>
      </c>
      <c r="K33" s="9">
        <v>9496</v>
      </c>
    </row>
    <row r="34" spans="1:11" x14ac:dyDescent="0.15">
      <c r="A34" s="26"/>
      <c r="B34" s="26"/>
      <c r="C34" s="9">
        <v>1</v>
      </c>
      <c r="D34" s="9">
        <v>680</v>
      </c>
      <c r="E34" s="9" t="s">
        <v>54</v>
      </c>
      <c r="F34" s="9">
        <v>9060</v>
      </c>
      <c r="I34" s="9">
        <v>68</v>
      </c>
      <c r="J34" s="9">
        <v>9060</v>
      </c>
      <c r="K34" s="9">
        <v>9481</v>
      </c>
    </row>
    <row r="35" spans="1:11" x14ac:dyDescent="0.15">
      <c r="A35" s="26"/>
      <c r="B35" s="26"/>
      <c r="C35" s="9">
        <v>1</v>
      </c>
      <c r="D35" s="9">
        <v>980</v>
      </c>
      <c r="E35" s="9" t="s">
        <v>55</v>
      </c>
      <c r="F35" s="9">
        <v>9061</v>
      </c>
      <c r="I35" s="9">
        <v>98</v>
      </c>
      <c r="J35" s="9">
        <v>9061</v>
      </c>
      <c r="K35" s="9">
        <v>9482</v>
      </c>
    </row>
    <row r="36" spans="1:11" x14ac:dyDescent="0.15">
      <c r="A36" s="26"/>
      <c r="B36" s="26"/>
      <c r="C36" s="9">
        <v>1</v>
      </c>
      <c r="D36" s="9">
        <v>1680</v>
      </c>
      <c r="E36" s="9" t="s">
        <v>56</v>
      </c>
      <c r="F36" s="9">
        <v>9062</v>
      </c>
      <c r="I36" s="9">
        <v>168</v>
      </c>
      <c r="J36" s="9">
        <v>9062</v>
      </c>
      <c r="K36" s="9">
        <v>9483</v>
      </c>
    </row>
    <row r="37" spans="1:11" x14ac:dyDescent="0.15">
      <c r="A37" s="26"/>
      <c r="B37" s="26"/>
      <c r="C37" s="9">
        <v>1</v>
      </c>
      <c r="D37" s="9">
        <v>2680</v>
      </c>
      <c r="E37" s="9" t="s">
        <v>57</v>
      </c>
      <c r="F37" s="9">
        <v>9063</v>
      </c>
      <c r="I37" s="9">
        <v>268</v>
      </c>
      <c r="J37" s="9">
        <v>9063</v>
      </c>
      <c r="K37" s="9">
        <v>9484</v>
      </c>
    </row>
    <row r="38" spans="1:11" x14ac:dyDescent="0.15">
      <c r="A38" s="26"/>
      <c r="B38" s="26"/>
      <c r="C38" s="9">
        <v>1</v>
      </c>
      <c r="D38" s="14">
        <v>4680</v>
      </c>
      <c r="E38" s="9" t="s">
        <v>58</v>
      </c>
      <c r="F38" s="9">
        <v>9064</v>
      </c>
      <c r="I38" s="9">
        <v>698</v>
      </c>
      <c r="J38" s="9">
        <v>9065</v>
      </c>
      <c r="K38" s="9">
        <v>9486</v>
      </c>
    </row>
    <row r="39" spans="1:11" x14ac:dyDescent="0.15">
      <c r="A39" s="26"/>
      <c r="B39" s="26"/>
      <c r="C39" s="9">
        <v>1</v>
      </c>
      <c r="D39" s="9">
        <v>6980</v>
      </c>
      <c r="E39" s="9" t="s">
        <v>59</v>
      </c>
      <c r="F39" s="9">
        <v>9065</v>
      </c>
    </row>
    <row r="40" spans="1:11" x14ac:dyDescent="0.15">
      <c r="A40" s="26"/>
      <c r="B40" s="26"/>
      <c r="C40" s="9">
        <v>1</v>
      </c>
      <c r="D40" s="9">
        <v>9980</v>
      </c>
      <c r="E40" s="9" t="s">
        <v>60</v>
      </c>
      <c r="F40" s="9">
        <v>9066</v>
      </c>
    </row>
    <row r="41" spans="1:11" x14ac:dyDescent="0.15">
      <c r="A41" s="26"/>
      <c r="B41" s="26"/>
      <c r="C41" s="9">
        <v>1</v>
      </c>
      <c r="D41" s="9">
        <v>300</v>
      </c>
      <c r="E41" s="9" t="s">
        <v>28</v>
      </c>
      <c r="F41" s="9">
        <v>9067</v>
      </c>
    </row>
    <row r="42" spans="1:11" x14ac:dyDescent="0.15">
      <c r="A42" s="26"/>
      <c r="B42" s="26"/>
      <c r="C42" s="9">
        <v>1</v>
      </c>
      <c r="D42" s="9">
        <v>1200</v>
      </c>
      <c r="E42" s="9" t="s">
        <v>29</v>
      </c>
      <c r="F42" s="9">
        <v>9068</v>
      </c>
    </row>
    <row r="43" spans="1:11" x14ac:dyDescent="0.15">
      <c r="A43" s="26"/>
      <c r="B43" s="26"/>
      <c r="C43" s="9">
        <v>1</v>
      </c>
      <c r="D43" s="9">
        <v>10</v>
      </c>
      <c r="E43" s="9" t="s">
        <v>30</v>
      </c>
      <c r="F43" s="9">
        <v>9069</v>
      </c>
    </row>
    <row r="44" spans="1:11" x14ac:dyDescent="0.15">
      <c r="A44" s="26"/>
      <c r="B44" s="26"/>
      <c r="C44" s="9">
        <v>1</v>
      </c>
      <c r="D44" s="9">
        <v>100</v>
      </c>
      <c r="E44" s="9" t="s">
        <v>31</v>
      </c>
      <c r="F44" s="9">
        <v>9070</v>
      </c>
    </row>
    <row r="45" spans="1:11" x14ac:dyDescent="0.15">
      <c r="A45" s="26"/>
      <c r="B45" s="26"/>
      <c r="C45" s="9">
        <v>1</v>
      </c>
      <c r="D45" s="14">
        <v>90</v>
      </c>
      <c r="E45" s="9" t="s">
        <v>22</v>
      </c>
      <c r="F45" s="9">
        <v>9071</v>
      </c>
      <c r="I45" s="9">
        <v>6</v>
      </c>
      <c r="J45" s="9">
        <v>9055</v>
      </c>
      <c r="K45" s="9">
        <v>9476</v>
      </c>
    </row>
    <row r="46" spans="1:11" x14ac:dyDescent="0.15">
      <c r="C46" s="9">
        <v>1</v>
      </c>
      <c r="D46" s="15">
        <v>180</v>
      </c>
      <c r="E46" s="9" t="s">
        <v>23</v>
      </c>
      <c r="F46" s="9">
        <v>9072</v>
      </c>
      <c r="I46" s="9">
        <v>12</v>
      </c>
      <c r="J46" s="9">
        <v>9056</v>
      </c>
      <c r="K46" s="9">
        <v>9477</v>
      </c>
    </row>
    <row r="47" spans="1:11" x14ac:dyDescent="0.15">
      <c r="C47" s="9">
        <v>1</v>
      </c>
      <c r="D47" s="14">
        <v>270</v>
      </c>
      <c r="E47" s="9" t="s">
        <v>24</v>
      </c>
      <c r="F47" s="9">
        <v>9073</v>
      </c>
      <c r="I47" s="9">
        <v>18</v>
      </c>
      <c r="J47" s="9">
        <v>9072</v>
      </c>
      <c r="K47" s="9">
        <v>9493</v>
      </c>
    </row>
    <row r="48" spans="1:11" x14ac:dyDescent="0.15">
      <c r="C48" s="9">
        <v>1</v>
      </c>
      <c r="D48" s="14">
        <v>360</v>
      </c>
      <c r="E48" s="9" t="s">
        <v>25</v>
      </c>
      <c r="F48" s="9">
        <v>9074</v>
      </c>
      <c r="I48" s="9">
        <v>30</v>
      </c>
      <c r="J48" s="9">
        <v>9067</v>
      </c>
      <c r="K48" s="9">
        <v>9488</v>
      </c>
    </row>
    <row r="49" spans="3:11" x14ac:dyDescent="0.15">
      <c r="C49" s="9">
        <v>1</v>
      </c>
      <c r="D49" s="9">
        <v>450</v>
      </c>
      <c r="E49" s="9" t="s">
        <v>26</v>
      </c>
      <c r="F49" s="9">
        <v>9075</v>
      </c>
      <c r="I49" s="9">
        <v>45</v>
      </c>
      <c r="J49" s="9">
        <v>9075</v>
      </c>
      <c r="K49" s="9">
        <v>9496</v>
      </c>
    </row>
    <row r="50" spans="3:11" x14ac:dyDescent="0.15">
      <c r="C50" s="9">
        <v>2</v>
      </c>
      <c r="D50" s="9">
        <v>60</v>
      </c>
      <c r="E50" s="9" t="s">
        <v>49</v>
      </c>
      <c r="F50" s="9">
        <v>9476</v>
      </c>
    </row>
    <row r="51" spans="3:11" x14ac:dyDescent="0.15">
      <c r="C51" s="9">
        <v>2</v>
      </c>
      <c r="D51" s="9">
        <v>120</v>
      </c>
      <c r="E51" s="9" t="s">
        <v>50</v>
      </c>
      <c r="F51" s="9">
        <v>9477</v>
      </c>
    </row>
    <row r="52" spans="3:11" x14ac:dyDescent="0.15">
      <c r="C52" s="9">
        <v>2</v>
      </c>
      <c r="D52" s="9">
        <v>190</v>
      </c>
      <c r="E52" s="9" t="s">
        <v>51</v>
      </c>
      <c r="F52" s="9">
        <v>9478</v>
      </c>
    </row>
    <row r="53" spans="3:11" x14ac:dyDescent="0.15">
      <c r="C53" s="9">
        <v>2</v>
      </c>
      <c r="D53" s="9">
        <v>280</v>
      </c>
      <c r="E53" s="9" t="s">
        <v>52</v>
      </c>
      <c r="F53" s="9">
        <v>9479</v>
      </c>
    </row>
    <row r="54" spans="3:11" x14ac:dyDescent="0.15">
      <c r="C54" s="9">
        <v>2</v>
      </c>
      <c r="D54" s="9">
        <v>480</v>
      </c>
      <c r="E54" s="9" t="s">
        <v>53</v>
      </c>
      <c r="F54" s="9">
        <v>9480</v>
      </c>
    </row>
    <row r="55" spans="3:11" x14ac:dyDescent="0.15">
      <c r="C55" s="9">
        <v>2</v>
      </c>
      <c r="D55" s="9">
        <v>680</v>
      </c>
      <c r="E55" s="9" t="s">
        <v>54</v>
      </c>
      <c r="F55" s="9">
        <v>9481</v>
      </c>
    </row>
    <row r="56" spans="3:11" x14ac:dyDescent="0.15">
      <c r="C56" s="9">
        <v>2</v>
      </c>
      <c r="D56" s="9">
        <v>980</v>
      </c>
      <c r="E56" s="9" t="s">
        <v>55</v>
      </c>
      <c r="F56" s="9">
        <v>9482</v>
      </c>
    </row>
    <row r="57" spans="3:11" x14ac:dyDescent="0.15">
      <c r="C57" s="9">
        <v>2</v>
      </c>
      <c r="D57" s="9">
        <v>1680</v>
      </c>
      <c r="E57" s="9" t="s">
        <v>56</v>
      </c>
      <c r="F57" s="9">
        <v>9483</v>
      </c>
    </row>
    <row r="58" spans="3:11" x14ac:dyDescent="0.15">
      <c r="C58" s="9">
        <v>2</v>
      </c>
      <c r="D58" s="9">
        <v>2680</v>
      </c>
      <c r="E58" s="9" t="s">
        <v>57</v>
      </c>
      <c r="F58" s="9">
        <v>9484</v>
      </c>
    </row>
    <row r="59" spans="3:11" x14ac:dyDescent="0.15">
      <c r="C59" s="9">
        <v>2</v>
      </c>
      <c r="D59" s="9">
        <v>4680</v>
      </c>
      <c r="E59" s="9" t="s">
        <v>58</v>
      </c>
      <c r="F59" s="9">
        <v>9485</v>
      </c>
    </row>
    <row r="60" spans="3:11" x14ac:dyDescent="0.15">
      <c r="C60" s="9">
        <v>2</v>
      </c>
      <c r="D60" s="9">
        <v>6980</v>
      </c>
      <c r="E60" s="9" t="s">
        <v>59</v>
      </c>
      <c r="F60" s="9">
        <v>9486</v>
      </c>
    </row>
    <row r="61" spans="3:11" x14ac:dyDescent="0.15">
      <c r="C61" s="9">
        <v>2</v>
      </c>
      <c r="D61" s="9">
        <v>9980</v>
      </c>
      <c r="E61" s="9" t="s">
        <v>60</v>
      </c>
      <c r="F61" s="9">
        <v>9487</v>
      </c>
    </row>
    <row r="62" spans="3:11" x14ac:dyDescent="0.15">
      <c r="C62" s="9">
        <v>2</v>
      </c>
      <c r="D62" s="9">
        <v>300</v>
      </c>
      <c r="E62" s="9" t="s">
        <v>28</v>
      </c>
      <c r="F62" s="9">
        <v>9488</v>
      </c>
    </row>
    <row r="63" spans="3:11" x14ac:dyDescent="0.15">
      <c r="C63" s="9">
        <v>2</v>
      </c>
      <c r="D63" s="9">
        <v>1200</v>
      </c>
      <c r="E63" s="9" t="s">
        <v>29</v>
      </c>
      <c r="F63" s="9">
        <v>9489</v>
      </c>
    </row>
    <row r="64" spans="3:11" x14ac:dyDescent="0.15">
      <c r="C64" s="9">
        <v>2</v>
      </c>
      <c r="D64" s="9">
        <v>10</v>
      </c>
      <c r="E64" s="9" t="s">
        <v>30</v>
      </c>
      <c r="F64" s="9">
        <v>9490</v>
      </c>
    </row>
    <row r="65" spans="2:6" x14ac:dyDescent="0.15">
      <c r="C65" s="9">
        <v>2</v>
      </c>
      <c r="D65" s="9">
        <v>100</v>
      </c>
      <c r="E65" s="9" t="s">
        <v>31</v>
      </c>
      <c r="F65" s="9">
        <v>9491</v>
      </c>
    </row>
    <row r="66" spans="2:6" x14ac:dyDescent="0.15">
      <c r="B66" s="9">
        <f>83/117600*12</f>
        <v>8.4693877551020418E-3</v>
      </c>
      <c r="C66" s="9">
        <v>2</v>
      </c>
      <c r="D66" s="9">
        <v>90</v>
      </c>
      <c r="E66" s="9" t="s">
        <v>22</v>
      </c>
      <c r="F66" s="9">
        <v>9492</v>
      </c>
    </row>
    <row r="67" spans="2:6" x14ac:dyDescent="0.15">
      <c r="C67" s="9">
        <v>2</v>
      </c>
      <c r="D67" s="9">
        <v>180</v>
      </c>
      <c r="E67" s="9" t="s">
        <v>23</v>
      </c>
      <c r="F67" s="9">
        <v>9493</v>
      </c>
    </row>
    <row r="68" spans="2:6" x14ac:dyDescent="0.15">
      <c r="C68" s="9">
        <v>2</v>
      </c>
      <c r="D68" s="9">
        <v>270</v>
      </c>
      <c r="E68" s="9" t="s">
        <v>24</v>
      </c>
      <c r="F68" s="9">
        <v>9494</v>
      </c>
    </row>
    <row r="69" spans="2:6" x14ac:dyDescent="0.15">
      <c r="C69" s="9">
        <v>2</v>
      </c>
      <c r="D69" s="9">
        <v>360</v>
      </c>
      <c r="E69" s="9" t="s">
        <v>25</v>
      </c>
      <c r="F69" s="9">
        <v>9495</v>
      </c>
    </row>
    <row r="70" spans="2:6" x14ac:dyDescent="0.15">
      <c r="C70" s="9">
        <v>2</v>
      </c>
      <c r="D70" s="9">
        <v>450</v>
      </c>
      <c r="E70" s="9" t="s">
        <v>26</v>
      </c>
      <c r="F70" s="9">
        <v>9496</v>
      </c>
    </row>
  </sheetData>
  <mergeCells count="24">
    <mergeCell ref="A44:B44"/>
    <mergeCell ref="A45:B45"/>
    <mergeCell ref="A6:B23"/>
    <mergeCell ref="A39:B39"/>
    <mergeCell ref="A40:B40"/>
    <mergeCell ref="A41:B41"/>
    <mergeCell ref="A42:B42"/>
    <mergeCell ref="A43:B43"/>
    <mergeCell ref="A34:B34"/>
    <mergeCell ref="A35:B35"/>
    <mergeCell ref="A36:B36"/>
    <mergeCell ref="A37:B37"/>
    <mergeCell ref="A38:B38"/>
    <mergeCell ref="A29:B29"/>
    <mergeCell ref="A30:B30"/>
    <mergeCell ref="A31:B31"/>
    <mergeCell ref="C28:F28"/>
    <mergeCell ref="A32:B32"/>
    <mergeCell ref="A33:B33"/>
    <mergeCell ref="A24:B24"/>
    <mergeCell ref="A25:B25"/>
    <mergeCell ref="A26:B26"/>
    <mergeCell ref="A27:B27"/>
    <mergeCell ref="A28:B28"/>
  </mergeCells>
  <phoneticPr fontId="4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1A5258-A1F0-472E-A3BB-F460A810AEE2}">
  <sheetPr codeName="Sheet11"/>
  <dimension ref="A1:AA14"/>
  <sheetViews>
    <sheetView tabSelected="1" workbookViewId="0">
      <selection activeCell="E9" sqref="E9"/>
    </sheetView>
  </sheetViews>
  <sheetFormatPr defaultColWidth="9" defaultRowHeight="13.5" x14ac:dyDescent="0.15"/>
  <cols>
    <col min="1" max="1" width="12.125" customWidth="1"/>
    <col min="2" max="2" width="11.25" bestFit="1" customWidth="1"/>
    <col min="3" max="3" width="14.375" bestFit="1" customWidth="1"/>
    <col min="4" max="4" width="23.875" bestFit="1" customWidth="1"/>
    <col min="5" max="5" width="23.875" customWidth="1"/>
    <col min="6" max="7" width="18.25" customWidth="1"/>
    <col min="8" max="12" width="16.125" customWidth="1"/>
  </cols>
  <sheetData>
    <row r="1" spans="1:27" s="17" customFormat="1" ht="12" customHeight="1" x14ac:dyDescent="0.15">
      <c r="A1" s="16"/>
      <c r="B1" s="17" t="s">
        <v>85</v>
      </c>
      <c r="C1" s="16"/>
      <c r="X1" s="18"/>
    </row>
    <row r="2" spans="1:27" s="21" customFormat="1" ht="12" customHeight="1" x14ac:dyDescent="0.15">
      <c r="A2" s="19" t="s">
        <v>13</v>
      </c>
      <c r="B2" s="20" t="s">
        <v>32</v>
      </c>
      <c r="C2" s="20" t="s">
        <v>35</v>
      </c>
      <c r="D2" s="20" t="s">
        <v>38</v>
      </c>
      <c r="E2" s="20" t="s">
        <v>83</v>
      </c>
      <c r="F2" s="20" t="s">
        <v>14</v>
      </c>
      <c r="G2" s="20" t="s">
        <v>79</v>
      </c>
      <c r="H2" s="20" t="s">
        <v>15</v>
      </c>
      <c r="I2" s="20" t="s">
        <v>16</v>
      </c>
      <c r="J2" s="20" t="s">
        <v>81</v>
      </c>
      <c r="K2" s="20" t="s">
        <v>77</v>
      </c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</row>
    <row r="3" spans="1:27" s="24" customFormat="1" ht="12" customHeight="1" x14ac:dyDescent="0.15">
      <c r="A3" s="22" t="s">
        <v>33</v>
      </c>
      <c r="B3" s="23" t="s">
        <v>86</v>
      </c>
      <c r="C3" s="23" t="s">
        <v>33</v>
      </c>
      <c r="D3" s="23" t="s">
        <v>37</v>
      </c>
      <c r="E3" s="23" t="s">
        <v>37</v>
      </c>
      <c r="F3" s="23" t="s">
        <v>12</v>
      </c>
      <c r="G3" s="23" t="s">
        <v>18</v>
      </c>
      <c r="H3" s="23" t="s">
        <v>17</v>
      </c>
      <c r="I3" s="23" t="s">
        <v>17</v>
      </c>
      <c r="J3" s="23" t="s">
        <v>33</v>
      </c>
      <c r="K3" s="23" t="s">
        <v>37</v>
      </c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</row>
    <row r="4" spans="1:27" x14ac:dyDescent="0.15">
      <c r="A4" t="s">
        <v>27</v>
      </c>
      <c r="B4" t="s">
        <v>34</v>
      </c>
      <c r="C4" t="s">
        <v>36</v>
      </c>
      <c r="D4" t="s">
        <v>38</v>
      </c>
      <c r="E4" t="s">
        <v>84</v>
      </c>
      <c r="F4" t="s">
        <v>19</v>
      </c>
      <c r="G4" t="s">
        <v>80</v>
      </c>
      <c r="H4" t="s">
        <v>20</v>
      </c>
      <c r="I4" t="s">
        <v>21</v>
      </c>
      <c r="J4" t="s">
        <v>82</v>
      </c>
      <c r="K4" t="s">
        <v>78</v>
      </c>
    </row>
    <row r="5" spans="1:27" x14ac:dyDescent="0.15">
      <c r="A5" s="1">
        <v>1</v>
      </c>
      <c r="B5" s="9">
        <v>9055</v>
      </c>
      <c r="C5" s="9">
        <v>9476</v>
      </c>
      <c r="D5" s="8" t="s">
        <v>39</v>
      </c>
      <c r="E5" s="8">
        <v>3876</v>
      </c>
      <c r="F5" s="4" t="s">
        <v>69</v>
      </c>
      <c r="G5" s="2" t="str">
        <f>"[[""r000"","&amp;表4_93[[#This Row],[价格]]&amp;"]]"</f>
        <v>[["r000",6]]</v>
      </c>
      <c r="H5" s="2">
        <v>6</v>
      </c>
      <c r="I5" s="3">
        <v>66666</v>
      </c>
      <c r="J5">
        <v>2</v>
      </c>
      <c r="K5" t="str">
        <f>表4_93[[#This Row],[礼包内容]]&amp;"金币"</f>
        <v>66666金币</v>
      </c>
    </row>
    <row r="6" spans="1:27" x14ac:dyDescent="0.15">
      <c r="A6" s="1">
        <v>2</v>
      </c>
      <c r="B6" s="9">
        <v>9056</v>
      </c>
      <c r="C6" s="9">
        <v>9477</v>
      </c>
      <c r="D6" s="8" t="s">
        <v>40</v>
      </c>
      <c r="E6" s="8">
        <v>3877</v>
      </c>
      <c r="F6" s="4" t="s">
        <v>70</v>
      </c>
      <c r="G6" s="2" t="str">
        <f>"[[""r000"","&amp;表4_93[[#This Row],[价格]]&amp;"]]"</f>
        <v>[["r000",12]]</v>
      </c>
      <c r="H6" s="2">
        <v>12</v>
      </c>
      <c r="I6" s="3">
        <v>136666</v>
      </c>
      <c r="J6">
        <v>2</v>
      </c>
      <c r="K6" t="str">
        <f>表4_93[[#This Row],[礼包内容]]&amp;"金币"</f>
        <v>136666金币</v>
      </c>
    </row>
    <row r="7" spans="1:27" x14ac:dyDescent="0.15">
      <c r="A7" s="1">
        <v>3</v>
      </c>
      <c r="B7" s="9">
        <v>9072</v>
      </c>
      <c r="C7" s="9">
        <v>9493</v>
      </c>
      <c r="D7" s="8" t="s">
        <v>41</v>
      </c>
      <c r="E7" s="8">
        <v>3878</v>
      </c>
      <c r="F7" s="4" t="s">
        <v>71</v>
      </c>
      <c r="G7" s="2" t="str">
        <f>"[[""r000"","&amp;表4_93[[#This Row],[价格]]&amp;"]]"</f>
        <v>[["r000",18]]</v>
      </c>
      <c r="H7" s="2">
        <v>18</v>
      </c>
      <c r="I7" s="3">
        <v>206666</v>
      </c>
      <c r="J7">
        <v>2</v>
      </c>
      <c r="K7" t="str">
        <f>表4_93[[#This Row],[礼包内容]]&amp;"金币"</f>
        <v>206666金币</v>
      </c>
    </row>
    <row r="8" spans="1:27" x14ac:dyDescent="0.15">
      <c r="A8" s="1">
        <v>4</v>
      </c>
      <c r="B8" s="9">
        <v>9058</v>
      </c>
      <c r="C8" s="9">
        <v>9479</v>
      </c>
      <c r="D8" s="8" t="s">
        <v>42</v>
      </c>
      <c r="E8" s="8">
        <v>3879</v>
      </c>
      <c r="F8" s="4" t="s">
        <v>72</v>
      </c>
      <c r="G8" s="2" t="str">
        <f>"[[""r000"","&amp;表4_93[[#This Row],[价格]]&amp;"]]"</f>
        <v>[["r000",28]]</v>
      </c>
      <c r="H8" s="2">
        <v>28</v>
      </c>
      <c r="I8" s="3">
        <v>326666</v>
      </c>
      <c r="J8">
        <v>2</v>
      </c>
      <c r="K8" t="str">
        <f>表4_93[[#This Row],[礼包内容]]&amp;"金币"</f>
        <v>326666金币</v>
      </c>
    </row>
    <row r="9" spans="1:27" x14ac:dyDescent="0.15">
      <c r="A9" s="5">
        <v>5</v>
      </c>
      <c r="B9" s="9">
        <v>9075</v>
      </c>
      <c r="C9" s="9">
        <v>9496</v>
      </c>
      <c r="D9" s="8" t="s">
        <v>43</v>
      </c>
      <c r="E9" s="8">
        <v>3880</v>
      </c>
      <c r="F9" s="7" t="s">
        <v>73</v>
      </c>
      <c r="G9" s="2" t="str">
        <f>"[[""r000"","&amp;表4_93[[#This Row],[价格]]&amp;"]]"</f>
        <v>[["r000",45]]</v>
      </c>
      <c r="H9" s="6">
        <v>45</v>
      </c>
      <c r="I9" s="3">
        <v>526666</v>
      </c>
      <c r="J9">
        <v>2</v>
      </c>
      <c r="K9" t="str">
        <f>表4_93[[#This Row],[礼包内容]]&amp;"金币"</f>
        <v>526666金币</v>
      </c>
    </row>
    <row r="10" spans="1:27" x14ac:dyDescent="0.15">
      <c r="A10" s="5">
        <v>7</v>
      </c>
      <c r="B10" s="9">
        <v>9060</v>
      </c>
      <c r="C10" s="9">
        <v>9481</v>
      </c>
      <c r="D10" s="8" t="s">
        <v>62</v>
      </c>
      <c r="E10" s="8">
        <v>3881</v>
      </c>
      <c r="F10" s="7" t="s">
        <v>74</v>
      </c>
      <c r="G10" s="2" t="str">
        <f>"[[""r000"","&amp;表4_93[[#This Row],[价格]]&amp;"]]"</f>
        <v>[["r000",68]]</v>
      </c>
      <c r="H10" s="7">
        <v>68</v>
      </c>
      <c r="I10" s="3">
        <v>806666</v>
      </c>
      <c r="J10">
        <v>2</v>
      </c>
      <c r="K10" t="str">
        <f>表4_93[[#This Row],[礼包内容]]&amp;"金币"</f>
        <v>806666金币</v>
      </c>
    </row>
    <row r="11" spans="1:27" x14ac:dyDescent="0.15">
      <c r="A11" s="1">
        <v>8</v>
      </c>
      <c r="B11" s="9">
        <v>9061</v>
      </c>
      <c r="C11" s="9">
        <v>9482</v>
      </c>
      <c r="D11" s="8" t="s">
        <v>63</v>
      </c>
      <c r="E11" s="8">
        <v>3882</v>
      </c>
      <c r="F11" s="7" t="s">
        <v>75</v>
      </c>
      <c r="G11" s="2" t="str">
        <f>"[[""r000"","&amp;表4_93[[#This Row],[价格]]&amp;"]]"</f>
        <v>[["r000",98]]</v>
      </c>
      <c r="H11" s="7">
        <v>98</v>
      </c>
      <c r="I11" s="3">
        <v>1176666</v>
      </c>
      <c r="J11">
        <v>2</v>
      </c>
      <c r="K11" t="str">
        <f>表4_93[[#This Row],[礼包内容]]&amp;"金币"</f>
        <v>1176666金币</v>
      </c>
    </row>
    <row r="12" spans="1:27" x14ac:dyDescent="0.15">
      <c r="A12" s="5">
        <v>9</v>
      </c>
      <c r="B12" s="9">
        <v>9062</v>
      </c>
      <c r="C12" s="9">
        <v>9483</v>
      </c>
      <c r="D12" s="8" t="s">
        <v>64</v>
      </c>
      <c r="E12" s="8">
        <v>3883</v>
      </c>
      <c r="F12" s="7" t="s">
        <v>76</v>
      </c>
      <c r="G12" s="2" t="str">
        <f>"[[""r000"","&amp;表4_93[[#This Row],[价格]]&amp;"]]"</f>
        <v>[["r000",168]]</v>
      </c>
      <c r="H12" s="7">
        <v>168</v>
      </c>
      <c r="I12" s="3">
        <v>2036666</v>
      </c>
      <c r="J12">
        <v>2</v>
      </c>
      <c r="K12" t="str">
        <f>表4_93[[#This Row],[礼包内容]]&amp;"金币"</f>
        <v>2036666金币</v>
      </c>
    </row>
    <row r="13" spans="1:27" x14ac:dyDescent="0.15">
      <c r="A13" s="1">
        <v>10</v>
      </c>
      <c r="B13" s="9">
        <v>9063</v>
      </c>
      <c r="C13" s="9">
        <v>9484</v>
      </c>
      <c r="D13" s="8" t="s">
        <v>65</v>
      </c>
      <c r="E13" s="8">
        <v>3884</v>
      </c>
      <c r="F13" s="7" t="s">
        <v>68</v>
      </c>
      <c r="G13" s="2" t="str">
        <f>"[[""r000"","&amp;表4_93[[#This Row],[价格]]&amp;"]]"</f>
        <v>[["r000",268]]</v>
      </c>
      <c r="H13" s="7">
        <v>268</v>
      </c>
      <c r="I13" s="3">
        <v>3286666</v>
      </c>
      <c r="J13">
        <v>2</v>
      </c>
      <c r="K13" t="str">
        <f>表4_93[[#This Row],[礼包内容]]&amp;"金币"</f>
        <v>3286666金币</v>
      </c>
    </row>
    <row r="14" spans="1:27" x14ac:dyDescent="0.15">
      <c r="A14" s="5">
        <v>11</v>
      </c>
      <c r="B14" s="9">
        <v>9065</v>
      </c>
      <c r="C14" s="9">
        <v>9486</v>
      </c>
      <c r="D14" s="8" t="s">
        <v>66</v>
      </c>
      <c r="E14" s="8">
        <v>3885</v>
      </c>
      <c r="F14" s="7" t="s">
        <v>67</v>
      </c>
      <c r="G14" s="2" t="str">
        <f>"[[""r000"","&amp;表4_93[[#This Row],[价格]]&amp;"]]"</f>
        <v>[["r000",698]]</v>
      </c>
      <c r="H14" s="7">
        <v>698</v>
      </c>
      <c r="I14" s="3">
        <v>8666666</v>
      </c>
      <c r="J14">
        <v>2</v>
      </c>
      <c r="K14" t="str">
        <f>表4_93[[#This Row],[礼包内容]]&amp;"金币"</f>
        <v>8666666金币</v>
      </c>
    </row>
  </sheetData>
  <phoneticPr fontId="4" type="noConversion"/>
  <dataValidations count="1">
    <dataValidation allowBlank="1" showInputMessage="1" showErrorMessage="1" promptTitle="版本&quot;,&quot;分割————————————" prompt="如果是所有版本，则填ALL" sqref="B1" xr:uid="{FD1F5CB4-3081-426F-A1DF-ADAE5853D98C}"/>
  </dataValidations>
  <pageMargins left="0.75" right="0.75" top="1" bottom="1" header="0.51180555555555596" footer="0.51180555555555596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9CD252-EB68-429B-B6DC-C8698123E4EC}">
  <sheetPr codeName="Sheet10"/>
  <dimension ref="A1:AA14"/>
  <sheetViews>
    <sheetView workbookViewId="0">
      <selection activeCell="E5" sqref="E5"/>
    </sheetView>
  </sheetViews>
  <sheetFormatPr defaultColWidth="9" defaultRowHeight="13.5" x14ac:dyDescent="0.15"/>
  <cols>
    <col min="1" max="1" width="12.125" customWidth="1"/>
    <col min="2" max="2" width="11.25" bestFit="1" customWidth="1"/>
    <col min="3" max="3" width="14.375" bestFit="1" customWidth="1"/>
    <col min="4" max="4" width="23.875" bestFit="1" customWidth="1"/>
    <col min="5" max="5" width="23.875" customWidth="1"/>
    <col min="6" max="7" width="18.25" customWidth="1"/>
    <col min="8" max="12" width="16.125" customWidth="1"/>
  </cols>
  <sheetData>
    <row r="1" spans="1:27" s="17" customFormat="1" ht="12" customHeight="1" x14ac:dyDescent="0.15">
      <c r="A1" s="16"/>
      <c r="B1" s="17" t="s">
        <v>87</v>
      </c>
      <c r="C1" s="16"/>
      <c r="X1" s="18"/>
    </row>
    <row r="2" spans="1:27" s="21" customFormat="1" ht="12" customHeight="1" x14ac:dyDescent="0.15">
      <c r="A2" s="19" t="s">
        <v>13</v>
      </c>
      <c r="B2" s="20" t="s">
        <v>32</v>
      </c>
      <c r="C2" s="20" t="s">
        <v>35</v>
      </c>
      <c r="D2" s="20" t="s">
        <v>38</v>
      </c>
      <c r="E2" s="20" t="s">
        <v>83</v>
      </c>
      <c r="F2" s="20" t="s">
        <v>14</v>
      </c>
      <c r="G2" s="20" t="s">
        <v>79</v>
      </c>
      <c r="H2" s="20" t="s">
        <v>15</v>
      </c>
      <c r="I2" s="20" t="s">
        <v>16</v>
      </c>
      <c r="J2" s="20" t="s">
        <v>81</v>
      </c>
      <c r="K2" s="20" t="s">
        <v>77</v>
      </c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</row>
    <row r="3" spans="1:27" s="24" customFormat="1" ht="12" customHeight="1" x14ac:dyDescent="0.15">
      <c r="A3" s="22" t="s">
        <v>33</v>
      </c>
      <c r="B3" s="23" t="s">
        <v>86</v>
      </c>
      <c r="C3" s="23" t="s">
        <v>33</v>
      </c>
      <c r="D3" s="23" t="s">
        <v>37</v>
      </c>
      <c r="E3" s="23" t="s">
        <v>37</v>
      </c>
      <c r="F3" s="23" t="s">
        <v>12</v>
      </c>
      <c r="G3" s="23" t="s">
        <v>18</v>
      </c>
      <c r="H3" s="23" t="s">
        <v>17</v>
      </c>
      <c r="I3" s="23" t="s">
        <v>17</v>
      </c>
      <c r="J3" s="23" t="s">
        <v>33</v>
      </c>
      <c r="K3" s="23" t="s">
        <v>37</v>
      </c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</row>
    <row r="4" spans="1:27" x14ac:dyDescent="0.15">
      <c r="A4" t="s">
        <v>27</v>
      </c>
      <c r="B4" t="s">
        <v>34</v>
      </c>
      <c r="C4" t="s">
        <v>36</v>
      </c>
      <c r="D4" t="s">
        <v>38</v>
      </c>
      <c r="E4" t="s">
        <v>84</v>
      </c>
      <c r="F4" t="s">
        <v>19</v>
      </c>
      <c r="G4" t="s">
        <v>80</v>
      </c>
      <c r="H4" t="s">
        <v>20</v>
      </c>
      <c r="I4" t="s">
        <v>21</v>
      </c>
      <c r="J4" t="s">
        <v>82</v>
      </c>
      <c r="K4" t="s">
        <v>78</v>
      </c>
    </row>
    <row r="5" spans="1:27" x14ac:dyDescent="0.15">
      <c r="A5" s="1">
        <v>1</v>
      </c>
      <c r="B5" s="9">
        <v>9055</v>
      </c>
      <c r="C5" s="9">
        <v>9476</v>
      </c>
      <c r="D5" s="8" t="s">
        <v>39</v>
      </c>
      <c r="E5" s="8" t="s">
        <v>39</v>
      </c>
      <c r="F5" s="4" t="s">
        <v>69</v>
      </c>
      <c r="G5" s="2" t="str">
        <f>"[[""r002"","&amp;表4_92[[#This Row],[价格]]&amp;"]]"</f>
        <v>[["r002",1]]</v>
      </c>
      <c r="H5" s="2">
        <v>1</v>
      </c>
      <c r="I5" s="3">
        <f>ROUNDUP((表4_92[[#This Row],[价格]]*60000*(1+(ROW()-5)/50))/1000,0)*1000</f>
        <v>60000</v>
      </c>
      <c r="J5">
        <v>2</v>
      </c>
      <c r="K5" t="str">
        <f>表4_92[[#This Row],[礼包内容]]&amp;"金币"</f>
        <v>60000金币</v>
      </c>
    </row>
    <row r="6" spans="1:27" x14ac:dyDescent="0.15">
      <c r="A6" s="1">
        <v>2</v>
      </c>
      <c r="B6" s="9">
        <v>9056</v>
      </c>
      <c r="C6" s="9">
        <v>9477</v>
      </c>
      <c r="D6" s="8" t="s">
        <v>40</v>
      </c>
      <c r="E6" s="8" t="s">
        <v>40</v>
      </c>
      <c r="F6" s="4" t="s">
        <v>70</v>
      </c>
      <c r="G6" s="2" t="str">
        <f>"[[""r002"","&amp;表4_92[[#This Row],[价格]]&amp;"]]"</f>
        <v>[["r002",2]]</v>
      </c>
      <c r="H6" s="2">
        <v>2</v>
      </c>
      <c r="I6" s="3">
        <f>ROUNDUP((表4_92[[#This Row],[价格]]*60000*(1+(ROW()-5)/50))/1000,0)*1000</f>
        <v>123000</v>
      </c>
      <c r="J6">
        <v>2</v>
      </c>
      <c r="K6" t="str">
        <f>表4_92[[#This Row],[礼包内容]]&amp;"金币"</f>
        <v>123000金币</v>
      </c>
    </row>
    <row r="7" spans="1:27" x14ac:dyDescent="0.15">
      <c r="A7" s="1">
        <v>3</v>
      </c>
      <c r="B7" s="9">
        <v>9072</v>
      </c>
      <c r="C7" s="9">
        <v>9493</v>
      </c>
      <c r="D7" s="8" t="s">
        <v>41</v>
      </c>
      <c r="E7" s="8" t="s">
        <v>41</v>
      </c>
      <c r="F7" s="4" t="s">
        <v>71</v>
      </c>
      <c r="G7" s="2" t="str">
        <f>"[[""r002"","&amp;表4_92[[#This Row],[价格]]&amp;"]]"</f>
        <v>[["r002",3]]</v>
      </c>
      <c r="H7" s="2">
        <v>3</v>
      </c>
      <c r="I7" s="3">
        <f>ROUNDUP((表4_92[[#This Row],[价格]]*60000*(1+(ROW()-5)/50))/1000,0)*1000</f>
        <v>188000</v>
      </c>
      <c r="J7">
        <v>2</v>
      </c>
      <c r="K7" t="str">
        <f>表4_92[[#This Row],[礼包内容]]&amp;"金币"</f>
        <v>188000金币</v>
      </c>
    </row>
    <row r="8" spans="1:27" x14ac:dyDescent="0.15">
      <c r="A8" s="1">
        <v>4</v>
      </c>
      <c r="B8" s="9">
        <v>9058</v>
      </c>
      <c r="C8" s="9">
        <v>9479</v>
      </c>
      <c r="D8" s="8" t="s">
        <v>42</v>
      </c>
      <c r="E8" s="8" t="s">
        <v>42</v>
      </c>
      <c r="F8" s="4" t="s">
        <v>72</v>
      </c>
      <c r="G8" s="2" t="str">
        <f>"[[""r002"","&amp;表4_92[[#This Row],[价格]]&amp;"]]"</f>
        <v>[["r002",5]]</v>
      </c>
      <c r="H8" s="2">
        <v>5</v>
      </c>
      <c r="I8" s="3">
        <f>ROUNDUP((表4_92[[#This Row],[价格]]*60000*(1+(ROW()-5)/50))/1000,0)*1000</f>
        <v>318000</v>
      </c>
      <c r="J8">
        <v>2</v>
      </c>
      <c r="K8" t="str">
        <f>表4_92[[#This Row],[礼包内容]]&amp;"金币"</f>
        <v>318000金币</v>
      </c>
    </row>
    <row r="9" spans="1:27" x14ac:dyDescent="0.15">
      <c r="A9" s="5">
        <v>5</v>
      </c>
      <c r="B9" s="9">
        <v>9075</v>
      </c>
      <c r="C9" s="9">
        <v>9496</v>
      </c>
      <c r="D9" s="8" t="s">
        <v>43</v>
      </c>
      <c r="E9" s="8" t="s">
        <v>43</v>
      </c>
      <c r="F9" s="7" t="s">
        <v>73</v>
      </c>
      <c r="G9" s="2" t="str">
        <f>"[[""r002"","&amp;表4_92[[#This Row],[价格]]&amp;"]]"</f>
        <v>[["r002",8]]</v>
      </c>
      <c r="H9" s="6">
        <v>8</v>
      </c>
      <c r="I9" s="3">
        <f>ROUNDUP((表4_92[[#This Row],[价格]]*60000*(1+(ROW()-5)/50))/1000,0)*1000</f>
        <v>519000</v>
      </c>
      <c r="J9">
        <v>2</v>
      </c>
      <c r="K9" t="str">
        <f>表4_92[[#This Row],[礼包内容]]&amp;"金币"</f>
        <v>519000金币</v>
      </c>
    </row>
    <row r="10" spans="1:27" x14ac:dyDescent="0.15">
      <c r="A10" s="5">
        <v>7</v>
      </c>
      <c r="B10" s="9">
        <v>9060</v>
      </c>
      <c r="C10" s="9">
        <v>9481</v>
      </c>
      <c r="D10" s="8" t="s">
        <v>62</v>
      </c>
      <c r="E10" s="8" t="s">
        <v>62</v>
      </c>
      <c r="F10" s="7" t="s">
        <v>74</v>
      </c>
      <c r="G10" s="2" t="str">
        <f>"[[""r002"","&amp;表4_92[[#This Row],[价格]]&amp;"]]"</f>
        <v>[["r002",10]]</v>
      </c>
      <c r="H10" s="7">
        <v>10</v>
      </c>
      <c r="I10" s="3">
        <f>ROUNDUP((表4_92[[#This Row],[价格]]*60000*(1+(ROW()-5)/50))/1000,0)*1000</f>
        <v>660000</v>
      </c>
      <c r="J10">
        <v>2</v>
      </c>
      <c r="K10" t="str">
        <f>表4_92[[#This Row],[礼包内容]]&amp;"金币"</f>
        <v>660000金币</v>
      </c>
    </row>
    <row r="11" spans="1:27" x14ac:dyDescent="0.15">
      <c r="A11" s="1">
        <v>8</v>
      </c>
      <c r="B11" s="9">
        <v>9061</v>
      </c>
      <c r="C11" s="9">
        <v>9482</v>
      </c>
      <c r="D11" s="8" t="s">
        <v>63</v>
      </c>
      <c r="E11" s="8" t="s">
        <v>63</v>
      </c>
      <c r="F11" s="7" t="s">
        <v>75</v>
      </c>
      <c r="G11" s="2" t="str">
        <f>"[[""r002"","&amp;表4_92[[#This Row],[价格]]&amp;"]]"</f>
        <v>[["r002",18]]</v>
      </c>
      <c r="H11" s="7">
        <v>18</v>
      </c>
      <c r="I11" s="3">
        <f>ROUNDUP((表4_92[[#This Row],[价格]]*60000*(1+(ROW()-5)/50))/1000,0)*1000</f>
        <v>1210000</v>
      </c>
      <c r="J11">
        <v>2</v>
      </c>
      <c r="K11" t="str">
        <f>表4_92[[#This Row],[礼包内容]]&amp;"金币"</f>
        <v>1210000金币</v>
      </c>
    </row>
    <row r="12" spans="1:27" x14ac:dyDescent="0.15">
      <c r="A12" s="5">
        <v>9</v>
      </c>
      <c r="B12" s="9">
        <v>9062</v>
      </c>
      <c r="C12" s="9">
        <v>9483</v>
      </c>
      <c r="D12" s="8" t="s">
        <v>64</v>
      </c>
      <c r="E12" s="8" t="s">
        <v>64</v>
      </c>
      <c r="F12" s="7" t="s">
        <v>76</v>
      </c>
      <c r="G12" s="2" t="str">
        <f>"[[""r002"","&amp;表4_92[[#This Row],[价格]]&amp;"]]"</f>
        <v>[["r002",28]]</v>
      </c>
      <c r="H12" s="7">
        <v>28</v>
      </c>
      <c r="I12" s="3">
        <f>ROUNDUP((表4_92[[#This Row],[价格]]*60000*(1+(ROW()-5)/50))/1000,0)*1000</f>
        <v>1916000</v>
      </c>
      <c r="J12">
        <v>2</v>
      </c>
      <c r="K12" t="str">
        <f>表4_92[[#This Row],[礼包内容]]&amp;"金币"</f>
        <v>1916000金币</v>
      </c>
    </row>
    <row r="13" spans="1:27" x14ac:dyDescent="0.15">
      <c r="A13" s="1">
        <v>10</v>
      </c>
      <c r="B13" s="9">
        <v>9063</v>
      </c>
      <c r="C13" s="9">
        <v>9484</v>
      </c>
      <c r="D13" s="8" t="s">
        <v>65</v>
      </c>
      <c r="E13" s="8" t="s">
        <v>65</v>
      </c>
      <c r="F13" s="7" t="s">
        <v>68</v>
      </c>
      <c r="G13" s="2" t="str">
        <f>"[[""r002"","&amp;表4_92[[#This Row],[价格]]&amp;"]]"</f>
        <v>[["r002",45]]</v>
      </c>
      <c r="H13" s="7">
        <v>45</v>
      </c>
      <c r="I13" s="3">
        <f>ROUNDUP((表4_92[[#This Row],[价格]]*60000*(1+(ROW()-5)/50))/1000,0)*1000</f>
        <v>3132000</v>
      </c>
      <c r="J13">
        <v>2</v>
      </c>
      <c r="K13" t="str">
        <f>表4_92[[#This Row],[礼包内容]]&amp;"金币"</f>
        <v>3132000金币</v>
      </c>
    </row>
    <row r="14" spans="1:27" x14ac:dyDescent="0.15">
      <c r="A14" s="5">
        <v>11</v>
      </c>
      <c r="B14" s="9">
        <v>9065</v>
      </c>
      <c r="C14" s="9">
        <v>9486</v>
      </c>
      <c r="D14" s="8" t="s">
        <v>66</v>
      </c>
      <c r="E14" s="8" t="s">
        <v>66</v>
      </c>
      <c r="F14" s="7" t="s">
        <v>67</v>
      </c>
      <c r="G14" s="2" t="str">
        <f>"[[""r002"","&amp;表4_92[[#This Row],[价格]]&amp;"]]"</f>
        <v>[["r002",100]]</v>
      </c>
      <c r="H14" s="7">
        <v>100</v>
      </c>
      <c r="I14" s="3">
        <f>ROUNDUP((表4_92[[#This Row],[价格]]*60000*(1+(ROW()-5)/50))/1000,0)*1000</f>
        <v>7080000</v>
      </c>
      <c r="J14">
        <v>2</v>
      </c>
      <c r="K14" t="str">
        <f>表4_92[[#This Row],[礼包内容]]&amp;"金币"</f>
        <v>7080000金币</v>
      </c>
    </row>
  </sheetData>
  <phoneticPr fontId="4" type="noConversion"/>
  <dataValidations count="1">
    <dataValidation allowBlank="1" showInputMessage="1" showErrorMessage="1" promptTitle="版本&quot;,&quot;分割————————————" prompt="如果是所有版本，则填ALL" sqref="B1" xr:uid="{667907A7-305C-443D-ABFF-B2A8403BBF76}"/>
  </dataValidations>
  <pageMargins left="0.75" right="0.75" top="1" bottom="1" header="0.51180555555555596" footer="0.51180555555555596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description</vt:lpstr>
      <vt:lpstr>混合</vt:lpstr>
      <vt:lpstr>Google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china</cp:lastModifiedBy>
  <dcterms:created xsi:type="dcterms:W3CDTF">2006-09-16T00:00:00Z</dcterms:created>
  <dcterms:modified xsi:type="dcterms:W3CDTF">2018-04-26T06:09:12Z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2052-10.1.0.6260</vt:lpwstr>
  </property>
</Properties>
</file>