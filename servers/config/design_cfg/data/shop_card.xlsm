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14AF807-47CD-4B97-BD8F-DA7A4F4DEC38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7" r:id="rId2"/>
    <sheet name="ios" sheetId="12" r:id="rId3"/>
    <sheet name="Google" sheetId="11" r:id="rId4"/>
    <sheet name="VNL" sheetId="8" r:id="rId5"/>
  </sheets>
  <functionGroups builtInGroupCount="19"/>
  <calcPr calcId="179017"/>
</workbook>
</file>

<file path=xl/calcChain.xml><?xml version="1.0" encoding="utf-8"?>
<calcChain xmlns="http://schemas.openxmlformats.org/spreadsheetml/2006/main">
  <c r="B66" i="1" l="1"/>
</calcChain>
</file>

<file path=xl/sharedStrings.xml><?xml version="1.0" encoding="utf-8"?>
<sst xmlns="http://schemas.openxmlformats.org/spreadsheetml/2006/main" count="314" uniqueCount="108">
  <si>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</si>
  <si>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</si>
  <si>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</si>
  <si>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</si>
  <si>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</si>
  <si>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</si>
  <si>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</si>
  <si>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</si>
  <si>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</si>
  <si>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</si>
  <si>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</si>
  <si>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</si>
  <si>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</si>
  <si>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</si>
  <si>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price</t>
  </si>
  <si>
    <t>int</t>
  </si>
  <si>
    <t>table</t>
  </si>
  <si>
    <t>小型礼包</t>
  </si>
  <si>
    <t>中型礼包</t>
  </si>
  <si>
    <t>大型礼包</t>
  </si>
  <si>
    <t>奢华礼包</t>
  </si>
  <si>
    <t>豪华礼包</t>
  </si>
  <si>
    <t>diamond</t>
  </si>
  <si>
    <t>everyday</t>
  </si>
  <si>
    <t>hitrate</t>
  </si>
  <si>
    <t>月卡类型</t>
  </si>
  <si>
    <t>价格¥</t>
  </si>
  <si>
    <t>一次性赠送钻石</t>
  </si>
  <si>
    <t>捕鱼命中系数</t>
  </si>
  <si>
    <t>普通月卡</t>
  </si>
  <si>
    <t>壕月卡</t>
  </si>
  <si>
    <t>一元翻盘基金</t>
  </si>
  <si>
    <t>十元翻盘基金</t>
  </si>
  <si>
    <t>funid</t>
  </si>
  <si>
    <t>玩吧id</t>
  </si>
  <si>
    <t>funidiOS</t>
    <phoneticPr fontId="6" type="noConversion"/>
  </si>
  <si>
    <t>玩吧idiOS</t>
    <phoneticPr fontId="6" type="noConversion"/>
  </si>
  <si>
    <t>float</t>
    <phoneticPr fontId="6" type="noConversion"/>
  </si>
  <si>
    <t>每日领取</t>
    <phoneticPr fontId="6" type="noConversion"/>
  </si>
  <si>
    <t>[["i001",50000],["i011",2],["i002",30],["i012",2]]</t>
    <phoneticPr fontId="6" type="noConversion"/>
  </si>
  <si>
    <t>[["i015",1],["i011",5],["i013",5],["i001",100000],["i002",60],["i012",5]]</t>
    <phoneticPr fontId="6" type="noConversion"/>
  </si>
  <si>
    <t>周卡</t>
    <phoneticPr fontId="6" type="noConversion"/>
  </si>
  <si>
    <t>description</t>
    <phoneticPr fontId="6" type="noConversion"/>
  </si>
  <si>
    <t>string</t>
    <phoneticPr fontId="6" type="noConversion"/>
  </si>
  <si>
    <t>描述</t>
    <phoneticPr fontId="6" type="noConversion"/>
  </si>
  <si>
    <t>str_month_card_share_free_month</t>
  </si>
  <si>
    <t>str_month_card_share_free_month</t>
    <phoneticPr fontId="6" type="noConversion"/>
  </si>
  <si>
    <t>str_month_card_share_free_week</t>
  </si>
  <si>
    <t>邀请数量</t>
    <phoneticPr fontId="6" type="noConversion"/>
  </si>
  <si>
    <t>int</t>
    <phoneticPr fontId="6" type="noConversion"/>
  </si>
  <si>
    <t>sharecount</t>
    <phoneticPr fontId="6" type="noConversion"/>
  </si>
  <si>
    <t>[["i001",20000],["i012",2],["i013",2],["i011",2]]</t>
    <phoneticPr fontId="6" type="noConversion"/>
  </si>
  <si>
    <t>iOS</t>
  </si>
  <si>
    <t>card_6</t>
    <phoneticPr fontId="6" type="noConversion"/>
  </si>
  <si>
    <t>card_30</t>
    <phoneticPr fontId="6" type="noConversion"/>
  </si>
  <si>
    <t>card_120</t>
    <phoneticPr fontId="6" type="noConversion"/>
  </si>
  <si>
    <t>gift_6</t>
    <phoneticPr fontId="6" type="noConversion"/>
  </si>
  <si>
    <t>gift_12</t>
    <phoneticPr fontId="6" type="noConversion"/>
  </si>
  <si>
    <t>gift_18</t>
    <phoneticPr fontId="6" type="noConversion"/>
  </si>
  <si>
    <t>gift_30</t>
    <phoneticPr fontId="6" type="noConversion"/>
  </si>
  <si>
    <t>gift_45</t>
    <phoneticPr fontId="6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</si>
  <si>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</si>
  <si>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</si>
  <si>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</si>
  <si>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</si>
  <si>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</si>
  <si>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</si>
  <si>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</si>
  <si>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</si>
  <si>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</si>
  <si>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</si>
  <si>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</si>
  <si>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</si>
  <si>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6" type="noConversion"/>
  </si>
  <si>
    <t>name</t>
    <phoneticPr fontId="6" type="noConversion"/>
  </si>
  <si>
    <t>string</t>
    <phoneticPr fontId="6" type="noConversion"/>
  </si>
  <si>
    <t>名称</t>
    <phoneticPr fontId="6" type="noConversion"/>
  </si>
  <si>
    <t>buyCost</t>
  </si>
  <si>
    <t>buyGain</t>
  </si>
  <si>
    <t>购买消耗</t>
  </si>
  <si>
    <t>一次性获得</t>
  </si>
  <si>
    <t>[["r000",30]]</t>
  </si>
  <si>
    <t>[["i002",300]]</t>
  </si>
  <si>
    <t>[["r000",6]]</t>
  </si>
  <si>
    <t>[["i002",60]]</t>
  </si>
  <si>
    <t>[["r000",120]]</t>
    <phoneticPr fontId="6" type="noConversion"/>
  </si>
  <si>
    <t>[["i002",1200]]</t>
    <phoneticPr fontId="6" type="noConversion"/>
  </si>
  <si>
    <t>[["i002",1500]]</t>
    <phoneticPr fontId="6" type="noConversion"/>
  </si>
  <si>
    <t>[["i002",6000]]</t>
    <phoneticPr fontId="6" type="noConversion"/>
  </si>
  <si>
    <t>[["i002",300]]</t>
    <phoneticPr fontId="6" type="noConversion"/>
  </si>
  <si>
    <t>[["i001",1500000]]</t>
    <phoneticPr fontId="6" type="noConversion"/>
  </si>
  <si>
    <t>[["i001",6000000]]</t>
    <phoneticPr fontId="6" type="noConversion"/>
  </si>
  <si>
    <t>[["i001",300000]]</t>
    <phoneticPr fontId="6" type="noConversion"/>
  </si>
  <si>
    <t>[["i001",30000],["i011",2],["i002",30],["i012",2]]</t>
    <phoneticPr fontId="6" type="noConversion"/>
  </si>
  <si>
    <t>[["i001",10000],["i012",2],["i013",2],["i011",2]]</t>
    <phoneticPr fontId="6" type="noConversion"/>
  </si>
  <si>
    <t>productid</t>
    <phoneticPr fontId="6" type="noConversion"/>
  </si>
  <si>
    <t>平台计费ID通用</t>
    <phoneticPr fontId="6" type="noConversion"/>
  </si>
  <si>
    <t>[["r002",1]]</t>
    <phoneticPr fontId="6" type="noConversion"/>
  </si>
  <si>
    <t>[["r002",5]]</t>
    <phoneticPr fontId="6" type="noConversion"/>
  </si>
  <si>
    <t>[["r002",20]]</t>
    <phoneticPr fontId="6" type="noConversion"/>
  </si>
  <si>
    <t>int</t>
    <phoneticPr fontId="10" type="noConversion"/>
  </si>
  <si>
    <t>google</t>
    <phoneticPr fontId="6" type="noConversion"/>
  </si>
  <si>
    <t>vietnam_vn</t>
    <phoneticPr fontId="6" type="noConversion"/>
  </si>
  <si>
    <t>\</t>
    <phoneticPr fontId="6" type="noConversion"/>
  </si>
  <si>
    <t>coco,wanba</t>
    <phoneticPr fontId="6" type="noConversion"/>
  </si>
  <si>
    <t>[["r000",128]]</t>
    <phoneticPr fontId="6" type="noConversion"/>
  </si>
  <si>
    <t>[["i002",1280]]</t>
    <phoneticPr fontId="6" type="noConversion"/>
  </si>
  <si>
    <t>ios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</si>
</sst>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333333"/>
      <name val="punctuation"/>
      <family val="1"/>
    </font>
    <font>
      <sz val="10"/>
      <color indexed="8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Fill="1" applyAlignment="1"/>
    <xf numFmtId="0" fontId="5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5" borderId="3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Fill="1" applyAlignment="1"/>
    <xf numFmtId="0" fontId="5" fillId="6" borderId="0" xfId="1" applyFill="1" applyAlignment="1"/>
    <xf numFmtId="0" fontId="5" fillId="0" borderId="0" xfId="1" applyFill="1" applyAlignment="1"/>
    <xf numFmtId="0" fontId="4" fillId="7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vertical="center"/>
    </xf>
    <xf numFmtId="0" fontId="5" fillId="0" borderId="0" xfId="1" applyNumberFormat="1" applyAlignment="1"/>
    <xf numFmtId="0" fontId="5" fillId="0" borderId="0" xfId="1" applyNumberFormat="1" applyAlignment="1">
      <alignment vertical="top" wrapText="1"/>
    </xf>
    <xf numFmtId="0" fontId="5" fillId="0" borderId="0" xfId="1" applyNumberFormat="1" applyAlignment="1">
      <alignment vertical="top"/>
    </xf>
    <xf numFmtId="0" fontId="5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50"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  <family val="3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209549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B38B269-5BAB-4824-89F8-4626DD6E0512}"/>
            </a:ext>
          </a:extLst>
        </xdr:cNvPr>
        <xdr:cNvSpPr/>
      </xdr:nvSpPr>
      <xdr:spPr>
        <a:xfrm>
          <a:off x="0" y="0"/>
          <a:ext cx="285750" cy="5810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209549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7F827283-34A5-4C19-ABEB-70D1BB9CCF99}"/>
            </a:ext>
          </a:extLst>
        </xdr:cNvPr>
        <xdr:cNvSpPr/>
      </xdr:nvSpPr>
      <xdr:spPr>
        <a:xfrm>
          <a:off x="0" y="0"/>
          <a:ext cx="285750" cy="45719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36D69E1-EEA6-474E-8941-CD2B19BC3D5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EC085F2-C22B-49EB-BF8F-86E4C23B8BF3}"/>
            </a:ext>
          </a:extLst>
        </xdr:cNvPr>
        <xdr:cNvSpPr/>
      </xdr:nvSpPr>
      <xdr:spPr>
        <a:xfrm>
          <a:off x="0" y="0"/>
          <a:ext cx="28575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表4_7" displayName="表4_7" ref="A4:N7" totalsRowShown="0" dataDxfId="0">
  <autoFilter ref="A4:N7" xr:uid="{00000000-0009-0000-0100-000006000000}"/>
  <tableColumns count="14">
    <tableColumn id="1" xr3:uid="{00000000-0010-0000-0400-000001000000}" name="月卡类型" dataDxfId="14"/>
    <tableColumn id="7" xr3:uid="{00000000-0010-0000-0400-000007000000}" name="玩吧id" dataDxfId="13"/>
    <tableColumn id="8" xr3:uid="{00000000-0010-0000-0400-000008000000}" name="玩吧idiOS" dataDxfId="12"/>
    <tableColumn id="11" xr3:uid="{32B44775-39E1-4276-9555-EB0C01169ABC}" name="iOS" dataDxfId="11"/>
    <tableColumn id="14" xr3:uid="{555B9723-5A7E-4738-89A4-03C14D6BDE84}" name="平台计费ID通用" dataDxfId="10"/>
    <tableColumn id="12" xr3:uid="{238E17AC-336D-4B69-9D54-54AA7BEEEDD2}" name="购买消耗" dataDxfId="9"/>
    <tableColumn id="13" xr3:uid="{4FB44EB6-722C-47BF-AFA0-E095B8668890}" name="一次性获得" dataDxfId="8"/>
    <tableColumn id="2" xr3:uid="{00000000-0010-0000-0400-000002000000}" name="价格¥" dataDxfId="7"/>
    <tableColumn id="3" xr3:uid="{00000000-0010-0000-0400-000003000000}" name="一次性赠送钻石" dataDxfId="6"/>
    <tableColumn id="4" xr3:uid="{00000000-0010-0000-0400-000004000000}" name="每日领取" dataDxfId="5"/>
    <tableColumn id="5" xr3:uid="{00000000-0010-0000-0400-000005000000}" name="捕鱼命中系数" dataDxfId="4"/>
    <tableColumn id="10" xr3:uid="{231165DE-A33B-41BC-A8BF-E48A40F055E8}" name="邀请数量" dataDxfId="3"/>
    <tableColumn id="9" xr3:uid="{EEE5F734-505A-442F-8A9D-1E2A619C73F8}" name="描述" dataDxfId="2"/>
    <tableColumn id="6" xr3:uid="{00000000-0010-0000-0400-000006000000}" name="名称" dataDxfId="1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D2E411-C77D-4AAD-8091-4B4D8809F69E}" name="表4_73" displayName="表4_73" ref="A4:N7" totalsRowShown="0" dataDxfId="49">
  <autoFilter ref="A4:N7" xr:uid="{00000000-0009-0000-0100-000006000000}"/>
  <tableColumns count="14">
    <tableColumn id="1" xr3:uid="{C332E4C3-1BEE-4352-8C2F-ABC8AB3DD56E}" name="月卡类型" dataDxfId="48"/>
    <tableColumn id="7" xr3:uid="{F56552D4-9BCA-4232-A0FC-AACF769CE65A}" name="玩吧id" dataDxfId="47"/>
    <tableColumn id="8" xr3:uid="{29436B86-EA02-4433-B39F-3D3BFFF2ED0B}" name="玩吧idiOS" dataDxfId="46"/>
    <tableColumn id="11" xr3:uid="{1EB8444E-9E07-4CF2-A904-49A5B9AF2E18}" name="iOS"/>
    <tableColumn id="14" xr3:uid="{F5B35E2C-00C3-419C-B427-BE29067A16D6}" name="平台计费ID通用"/>
    <tableColumn id="12" xr3:uid="{1891F9AF-D9E4-4913-BA00-46AAEE67EFBD}" name="购买消耗"/>
    <tableColumn id="13" xr3:uid="{CAEF4BB0-B25A-4F14-BA79-4BCB26B9EA14}" name="一次性获得"/>
    <tableColumn id="2" xr3:uid="{D44C1D5D-AFF9-499E-B8EB-FE9ADB594A14}" name="价格¥" dataDxfId="45"/>
    <tableColumn id="3" xr3:uid="{E92C0D90-D3D2-478B-B851-9A75A00E331C}" name="一次性赠送钻石" dataDxfId="44"/>
    <tableColumn id="4" xr3:uid="{DA914996-A55F-422F-AB10-1ABA2EFFA6D2}" name="每日领取" dataDxfId="43"/>
    <tableColumn id="5" xr3:uid="{5FB3FEC5-1B6A-4D58-8C1B-B67EE0E8894F}" name="捕鱼命中系数" dataDxfId="42"/>
    <tableColumn id="10" xr3:uid="{AA8AFE22-E628-4DBE-8488-8D2B909E6391}" name="邀请数量" dataDxfId="41"/>
    <tableColumn id="9" xr3:uid="{E67D5940-E07D-4E4C-8707-EE7DA6C5F7BE}" name="描述" dataDxfId="40"/>
    <tableColumn id="6" xr3:uid="{5F1CE2AB-1E65-4089-A80D-9433ED5CE781}" name="名称" dataDxfId="39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972463-2392-4857-8009-E73BA9D46368}" name="表4_735" displayName="表4_735" ref="A4:N7" totalsRowShown="0" dataDxfId="38">
  <autoFilter ref="A4:N7" xr:uid="{00000000-0009-0000-0100-000006000000}"/>
  <tableColumns count="14">
    <tableColumn id="1" xr3:uid="{DD030246-FCEE-4606-A935-04E714C42442}" name="月卡类型" dataDxfId="37"/>
    <tableColumn id="7" xr3:uid="{54C5D067-9290-4A3E-AAAB-15F5A7942F3A}" name="玩吧id" dataDxfId="36"/>
    <tableColumn id="8" xr3:uid="{23098998-B57E-4CD7-94F5-69E18E9B4F3F}" name="玩吧idiOS" dataDxfId="35"/>
    <tableColumn id="11" xr3:uid="{6AFB48B4-3D8B-448D-A48B-C0FB1FFFD501}" name="iOS"/>
    <tableColumn id="14" xr3:uid="{F7A6B38C-1BAD-43DD-A9FD-CB537363BE5B}" name="平台计费ID通用"/>
    <tableColumn id="12" xr3:uid="{B0E3966B-76FA-4133-8AD1-2C16C04E288D}" name="购买消耗"/>
    <tableColumn id="13" xr3:uid="{C4883974-3B35-4076-AC09-2C29DA0C9AFE}" name="一次性获得"/>
    <tableColumn id="2" xr3:uid="{5947A9D2-F5E5-44A1-ACBF-D43823D4F7EA}" name="价格¥" dataDxfId="34"/>
    <tableColumn id="3" xr3:uid="{C4B63FFE-F631-48CB-A2A7-7EB44DC5FEE5}" name="一次性赠送钻石" dataDxfId="33"/>
    <tableColumn id="4" xr3:uid="{0D518C82-1FFC-4898-86FB-659EE47AF57C}" name="每日领取" dataDxfId="32"/>
    <tableColumn id="5" xr3:uid="{24AC6655-2A26-44A2-BAB4-F6EC59A26AC1}" name="捕鱼命中系数" dataDxfId="31"/>
    <tableColumn id="10" xr3:uid="{E6A5065F-5A71-46FF-9DDC-7DB07415D9DC}" name="邀请数量" dataDxfId="30"/>
    <tableColumn id="9" xr3:uid="{6EA1BEE6-04A6-4A53-825D-2125412DB276}" name="描述" dataDxfId="29"/>
    <tableColumn id="6" xr3:uid="{51A4FB73-ED55-4C79-BEFD-9E411D1F7100}" name="名称" dataDxfId="28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177C23-BE1A-4EC5-B7C2-8BF20FF16C0C}" name="表4_72" displayName="表4_72" ref="A4:N7" totalsRowShown="0" dataDxfId="27">
  <autoFilter ref="A4:N7" xr:uid="{00000000-0009-0000-0100-000006000000}"/>
  <tableColumns count="14">
    <tableColumn id="1" xr3:uid="{B04EEF67-AF25-4F65-A1FD-3B7E518761A9}" name="月卡类型" dataDxfId="26"/>
    <tableColumn id="7" xr3:uid="{E615A268-EA85-47EB-8952-B1333332EFD4}" name="玩吧id" dataDxfId="25"/>
    <tableColumn id="8" xr3:uid="{1C3C29F7-08D9-4472-B9E8-D18ACE4CC9B6}" name="玩吧idiOS" dataDxfId="24"/>
    <tableColumn id="11" xr3:uid="{9EACBFA2-512B-4AD3-B770-B3DA7C38926C}" name="iOS"/>
    <tableColumn id="14" xr3:uid="{C7147DBD-B14D-49C1-8953-9437B5BF99B8}" name="平台计费ID通用"/>
    <tableColumn id="12" xr3:uid="{36B8A390-F575-43D8-8246-FF4CA3088C93}" name="购买消耗" dataDxfId="23"/>
    <tableColumn id="13" xr3:uid="{72279AEF-58DA-4709-B411-3DF1046D0499}" name="一次性获得" dataDxfId="22"/>
    <tableColumn id="2" xr3:uid="{FDD52A34-2FA0-4C3F-BD68-21374051BA9D}" name="价格¥" dataDxfId="21"/>
    <tableColumn id="3" xr3:uid="{2CD3D951-4380-4A0F-8F93-D440ED277424}" name="一次性赠送钻石" dataDxfId="20"/>
    <tableColumn id="4" xr3:uid="{26FF234C-63DF-43DF-B7A6-C1724D109812}" name="每日领取" dataDxfId="19"/>
    <tableColumn id="5" xr3:uid="{49B3D79E-4C89-448F-8D13-1F49317B6F31}" name="捕鱼命中系数" dataDxfId="18"/>
    <tableColumn id="10" xr3:uid="{F0303881-E59A-44C7-8AB4-DD6EF6DE0C0B}" name="邀请数量" dataDxfId="17"/>
    <tableColumn id="9" xr3:uid="{1DAD48D4-E873-4B63-9157-2DDCDCFB574A}" name="描述" dataDxfId="16"/>
    <tableColumn id="6" xr3:uid="{D3842C28-F021-4FF2-A3F0-95C352CE8399}" name="名称" dataDxfId="15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/>
  <cols>
    <col min="1" max="1" width="39.5" style="5" customWidth="1"/>
    <col min="2" max="2" width="85.125" style="5" customWidth="1"/>
    <col min="3" max="4" width="9" style="5"/>
    <col min="5" max="5" width="9" style="5" customWidth="1"/>
    <col min="6" max="7" width="9" style="5"/>
    <col min="8" max="8" width="12.625" style="5" customWidth="1"/>
    <col min="9" max="16384" width="9" style="5"/>
  </cols>
  <sheetData>
    <row r="1" spans="1:7" ht="16.5">
      <c r="A1" s="6" t="s">
        <v>0</v>
      </c>
      <c r="B1" s="5" t="s">
        <v>1</v>
      </c>
      <c r="F1" s="5">
        <v>6</v>
      </c>
      <c r="G1" s="5" t="s">
        <v>56</v>
      </c>
    </row>
    <row r="2" spans="1:7" ht="16.5">
      <c r="A2" s="7" t="s">
        <v>2</v>
      </c>
      <c r="B2" s="5" t="s">
        <v>3</v>
      </c>
      <c r="F2" s="5">
        <v>12</v>
      </c>
      <c r="G2" s="5" t="s">
        <v>57</v>
      </c>
    </row>
    <row r="3" spans="1:7" ht="16.5">
      <c r="A3" s="8" t="s">
        <v>4</v>
      </c>
      <c r="B3" s="5" t="s">
        <v>5</v>
      </c>
      <c r="F3" s="5">
        <v>18</v>
      </c>
      <c r="G3" s="5" t="s">
        <v>58</v>
      </c>
    </row>
    <row r="4" spans="1:7" ht="16.5">
      <c r="A4" s="9" t="s">
        <v>6</v>
      </c>
      <c r="B4" s="5" t="s">
        <v>7</v>
      </c>
      <c r="F4" s="5">
        <v>30</v>
      </c>
      <c r="G4" s="5" t="s">
        <v>59</v>
      </c>
    </row>
    <row r="5" spans="1:7">
      <c r="F5" s="5">
        <v>45</v>
      </c>
      <c r="G5" s="5" t="s">
        <v>60</v>
      </c>
    </row>
    <row r="6" spans="1:7">
      <c r="A6" s="24" t="s">
        <v>8</v>
      </c>
      <c r="B6" s="25"/>
    </row>
    <row r="7" spans="1:7">
      <c r="A7" s="25"/>
      <c r="B7" s="25"/>
    </row>
    <row r="8" spans="1:7">
      <c r="A8" s="25"/>
      <c r="B8" s="25"/>
    </row>
    <row r="9" spans="1:7">
      <c r="A9" s="25"/>
      <c r="B9" s="25"/>
    </row>
    <row r="10" spans="1:7">
      <c r="A10" s="25"/>
      <c r="B10" s="25"/>
    </row>
    <row r="11" spans="1:7">
      <c r="A11" s="25"/>
      <c r="B11" s="25"/>
    </row>
    <row r="12" spans="1:7">
      <c r="A12" s="25"/>
      <c r="B12" s="25"/>
    </row>
    <row r="13" spans="1:7">
      <c r="A13" s="25"/>
      <c r="B13" s="25"/>
    </row>
    <row r="14" spans="1:7">
      <c r="A14" s="25"/>
      <c r="B14" s="25"/>
    </row>
    <row r="15" spans="1:7">
      <c r="A15" s="25"/>
      <c r="B15" s="25"/>
    </row>
    <row r="16" spans="1:7" ht="13.15" customHeight="1">
      <c r="A16" s="25"/>
      <c r="B16" s="25"/>
    </row>
    <row r="17" spans="1:11" ht="4.1500000000000004" customHeight="1">
      <c r="A17" s="25"/>
      <c r="B17" s="25"/>
    </row>
    <row r="18" spans="1:11" ht="13.5" hidden="1" customHeight="1">
      <c r="A18" s="25"/>
      <c r="B18" s="25"/>
    </row>
    <row r="19" spans="1:11" ht="13.5" hidden="1" customHeight="1">
      <c r="A19" s="25"/>
      <c r="B19" s="25"/>
    </row>
    <row r="20" spans="1:11" ht="13.5" hidden="1" customHeight="1">
      <c r="A20" s="25"/>
      <c r="B20" s="25"/>
    </row>
    <row r="21" spans="1:11" ht="22.9" customHeight="1">
      <c r="A21" s="25"/>
      <c r="B21" s="25"/>
    </row>
    <row r="22" spans="1:11" ht="45" customHeight="1">
      <c r="A22" s="25"/>
      <c r="B22" s="25"/>
    </row>
    <row r="23" spans="1:11" ht="51" hidden="1" customHeight="1">
      <c r="A23" s="25"/>
      <c r="B23" s="25"/>
    </row>
    <row r="24" spans="1:11">
      <c r="A24" s="23" t="s">
        <v>9</v>
      </c>
      <c r="B24" s="23"/>
    </row>
    <row r="25" spans="1:11">
      <c r="A25" s="23" t="s">
        <v>10</v>
      </c>
      <c r="B25" s="23"/>
    </row>
    <row r="26" spans="1:11">
      <c r="A26" s="23" t="s">
        <v>11</v>
      </c>
      <c r="B26" s="23"/>
    </row>
    <row r="27" spans="1:11">
      <c r="A27" s="23"/>
      <c r="B27" s="23"/>
    </row>
    <row r="28" spans="1:11">
      <c r="A28" s="23"/>
      <c r="B28" s="23"/>
      <c r="C28" s="26" t="s">
        <v>73</v>
      </c>
      <c r="D28" s="26"/>
      <c r="E28" s="26"/>
      <c r="F28" s="26"/>
    </row>
    <row r="29" spans="1:11">
      <c r="A29" s="23"/>
      <c r="B29" s="23"/>
      <c r="C29" s="5">
        <v>1</v>
      </c>
      <c r="D29" s="5">
        <v>60</v>
      </c>
      <c r="E29" s="5" t="s">
        <v>61</v>
      </c>
      <c r="F29" s="5">
        <v>9055</v>
      </c>
      <c r="I29" s="5">
        <v>6</v>
      </c>
      <c r="J29" s="5">
        <v>9055</v>
      </c>
      <c r="K29" s="5">
        <v>9476</v>
      </c>
    </row>
    <row r="30" spans="1:11">
      <c r="A30" s="23"/>
      <c r="B30" s="23"/>
      <c r="C30" s="5">
        <v>1</v>
      </c>
      <c r="D30" s="5">
        <v>120</v>
      </c>
      <c r="E30" s="5" t="s">
        <v>62</v>
      </c>
      <c r="F30" s="5">
        <v>9056</v>
      </c>
      <c r="I30" s="5">
        <v>12</v>
      </c>
      <c r="J30" s="5">
        <v>9056</v>
      </c>
      <c r="K30" s="5">
        <v>9477</v>
      </c>
    </row>
    <row r="31" spans="1:11">
      <c r="A31" s="23"/>
      <c r="B31" s="23"/>
      <c r="C31" s="5">
        <v>1</v>
      </c>
      <c r="D31" s="12">
        <v>190</v>
      </c>
      <c r="E31" s="5" t="s">
        <v>63</v>
      </c>
      <c r="F31" s="5">
        <v>9057</v>
      </c>
      <c r="I31" s="5">
        <v>18</v>
      </c>
      <c r="J31" s="5">
        <v>9072</v>
      </c>
      <c r="K31" s="5">
        <v>9493</v>
      </c>
    </row>
    <row r="32" spans="1:11">
      <c r="A32" s="23"/>
      <c r="B32" s="23"/>
      <c r="C32" s="5">
        <v>1</v>
      </c>
      <c r="D32" s="13">
        <v>280</v>
      </c>
      <c r="E32" s="5" t="s">
        <v>64</v>
      </c>
      <c r="F32" s="5">
        <v>9058</v>
      </c>
      <c r="I32" s="5">
        <v>28</v>
      </c>
      <c r="J32" s="5">
        <v>9058</v>
      </c>
      <c r="K32" s="5">
        <v>9479</v>
      </c>
    </row>
    <row r="33" spans="1:11">
      <c r="A33" s="23"/>
      <c r="B33" s="23"/>
      <c r="C33" s="5">
        <v>1</v>
      </c>
      <c r="D33" s="12">
        <v>480</v>
      </c>
      <c r="E33" s="5" t="s">
        <v>65</v>
      </c>
      <c r="F33" s="5">
        <v>9059</v>
      </c>
      <c r="I33" s="5">
        <v>45</v>
      </c>
      <c r="J33" s="5">
        <v>9075</v>
      </c>
      <c r="K33" s="5">
        <v>9496</v>
      </c>
    </row>
    <row r="34" spans="1:11">
      <c r="A34" s="23"/>
      <c r="B34" s="23"/>
      <c r="C34" s="5">
        <v>1</v>
      </c>
      <c r="D34" s="5">
        <v>680</v>
      </c>
      <c r="E34" s="5" t="s">
        <v>66</v>
      </c>
      <c r="F34" s="5">
        <v>9060</v>
      </c>
      <c r="I34" s="5">
        <v>68</v>
      </c>
      <c r="J34" s="5">
        <v>9060</v>
      </c>
      <c r="K34" s="5">
        <v>9481</v>
      </c>
    </row>
    <row r="35" spans="1:11">
      <c r="A35" s="23"/>
      <c r="B35" s="23"/>
      <c r="C35" s="5">
        <v>1</v>
      </c>
      <c r="D35" s="5">
        <v>980</v>
      </c>
      <c r="E35" s="5" t="s">
        <v>67</v>
      </c>
      <c r="F35" s="5">
        <v>9061</v>
      </c>
      <c r="I35" s="5">
        <v>98</v>
      </c>
      <c r="J35" s="5">
        <v>9061</v>
      </c>
      <c r="K35" s="5">
        <v>9482</v>
      </c>
    </row>
    <row r="36" spans="1:11">
      <c r="A36" s="23"/>
      <c r="B36" s="23"/>
      <c r="C36" s="5">
        <v>1</v>
      </c>
      <c r="D36" s="5">
        <v>1680</v>
      </c>
      <c r="E36" s="5" t="s">
        <v>68</v>
      </c>
      <c r="F36" s="5">
        <v>9062</v>
      </c>
      <c r="I36" s="5">
        <v>168</v>
      </c>
      <c r="J36" s="5">
        <v>9062</v>
      </c>
      <c r="K36" s="5">
        <v>9483</v>
      </c>
    </row>
    <row r="37" spans="1:11">
      <c r="A37" s="23"/>
      <c r="B37" s="23"/>
      <c r="C37" s="5">
        <v>1</v>
      </c>
      <c r="D37" s="5">
        <v>2680</v>
      </c>
      <c r="E37" s="5" t="s">
        <v>69</v>
      </c>
      <c r="F37" s="5">
        <v>9063</v>
      </c>
      <c r="I37" s="5">
        <v>268</v>
      </c>
      <c r="J37" s="5">
        <v>9063</v>
      </c>
      <c r="K37" s="5">
        <v>9484</v>
      </c>
    </row>
    <row r="38" spans="1:11">
      <c r="A38" s="23"/>
      <c r="B38" s="23"/>
      <c r="C38" s="5">
        <v>1</v>
      </c>
      <c r="D38" s="12">
        <v>4680</v>
      </c>
      <c r="E38" s="5" t="s">
        <v>70</v>
      </c>
      <c r="F38" s="5">
        <v>9064</v>
      </c>
      <c r="I38" s="5">
        <v>698</v>
      </c>
      <c r="J38" s="5">
        <v>9065</v>
      </c>
      <c r="K38" s="5">
        <v>9486</v>
      </c>
    </row>
    <row r="39" spans="1:11">
      <c r="A39" s="23"/>
      <c r="B39" s="23"/>
      <c r="C39" s="5">
        <v>1</v>
      </c>
      <c r="D39" s="5">
        <v>6980</v>
      </c>
      <c r="E39" s="5" t="s">
        <v>71</v>
      </c>
      <c r="F39" s="5">
        <v>9065</v>
      </c>
    </row>
    <row r="40" spans="1:11">
      <c r="A40" s="23"/>
      <c r="B40" s="23"/>
      <c r="C40" s="5">
        <v>1</v>
      </c>
      <c r="D40" s="5">
        <v>9980</v>
      </c>
      <c r="E40" s="5" t="s">
        <v>72</v>
      </c>
      <c r="F40" s="5">
        <v>9066</v>
      </c>
    </row>
    <row r="41" spans="1:11">
      <c r="A41" s="23"/>
      <c r="B41" s="23"/>
      <c r="C41" s="5">
        <v>1</v>
      </c>
      <c r="D41" s="5">
        <v>300</v>
      </c>
      <c r="E41" s="5" t="s">
        <v>29</v>
      </c>
      <c r="F41" s="5">
        <v>9067</v>
      </c>
    </row>
    <row r="42" spans="1:11">
      <c r="A42" s="23"/>
      <c r="B42" s="23"/>
      <c r="C42" s="5">
        <v>1</v>
      </c>
      <c r="D42" s="5">
        <v>1200</v>
      </c>
      <c r="E42" s="5" t="s">
        <v>30</v>
      </c>
      <c r="F42" s="5">
        <v>9068</v>
      </c>
    </row>
    <row r="43" spans="1:11">
      <c r="A43" s="23"/>
      <c r="B43" s="23"/>
      <c r="C43" s="5">
        <v>1</v>
      </c>
      <c r="D43" s="5">
        <v>10</v>
      </c>
      <c r="E43" s="5" t="s">
        <v>31</v>
      </c>
      <c r="F43" s="5">
        <v>9069</v>
      </c>
    </row>
    <row r="44" spans="1:11">
      <c r="A44" s="23"/>
      <c r="B44" s="23"/>
      <c r="C44" s="5">
        <v>1</v>
      </c>
      <c r="D44" s="5">
        <v>100</v>
      </c>
      <c r="E44" s="5" t="s">
        <v>32</v>
      </c>
      <c r="F44" s="5">
        <v>9070</v>
      </c>
    </row>
    <row r="45" spans="1:11">
      <c r="A45" s="23"/>
      <c r="B45" s="23"/>
      <c r="C45" s="5">
        <v>1</v>
      </c>
      <c r="D45" s="12">
        <v>90</v>
      </c>
      <c r="E45" s="5" t="s">
        <v>17</v>
      </c>
      <c r="F45" s="5">
        <v>9071</v>
      </c>
      <c r="I45" s="5">
        <v>6</v>
      </c>
      <c r="J45" s="5">
        <v>9055</v>
      </c>
      <c r="K45" s="5">
        <v>9476</v>
      </c>
    </row>
    <row r="46" spans="1:11">
      <c r="C46" s="5">
        <v>1</v>
      </c>
      <c r="D46" s="13">
        <v>180</v>
      </c>
      <c r="E46" s="5" t="s">
        <v>18</v>
      </c>
      <c r="F46" s="5">
        <v>9072</v>
      </c>
      <c r="I46" s="5">
        <v>12</v>
      </c>
      <c r="J46" s="5">
        <v>9056</v>
      </c>
      <c r="K46" s="5">
        <v>9477</v>
      </c>
    </row>
    <row r="47" spans="1:11">
      <c r="C47" s="5">
        <v>1</v>
      </c>
      <c r="D47" s="12">
        <v>270</v>
      </c>
      <c r="E47" s="5" t="s">
        <v>19</v>
      </c>
      <c r="F47" s="5">
        <v>9073</v>
      </c>
      <c r="I47" s="5">
        <v>18</v>
      </c>
      <c r="J47" s="5">
        <v>9072</v>
      </c>
      <c r="K47" s="5">
        <v>9493</v>
      </c>
    </row>
    <row r="48" spans="1:11">
      <c r="C48" s="5">
        <v>1</v>
      </c>
      <c r="D48" s="12">
        <v>360</v>
      </c>
      <c r="E48" s="5" t="s">
        <v>20</v>
      </c>
      <c r="F48" s="5">
        <v>9074</v>
      </c>
      <c r="I48" s="5">
        <v>30</v>
      </c>
      <c r="J48" s="5">
        <v>9067</v>
      </c>
      <c r="K48" s="5">
        <v>9488</v>
      </c>
    </row>
    <row r="49" spans="3:11">
      <c r="C49" s="5">
        <v>1</v>
      </c>
      <c r="D49" s="5">
        <v>450</v>
      </c>
      <c r="E49" s="5" t="s">
        <v>21</v>
      </c>
      <c r="F49" s="5">
        <v>9075</v>
      </c>
      <c r="I49" s="5">
        <v>45</v>
      </c>
      <c r="J49" s="5">
        <v>9075</v>
      </c>
      <c r="K49" s="5">
        <v>9496</v>
      </c>
    </row>
    <row r="50" spans="3:11">
      <c r="C50" s="5">
        <v>2</v>
      </c>
      <c r="D50" s="5">
        <v>60</v>
      </c>
      <c r="E50" s="5" t="s">
        <v>61</v>
      </c>
      <c r="F50" s="5">
        <v>9476</v>
      </c>
    </row>
    <row r="51" spans="3:11">
      <c r="C51" s="5">
        <v>2</v>
      </c>
      <c r="D51" s="5">
        <v>120</v>
      </c>
      <c r="E51" s="5" t="s">
        <v>62</v>
      </c>
      <c r="F51" s="5">
        <v>9477</v>
      </c>
    </row>
    <row r="52" spans="3:11">
      <c r="C52" s="5">
        <v>2</v>
      </c>
      <c r="D52" s="5">
        <v>190</v>
      </c>
      <c r="E52" s="5" t="s">
        <v>63</v>
      </c>
      <c r="F52" s="5">
        <v>9478</v>
      </c>
    </row>
    <row r="53" spans="3:11">
      <c r="C53" s="5">
        <v>2</v>
      </c>
      <c r="D53" s="5">
        <v>280</v>
      </c>
      <c r="E53" s="5" t="s">
        <v>64</v>
      </c>
      <c r="F53" s="5">
        <v>9479</v>
      </c>
    </row>
    <row r="54" spans="3:11">
      <c r="C54" s="5">
        <v>2</v>
      </c>
      <c r="D54" s="5">
        <v>480</v>
      </c>
      <c r="E54" s="5" t="s">
        <v>65</v>
      </c>
      <c r="F54" s="5">
        <v>9480</v>
      </c>
    </row>
    <row r="55" spans="3:11">
      <c r="C55" s="5">
        <v>2</v>
      </c>
      <c r="D55" s="5">
        <v>680</v>
      </c>
      <c r="E55" s="5" t="s">
        <v>66</v>
      </c>
      <c r="F55" s="5">
        <v>9481</v>
      </c>
    </row>
    <row r="56" spans="3:11">
      <c r="C56" s="5">
        <v>2</v>
      </c>
      <c r="D56" s="5">
        <v>980</v>
      </c>
      <c r="E56" s="5" t="s">
        <v>67</v>
      </c>
      <c r="F56" s="5">
        <v>9482</v>
      </c>
    </row>
    <row r="57" spans="3:11">
      <c r="C57" s="5">
        <v>2</v>
      </c>
      <c r="D57" s="5">
        <v>1680</v>
      </c>
      <c r="E57" s="5" t="s">
        <v>68</v>
      </c>
      <c r="F57" s="5">
        <v>9483</v>
      </c>
    </row>
    <row r="58" spans="3:11">
      <c r="C58" s="5">
        <v>2</v>
      </c>
      <c r="D58" s="5">
        <v>2680</v>
      </c>
      <c r="E58" s="5" t="s">
        <v>69</v>
      </c>
      <c r="F58" s="5">
        <v>9484</v>
      </c>
    </row>
    <row r="59" spans="3:11">
      <c r="C59" s="5">
        <v>2</v>
      </c>
      <c r="D59" s="5">
        <v>4680</v>
      </c>
      <c r="E59" s="5" t="s">
        <v>70</v>
      </c>
      <c r="F59" s="5">
        <v>9485</v>
      </c>
    </row>
    <row r="60" spans="3:11">
      <c r="C60" s="5">
        <v>2</v>
      </c>
      <c r="D60" s="5">
        <v>6980</v>
      </c>
      <c r="E60" s="5" t="s">
        <v>71</v>
      </c>
      <c r="F60" s="5">
        <v>9486</v>
      </c>
    </row>
    <row r="61" spans="3:11">
      <c r="C61" s="5">
        <v>2</v>
      </c>
      <c r="D61" s="5">
        <v>9980</v>
      </c>
      <c r="E61" s="5" t="s">
        <v>72</v>
      </c>
      <c r="F61" s="5">
        <v>9487</v>
      </c>
    </row>
    <row r="62" spans="3:11">
      <c r="C62" s="5">
        <v>2</v>
      </c>
      <c r="D62" s="5">
        <v>300</v>
      </c>
      <c r="E62" s="5" t="s">
        <v>29</v>
      </c>
      <c r="F62" s="5">
        <v>9488</v>
      </c>
    </row>
    <row r="63" spans="3:11">
      <c r="C63" s="5">
        <v>2</v>
      </c>
      <c r="D63" s="5">
        <v>1200</v>
      </c>
      <c r="E63" s="5" t="s">
        <v>30</v>
      </c>
      <c r="F63" s="5">
        <v>9489</v>
      </c>
    </row>
    <row r="64" spans="3:11">
      <c r="C64" s="5">
        <v>2</v>
      </c>
      <c r="D64" s="5">
        <v>10</v>
      </c>
      <c r="E64" s="5" t="s">
        <v>31</v>
      </c>
      <c r="F64" s="5">
        <v>9490</v>
      </c>
    </row>
    <row r="65" spans="2:6">
      <c r="C65" s="5">
        <v>2</v>
      </c>
      <c r="D65" s="5">
        <v>100</v>
      </c>
      <c r="E65" s="5" t="s">
        <v>32</v>
      </c>
      <c r="F65" s="5">
        <v>9491</v>
      </c>
    </row>
    <row r="66" spans="2:6">
      <c r="B66" s="5">
        <f>83/117600*12</f>
        <v>8.4693877551020418E-3</v>
      </c>
      <c r="C66" s="5">
        <v>2</v>
      </c>
      <c r="D66" s="5">
        <v>90</v>
      </c>
      <c r="E66" s="5" t="s">
        <v>17</v>
      </c>
      <c r="F66" s="5">
        <v>9492</v>
      </c>
    </row>
    <row r="67" spans="2:6">
      <c r="C67" s="5">
        <v>2</v>
      </c>
      <c r="D67" s="5">
        <v>180</v>
      </c>
      <c r="E67" s="5" t="s">
        <v>18</v>
      </c>
      <c r="F67" s="5">
        <v>9493</v>
      </c>
    </row>
    <row r="68" spans="2:6">
      <c r="C68" s="5">
        <v>2</v>
      </c>
      <c r="D68" s="5">
        <v>270</v>
      </c>
      <c r="E68" s="5" t="s">
        <v>19</v>
      </c>
      <c r="F68" s="5">
        <v>9494</v>
      </c>
    </row>
    <row r="69" spans="2:6">
      <c r="C69" s="5">
        <v>2</v>
      </c>
      <c r="D69" s="5">
        <v>360</v>
      </c>
      <c r="E69" s="5" t="s">
        <v>20</v>
      </c>
      <c r="F69" s="5">
        <v>9495</v>
      </c>
    </row>
    <row r="70" spans="2:6">
      <c r="C70" s="5">
        <v>2</v>
      </c>
      <c r="D70" s="5">
        <v>450</v>
      </c>
      <c r="E70" s="5" t="s">
        <v>21</v>
      </c>
      <c r="F70" s="5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7"/>
  <sheetViews>
    <sheetView tabSelected="1" workbookViewId="0">
      <selection activeCell="B2" sqref="B2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104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75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>
        <v>3897</v>
      </c>
      <c r="F5" s="11" t="s">
        <v>81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>
        <v>3898</v>
      </c>
      <c r="F6" s="11" t="s">
        <v>85</v>
      </c>
      <c r="G6" s="11" t="s">
        <v>86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0">
        <v>9055</v>
      </c>
      <c r="C7" s="11">
        <v>9476</v>
      </c>
      <c r="D7" s="11" t="s">
        <v>53</v>
      </c>
      <c r="E7" s="11">
        <v>3896</v>
      </c>
      <c r="F7" s="11" t="s">
        <v>83</v>
      </c>
      <c r="G7" s="11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09265CB1-70B5-4424-94C5-4D2477AC8F73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979-28C5-4923-B669-DEAE9590352D}">
  <sheetPr codeName="Sheet8"/>
  <dimension ref="A1:AB15"/>
  <sheetViews>
    <sheetView workbookViewId="0">
      <selection activeCell="F6" sqref="F6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107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11" t="s">
        <v>81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11" t="s">
        <v>105</v>
      </c>
      <c r="G6" s="11" t="s">
        <v>106</v>
      </c>
      <c r="H6" s="3">
        <v>128</v>
      </c>
      <c r="I6" s="3">
        <v>1280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4" t="s">
        <v>83</v>
      </c>
      <c r="G7" s="4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  <row r="15" spans="1:28">
      <c r="H15" s="2" t="s">
        <v>103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89AEE874-4F7B-4180-A204-0320A18192FE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F45D6-887B-4C5F-87DF-85813D8FA339}">
  <sheetPr codeName="Sheet9"/>
  <dimension ref="A1:AA7"/>
  <sheetViews>
    <sheetView workbookViewId="0">
      <selection activeCell="E2" sqref="E2:E7"/>
    </sheetView>
  </sheetViews>
  <sheetFormatPr defaultColWidth="9" defaultRowHeight="13.5"/>
  <cols>
    <col min="1" max="1" width="10.5" customWidth="1"/>
    <col min="2" max="4" width="11.75" customWidth="1"/>
    <col min="5" max="5" width="18.625" bestFit="1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7" s="15" customFormat="1" ht="12" customHeight="1">
      <c r="A1" s="14"/>
      <c r="B1" s="15" t="s">
        <v>101</v>
      </c>
      <c r="C1" s="14"/>
      <c r="X1" s="16"/>
    </row>
    <row r="2" spans="1:27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7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11" t="s">
        <v>98</v>
      </c>
      <c r="G5" s="11" t="s">
        <v>82</v>
      </c>
      <c r="H5" s="3">
        <v>30</v>
      </c>
      <c r="I5" s="3">
        <v>300</v>
      </c>
      <c r="J5" s="3" t="s">
        <v>39</v>
      </c>
      <c r="K5" s="3">
        <v>1</v>
      </c>
      <c r="L5" s="3">
        <v>25</v>
      </c>
      <c r="M5" s="3" t="s">
        <v>46</v>
      </c>
      <c r="N5" s="3" t="s">
        <v>29</v>
      </c>
    </row>
    <row r="6" spans="1:27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11" t="s">
        <v>99</v>
      </c>
      <c r="G6" s="11" t="s">
        <v>86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7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4" t="s">
        <v>97</v>
      </c>
      <c r="G7" s="4" t="s">
        <v>84</v>
      </c>
      <c r="H7" s="3">
        <v>6</v>
      </c>
      <c r="I7" s="3">
        <v>60</v>
      </c>
      <c r="J7" s="3" t="s">
        <v>51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F6F7C5BA-3CF7-4763-8E52-ED005E2EBE8D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460D8-AB6A-417E-A9FE-5561E823642E}">
  <sheetPr codeName="Sheet7"/>
  <dimension ref="A1:AB7"/>
  <sheetViews>
    <sheetView workbookViewId="0">
      <selection activeCell="F12" sqref="F12"/>
    </sheetView>
  </sheetViews>
  <sheetFormatPr defaultColWidth="9" defaultRowHeight="13.5"/>
  <cols>
    <col min="1" max="1" width="10.5" customWidth="1"/>
    <col min="2" max="5" width="11.75" customWidth="1"/>
    <col min="6" max="6" width="14.125" bestFit="1" customWidth="1"/>
    <col min="7" max="7" width="15.125" bestFit="1" customWidth="1"/>
    <col min="8" max="8" width="9.75" customWidth="1"/>
    <col min="9" max="9" width="18.375" customWidth="1"/>
    <col min="10" max="10" width="65.125" customWidth="1"/>
    <col min="11" max="11" width="16.125" customWidth="1"/>
    <col min="12" max="12" width="11.75" bestFit="1" customWidth="1"/>
    <col min="13" max="13" width="28.375" customWidth="1"/>
    <col min="14" max="15" width="16.125" customWidth="1"/>
  </cols>
  <sheetData>
    <row r="1" spans="1:28" s="15" customFormat="1" ht="12" customHeight="1">
      <c r="A1" s="14"/>
      <c r="B1" s="15" t="s">
        <v>102</v>
      </c>
      <c r="C1" s="14"/>
      <c r="Y1" s="16"/>
    </row>
    <row r="2" spans="1:28" s="19" customFormat="1" ht="12" customHeight="1">
      <c r="A2" s="17" t="s">
        <v>13</v>
      </c>
      <c r="B2" s="18" t="s">
        <v>33</v>
      </c>
      <c r="C2" s="18" t="s">
        <v>35</v>
      </c>
      <c r="D2" s="18" t="s">
        <v>52</v>
      </c>
      <c r="E2" s="18" t="s">
        <v>95</v>
      </c>
      <c r="F2" s="18" t="s">
        <v>77</v>
      </c>
      <c r="G2" s="18" t="s">
        <v>78</v>
      </c>
      <c r="H2" s="18" t="s">
        <v>14</v>
      </c>
      <c r="I2" s="18" t="s">
        <v>22</v>
      </c>
      <c r="J2" s="18" t="s">
        <v>23</v>
      </c>
      <c r="K2" s="18" t="s">
        <v>24</v>
      </c>
      <c r="L2" s="18" t="s">
        <v>50</v>
      </c>
      <c r="M2" s="18" t="s">
        <v>42</v>
      </c>
      <c r="N2" s="18" t="s">
        <v>74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</row>
    <row r="3" spans="1:28" s="22" customFormat="1" ht="12" customHeight="1">
      <c r="A3" s="20" t="s">
        <v>49</v>
      </c>
      <c r="B3" s="21" t="s">
        <v>100</v>
      </c>
      <c r="C3" s="21" t="s">
        <v>15</v>
      </c>
      <c r="D3" s="21" t="s">
        <v>12</v>
      </c>
      <c r="E3" s="21" t="s">
        <v>43</v>
      </c>
      <c r="F3" s="21" t="s">
        <v>16</v>
      </c>
      <c r="G3" s="21" t="s">
        <v>16</v>
      </c>
      <c r="H3" s="21" t="s">
        <v>15</v>
      </c>
      <c r="I3" s="21" t="s">
        <v>15</v>
      </c>
      <c r="J3" s="21" t="s">
        <v>15</v>
      </c>
      <c r="K3" s="21" t="s">
        <v>37</v>
      </c>
      <c r="L3" s="21" t="s">
        <v>49</v>
      </c>
      <c r="M3" s="21" t="s">
        <v>43</v>
      </c>
      <c r="N3" s="21" t="s">
        <v>43</v>
      </c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28">
      <c r="A4" s="2" t="s">
        <v>25</v>
      </c>
      <c r="B4" s="2" t="s">
        <v>34</v>
      </c>
      <c r="C4" s="2" t="s">
        <v>36</v>
      </c>
      <c r="D4" s="2" t="s">
        <v>52</v>
      </c>
      <c r="E4" t="s">
        <v>96</v>
      </c>
      <c r="F4" s="2" t="s">
        <v>79</v>
      </c>
      <c r="G4" s="2" t="s">
        <v>80</v>
      </c>
      <c r="H4" s="2" t="s">
        <v>26</v>
      </c>
      <c r="I4" s="2" t="s">
        <v>27</v>
      </c>
      <c r="J4" s="2" t="s">
        <v>38</v>
      </c>
      <c r="K4" s="2" t="s">
        <v>28</v>
      </c>
      <c r="L4" s="2" t="s">
        <v>48</v>
      </c>
      <c r="M4" s="2" t="s">
        <v>44</v>
      </c>
      <c r="N4" s="3" t="s">
        <v>76</v>
      </c>
    </row>
    <row r="5" spans="1:28">
      <c r="A5" s="3">
        <v>100</v>
      </c>
      <c r="B5" s="10">
        <v>9067</v>
      </c>
      <c r="C5" s="11">
        <v>9488</v>
      </c>
      <c r="D5" s="11" t="s">
        <v>54</v>
      </c>
      <c r="E5" s="11" t="s">
        <v>54</v>
      </c>
      <c r="F5" s="3" t="s">
        <v>87</v>
      </c>
      <c r="G5" s="3" t="s">
        <v>90</v>
      </c>
      <c r="H5" s="3">
        <v>30</v>
      </c>
      <c r="I5" s="3">
        <v>300</v>
      </c>
      <c r="J5" s="3" t="s">
        <v>93</v>
      </c>
      <c r="K5" s="3">
        <v>1</v>
      </c>
      <c r="L5" s="3">
        <v>25</v>
      </c>
      <c r="M5" s="3" t="s">
        <v>46</v>
      </c>
      <c r="N5" s="3" t="s">
        <v>29</v>
      </c>
    </row>
    <row r="6" spans="1:28">
      <c r="A6" s="3">
        <v>101</v>
      </c>
      <c r="B6" s="10">
        <v>9068</v>
      </c>
      <c r="C6" s="11">
        <v>9489</v>
      </c>
      <c r="D6" s="11" t="s">
        <v>55</v>
      </c>
      <c r="E6" s="11" t="s">
        <v>55</v>
      </c>
      <c r="F6" s="3" t="s">
        <v>88</v>
      </c>
      <c r="G6" s="3" t="s">
        <v>91</v>
      </c>
      <c r="H6" s="3">
        <v>120</v>
      </c>
      <c r="I6" s="3">
        <v>1200</v>
      </c>
      <c r="J6" s="3" t="s">
        <v>40</v>
      </c>
      <c r="K6" s="3">
        <v>1.0249999999999999</v>
      </c>
      <c r="L6" s="3">
        <v>75</v>
      </c>
      <c r="M6" s="3" t="s">
        <v>45</v>
      </c>
      <c r="N6" s="3" t="s">
        <v>30</v>
      </c>
    </row>
    <row r="7" spans="1:28">
      <c r="A7" s="3">
        <v>102</v>
      </c>
      <c r="B7" s="1">
        <v>9055</v>
      </c>
      <c r="C7" s="4">
        <v>9476</v>
      </c>
      <c r="D7" s="4" t="s">
        <v>53</v>
      </c>
      <c r="E7" s="4" t="s">
        <v>53</v>
      </c>
      <c r="F7" s="3" t="s">
        <v>89</v>
      </c>
      <c r="G7" s="3" t="s">
        <v>92</v>
      </c>
      <c r="H7" s="3">
        <v>6</v>
      </c>
      <c r="I7" s="3">
        <v>60</v>
      </c>
      <c r="J7" s="3" t="s">
        <v>94</v>
      </c>
      <c r="K7" s="3">
        <v>1</v>
      </c>
      <c r="L7" s="3">
        <v>5</v>
      </c>
      <c r="M7" s="3" t="s">
        <v>47</v>
      </c>
      <c r="N7" s="3" t="s">
        <v>41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B9277A51-8EC2-44DD-9D26-146B50841BF1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description</vt:lpstr>
      <vt:lpstr>混合</vt:lpstr>
      <vt:lpstr>ios</vt:lpstr>
      <vt:lpstr>Google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2018-04-26T06:07:29Z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