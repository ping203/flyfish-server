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9C1D817-2A5C-4ABA-BFE9-469E5C271BA1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混合" sheetId="3" r:id="rId2"/>
    <sheet name="Google" sheetId="4" r:id="rId3"/>
  </sheets>
  <functionGroups builtInGroupCount="19"/>
  <externalReferences>
    <externalReference r:id="rId4"/>
  </externalReferences>
  <calcPr calcId="179017"/>
</workbook>
</file>

<file path=xl/calcChain.xml><?xml version="1.0" encoding="utf-8"?>
<calcChain xmlns="http://schemas.openxmlformats.org/spreadsheetml/2006/main">
  <c r="E5" i="3" l="1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M5" i="3" l="1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H5" i="4" l="1"/>
  <c r="G5" i="4" s="1"/>
  <c r="H6" i="4"/>
  <c r="E6" i="4" s="1"/>
  <c r="H7" i="4"/>
  <c r="D7" i="4" s="1"/>
  <c r="H8" i="4"/>
  <c r="E8" i="4" s="1"/>
  <c r="H9" i="4"/>
  <c r="E9" i="4" s="1"/>
  <c r="H10" i="4"/>
  <c r="E10" i="4" s="1"/>
  <c r="H11" i="4"/>
  <c r="D11" i="4" s="1"/>
  <c r="H12" i="4"/>
  <c r="E12" i="4" s="1"/>
  <c r="H13" i="4"/>
  <c r="G13" i="4" s="1"/>
  <c r="H14" i="4"/>
  <c r="E14" i="4" s="1"/>
  <c r="H15" i="4"/>
  <c r="D15" i="4" s="1"/>
  <c r="H16" i="4"/>
  <c r="H17" i="4"/>
  <c r="E17" i="4" s="1"/>
  <c r="H18" i="4"/>
  <c r="E18" i="4" s="1"/>
  <c r="H19" i="4"/>
  <c r="D19" i="4" s="1"/>
  <c r="H20" i="4"/>
  <c r="H21" i="4"/>
  <c r="G21" i="4" s="1"/>
  <c r="H22" i="4"/>
  <c r="E22" i="4" s="1"/>
  <c r="H23" i="4"/>
  <c r="D23" i="4" s="1"/>
  <c r="H24" i="4"/>
  <c r="E24" i="4" s="1"/>
  <c r="H25" i="4"/>
  <c r="E25" i="4" s="1"/>
  <c r="H26" i="4"/>
  <c r="E26" i="4" s="1"/>
  <c r="H27" i="4"/>
  <c r="D27" i="4" s="1"/>
  <c r="H28" i="4"/>
  <c r="E28" i="4" s="1"/>
  <c r="H29" i="4"/>
  <c r="G29" i="4" s="1"/>
  <c r="H30" i="4"/>
  <c r="H31" i="4"/>
  <c r="G31" i="4" s="1"/>
  <c r="H32" i="4"/>
  <c r="G32" i="4" s="1"/>
  <c r="H33" i="4"/>
  <c r="H34" i="4"/>
  <c r="G34" i="4" s="1"/>
  <c r="H35" i="4"/>
  <c r="D35" i="4" s="1"/>
  <c r="H36" i="4"/>
  <c r="H37" i="4"/>
  <c r="D37" i="4" s="1"/>
  <c r="H38" i="4"/>
  <c r="G38" i="4" s="1"/>
  <c r="H39" i="4"/>
  <c r="D39" i="4" s="1"/>
  <c r="H40" i="4"/>
  <c r="G40" i="4" s="1"/>
  <c r="H41" i="4"/>
  <c r="H42" i="4"/>
  <c r="G42" i="4" s="1"/>
  <c r="H43" i="4"/>
  <c r="D43" i="4" s="1"/>
  <c r="H44" i="4"/>
  <c r="H45" i="4"/>
  <c r="H46" i="4"/>
  <c r="G46" i="4" s="1"/>
  <c r="H47" i="4"/>
  <c r="D47" i="4" s="1"/>
  <c r="H48" i="4"/>
  <c r="G48" i="4" s="1"/>
  <c r="H49" i="4"/>
  <c r="H50" i="4"/>
  <c r="G50" i="4" s="1"/>
  <c r="H51" i="4"/>
  <c r="G51" i="4" s="1"/>
  <c r="H52" i="4"/>
  <c r="G52" i="4" s="1"/>
  <c r="H53" i="4"/>
  <c r="D53" i="4" s="1"/>
  <c r="H54" i="4"/>
  <c r="G54" i="4" s="1"/>
  <c r="H55" i="4"/>
  <c r="G55" i="4" s="1"/>
  <c r="H56" i="4"/>
  <c r="H57" i="4"/>
  <c r="D57" i="4" s="1"/>
  <c r="H58" i="4"/>
  <c r="G58" i="4" s="1"/>
  <c r="H59" i="4"/>
  <c r="G59" i="4" s="1"/>
  <c r="H60" i="4"/>
  <c r="G60" i="4" s="1"/>
  <c r="H61" i="4"/>
  <c r="D61" i="4" s="1"/>
  <c r="H62" i="4"/>
  <c r="G62" i="4" s="1"/>
  <c r="H63" i="4"/>
  <c r="G63" i="4" s="1"/>
  <c r="H64" i="4"/>
  <c r="H65" i="4"/>
  <c r="D65" i="4" s="1"/>
  <c r="H66" i="4"/>
  <c r="H67" i="4"/>
  <c r="G67" i="4" s="1"/>
  <c r="H68" i="4"/>
  <c r="H69" i="4"/>
  <c r="G69" i="4" s="1"/>
  <c r="H70" i="4"/>
  <c r="H71" i="4"/>
  <c r="G71" i="4" s="1"/>
  <c r="H72" i="4"/>
  <c r="G72" i="4" s="1"/>
  <c r="H73" i="4"/>
  <c r="G73" i="4" s="1"/>
  <c r="H74" i="4"/>
  <c r="G74" i="4" s="1"/>
  <c r="H75" i="4"/>
  <c r="G75" i="4" s="1"/>
  <c r="H76" i="4"/>
  <c r="H77" i="4"/>
  <c r="G77" i="4" s="1"/>
  <c r="H78" i="4"/>
  <c r="H79" i="4"/>
  <c r="G79" i="4" s="1"/>
  <c r="H80" i="4"/>
  <c r="G80" i="4" s="1"/>
  <c r="H81" i="4"/>
  <c r="G81" i="4" s="1"/>
  <c r="H82" i="4"/>
  <c r="G82" i="4" s="1"/>
  <c r="H83" i="4"/>
  <c r="G83" i="4" s="1"/>
  <c r="H84" i="4"/>
  <c r="H85" i="4"/>
  <c r="G85" i="4" s="1"/>
  <c r="H86" i="4"/>
  <c r="H87" i="4"/>
  <c r="G87" i="4" s="1"/>
  <c r="H88" i="4"/>
  <c r="E88" i="4" s="1"/>
  <c r="H89" i="4"/>
  <c r="G89" i="4" s="1"/>
  <c r="H90" i="4"/>
  <c r="E90" i="4" s="1"/>
  <c r="H91" i="4"/>
  <c r="G91" i="4" s="1"/>
  <c r="H92" i="4"/>
  <c r="H93" i="4"/>
  <c r="G93" i="4" s="1"/>
  <c r="H94" i="4"/>
  <c r="H95" i="4"/>
  <c r="G95" i="4" s="1"/>
  <c r="H96" i="4"/>
  <c r="E96" i="4" s="1"/>
  <c r="H97" i="4"/>
  <c r="G97" i="4" s="1"/>
  <c r="H98" i="4"/>
  <c r="E98" i="4" s="1"/>
  <c r="H99" i="4"/>
  <c r="G99" i="4" s="1"/>
  <c r="H100" i="4"/>
  <c r="E100" i="4" s="1"/>
  <c r="H101" i="4"/>
  <c r="G101" i="4" s="1"/>
  <c r="H102" i="4"/>
  <c r="E102" i="4" s="1"/>
  <c r="H103" i="4"/>
  <c r="G103" i="4" s="1"/>
  <c r="H104" i="4"/>
  <c r="E104" i="4" s="1"/>
  <c r="H105" i="4"/>
  <c r="G105" i="4" s="1"/>
  <c r="H106" i="4"/>
  <c r="E106" i="4" s="1"/>
  <c r="H107" i="4"/>
  <c r="G107" i="4" s="1"/>
  <c r="H108" i="4"/>
  <c r="E108" i="4" s="1"/>
  <c r="H109" i="4"/>
  <c r="G109" i="4" s="1"/>
  <c r="H110" i="4"/>
  <c r="H111" i="4"/>
  <c r="G111" i="4" s="1"/>
  <c r="H112" i="4"/>
  <c r="E112" i="4" s="1"/>
  <c r="H113" i="4"/>
  <c r="G113" i="4" s="1"/>
  <c r="H114" i="4"/>
  <c r="H115" i="4"/>
  <c r="G115" i="4" s="1"/>
  <c r="H116" i="4"/>
  <c r="E116" i="4" s="1"/>
  <c r="H117" i="4"/>
  <c r="G117" i="4" s="1"/>
  <c r="H118" i="4"/>
  <c r="E118" i="4" s="1"/>
  <c r="H119" i="4"/>
  <c r="G119" i="4" s="1"/>
  <c r="H120" i="4"/>
  <c r="E120" i="4" s="1"/>
  <c r="H121" i="4"/>
  <c r="G121" i="4" s="1"/>
  <c r="H122" i="4"/>
  <c r="E122" i="4" s="1"/>
  <c r="H123" i="4"/>
  <c r="G123" i="4" s="1"/>
  <c r="H124" i="4"/>
  <c r="E124" i="4" s="1"/>
  <c r="H125" i="4"/>
  <c r="G125" i="4" s="1"/>
  <c r="H126" i="4"/>
  <c r="H127" i="4"/>
  <c r="G127" i="4" s="1"/>
  <c r="H128" i="4"/>
  <c r="E128" i="4" s="1"/>
  <c r="H129" i="4"/>
  <c r="G129" i="4" s="1"/>
  <c r="H130" i="4"/>
  <c r="H131" i="4"/>
  <c r="G131" i="4" s="1"/>
  <c r="H132" i="4"/>
  <c r="H133" i="4"/>
  <c r="D133" i="4" s="1"/>
  <c r="H134" i="4"/>
  <c r="E134" i="4" s="1"/>
  <c r="H135" i="4"/>
  <c r="G135" i="4" s="1"/>
  <c r="H136" i="4"/>
  <c r="H137" i="4"/>
  <c r="D137" i="4" s="1"/>
  <c r="H138" i="4"/>
  <c r="G138" i="4" s="1"/>
  <c r="H139" i="4"/>
  <c r="G139" i="4" s="1"/>
  <c r="H140" i="4"/>
  <c r="G140" i="4" s="1"/>
  <c r="H141" i="4"/>
  <c r="E141" i="4" s="1"/>
  <c r="H142" i="4"/>
  <c r="E142" i="4" s="1"/>
  <c r="H143" i="4"/>
  <c r="E143" i="4" s="1"/>
  <c r="H144" i="4"/>
  <c r="E144" i="4" s="1"/>
  <c r="H145" i="4"/>
  <c r="E145" i="4" s="1"/>
  <c r="H146" i="4"/>
  <c r="G146" i="4" s="1"/>
  <c r="H147" i="4"/>
  <c r="H148" i="4"/>
  <c r="G148" i="4" s="1"/>
  <c r="H149" i="4"/>
  <c r="H150" i="4"/>
  <c r="G150" i="4" s="1"/>
  <c r="H151" i="4"/>
  <c r="E151" i="4" s="1"/>
  <c r="H152" i="4"/>
  <c r="G152" i="4" s="1"/>
  <c r="H153" i="4"/>
  <c r="E153" i="4" s="1"/>
  <c r="H154" i="4"/>
  <c r="G154" i="4" s="1"/>
  <c r="H155" i="4"/>
  <c r="E155" i="4" s="1"/>
  <c r="H156" i="4"/>
  <c r="G156" i="4" s="1"/>
  <c r="H157" i="4"/>
  <c r="E157" i="4" s="1"/>
  <c r="H158" i="4"/>
  <c r="G158" i="4" s="1"/>
  <c r="H159" i="4"/>
  <c r="E159" i="4" s="1"/>
  <c r="H160" i="4"/>
  <c r="G160" i="4" s="1"/>
  <c r="H161" i="4"/>
  <c r="H162" i="4"/>
  <c r="E162" i="4" s="1"/>
  <c r="H163" i="4"/>
  <c r="E163" i="4" s="1"/>
  <c r="H164" i="4"/>
  <c r="E164" i="4" s="1"/>
  <c r="H165" i="4"/>
  <c r="E165" i="4" s="1"/>
  <c r="H166" i="4"/>
  <c r="E166" i="4" s="1"/>
  <c r="H167" i="4"/>
  <c r="E167" i="4" s="1"/>
  <c r="H168" i="4"/>
  <c r="E168" i="4" s="1"/>
  <c r="H169" i="4"/>
  <c r="E169" i="4" s="1"/>
  <c r="H170" i="4"/>
  <c r="E170" i="4" s="1"/>
  <c r="H171" i="4"/>
  <c r="E171" i="4" s="1"/>
  <c r="H172" i="4"/>
  <c r="E172" i="4" s="1"/>
  <c r="H173" i="4"/>
  <c r="E173" i="4" s="1"/>
  <c r="H174" i="4"/>
  <c r="E174" i="4" s="1"/>
  <c r="H175" i="4"/>
  <c r="H176" i="4"/>
  <c r="G176" i="4" s="1"/>
  <c r="H177" i="4"/>
  <c r="E177" i="4" s="1"/>
  <c r="H178" i="4"/>
  <c r="G178" i="4" s="1"/>
  <c r="H179" i="4"/>
  <c r="E179" i="4" s="1"/>
  <c r="H180" i="4"/>
  <c r="G180" i="4" s="1"/>
  <c r="H181" i="4"/>
  <c r="E181" i="4" s="1"/>
  <c r="H182" i="4"/>
  <c r="G182" i="4" s="1"/>
  <c r="H183" i="4"/>
  <c r="E183" i="4" s="1"/>
  <c r="H184" i="4"/>
  <c r="G184" i="4" s="1"/>
  <c r="H185" i="4"/>
  <c r="E185" i="4" s="1"/>
  <c r="H186" i="4"/>
  <c r="G186" i="4" s="1"/>
  <c r="H187" i="4"/>
  <c r="E187" i="4" s="1"/>
  <c r="H188" i="4"/>
  <c r="G188" i="4" s="1"/>
  <c r="H189" i="4"/>
  <c r="H190" i="4"/>
  <c r="E190" i="4" s="1"/>
  <c r="H191" i="4"/>
  <c r="E191" i="4" s="1"/>
  <c r="H192" i="4"/>
  <c r="E192" i="4" s="1"/>
  <c r="H193" i="4"/>
  <c r="E193" i="4" s="1"/>
  <c r="H194" i="4"/>
  <c r="E194" i="4" s="1"/>
  <c r="H195" i="4"/>
  <c r="E195" i="4" s="1"/>
  <c r="H196" i="4"/>
  <c r="E196" i="4" s="1"/>
  <c r="H197" i="4"/>
  <c r="E197" i="4" s="1"/>
  <c r="H198" i="4"/>
  <c r="G198" i="4" s="1"/>
  <c r="H199" i="4"/>
  <c r="E199" i="4" s="1"/>
  <c r="H200" i="4"/>
  <c r="G200" i="4" s="1"/>
  <c r="H201" i="4"/>
  <c r="E201" i="4" s="1"/>
  <c r="H202" i="4"/>
  <c r="H203" i="4"/>
  <c r="E203" i="4" s="1"/>
  <c r="H204" i="4"/>
  <c r="G204" i="4" s="1"/>
  <c r="H205" i="4"/>
  <c r="H206" i="4"/>
  <c r="G206" i="4" s="1"/>
  <c r="H207" i="4"/>
  <c r="E207" i="4" s="1"/>
  <c r="H208" i="4"/>
  <c r="H209" i="4"/>
  <c r="E209" i="4" s="1"/>
  <c r="H210" i="4"/>
  <c r="G210" i="4" s="1"/>
  <c r="H211" i="4"/>
  <c r="E211" i="4" s="1"/>
  <c r="H212" i="4"/>
  <c r="H213" i="4"/>
  <c r="E213" i="4" s="1"/>
  <c r="H214" i="4"/>
  <c r="G214" i="4" s="1"/>
  <c r="H215" i="4"/>
  <c r="E215" i="4" s="1"/>
  <c r="H216" i="4"/>
  <c r="G216" i="4" s="1"/>
  <c r="H217" i="4"/>
  <c r="E217" i="4" s="1"/>
  <c r="H218" i="4"/>
  <c r="G218" i="4" s="1"/>
  <c r="H219" i="4"/>
  <c r="E219" i="4" s="1"/>
  <c r="H220" i="4"/>
  <c r="H221" i="4"/>
  <c r="E221" i="4" s="1"/>
  <c r="H222" i="4"/>
  <c r="G222" i="4" s="1"/>
  <c r="H223" i="4"/>
  <c r="E223" i="4" s="1"/>
  <c r="H224" i="4"/>
  <c r="H225" i="4"/>
  <c r="D225" i="4" s="1"/>
  <c r="H226" i="4"/>
  <c r="E226" i="4" s="1"/>
  <c r="H227" i="4"/>
  <c r="D227" i="4" s="1"/>
  <c r="H228" i="4"/>
  <c r="G228" i="4" s="1"/>
  <c r="Q228" i="4"/>
  <c r="I228" i="4"/>
  <c r="C228" i="4"/>
  <c r="B228" i="4"/>
  <c r="Q227" i="4"/>
  <c r="I227" i="4"/>
  <c r="E227" i="4"/>
  <c r="C227" i="4"/>
  <c r="B227" i="4"/>
  <c r="Q226" i="4"/>
  <c r="I226" i="4"/>
  <c r="C226" i="4"/>
  <c r="B226" i="4"/>
  <c r="Q225" i="4"/>
  <c r="I225" i="4"/>
  <c r="C225" i="4"/>
  <c r="B225" i="4"/>
  <c r="Q224" i="4"/>
  <c r="I224" i="4"/>
  <c r="C224" i="4"/>
  <c r="B224" i="4"/>
  <c r="Q223" i="4"/>
  <c r="I223" i="4"/>
  <c r="C223" i="4"/>
  <c r="B223" i="4"/>
  <c r="Q222" i="4"/>
  <c r="I222" i="4"/>
  <c r="C222" i="4"/>
  <c r="B222" i="4"/>
  <c r="Q221" i="4"/>
  <c r="I221" i="4"/>
  <c r="D221" i="4"/>
  <c r="C221" i="4"/>
  <c r="B221" i="4"/>
  <c r="Q220" i="4"/>
  <c r="I220" i="4"/>
  <c r="C220" i="4"/>
  <c r="B220" i="4"/>
  <c r="Q219" i="4"/>
  <c r="I219" i="4"/>
  <c r="C219" i="4"/>
  <c r="B219" i="4"/>
  <c r="Q218" i="4"/>
  <c r="I218" i="4"/>
  <c r="D218" i="4"/>
  <c r="C218" i="4"/>
  <c r="B218" i="4"/>
  <c r="Q217" i="4"/>
  <c r="I217" i="4"/>
  <c r="C217" i="4"/>
  <c r="B217" i="4"/>
  <c r="Q216" i="4"/>
  <c r="I216" i="4"/>
  <c r="C216" i="4"/>
  <c r="B216" i="4"/>
  <c r="Q215" i="4"/>
  <c r="I215" i="4"/>
  <c r="C215" i="4"/>
  <c r="B215" i="4"/>
  <c r="Q214" i="4"/>
  <c r="I214" i="4"/>
  <c r="E214" i="4"/>
  <c r="C214" i="4"/>
  <c r="B214" i="4"/>
  <c r="Q213" i="4"/>
  <c r="I213" i="4"/>
  <c r="C213" i="4"/>
  <c r="B213" i="4"/>
  <c r="Q212" i="4"/>
  <c r="I212" i="4"/>
  <c r="C212" i="4"/>
  <c r="B212" i="4"/>
  <c r="Q211" i="4"/>
  <c r="I211" i="4"/>
  <c r="C211" i="4"/>
  <c r="B211" i="4"/>
  <c r="Q210" i="4"/>
  <c r="I210" i="4"/>
  <c r="C210" i="4"/>
  <c r="B210" i="4"/>
  <c r="Q209" i="4"/>
  <c r="I209" i="4"/>
  <c r="C209" i="4"/>
  <c r="B209" i="4"/>
  <c r="Q208" i="4"/>
  <c r="I208" i="4"/>
  <c r="G208" i="4"/>
  <c r="C208" i="4"/>
  <c r="B208" i="4"/>
  <c r="Q207" i="4"/>
  <c r="I207" i="4"/>
  <c r="C207" i="4"/>
  <c r="B207" i="4"/>
  <c r="Q206" i="4"/>
  <c r="I206" i="4"/>
  <c r="C206" i="4"/>
  <c r="B206" i="4"/>
  <c r="Q205" i="4"/>
  <c r="I205" i="4"/>
  <c r="E205" i="4"/>
  <c r="C205" i="4"/>
  <c r="B205" i="4"/>
  <c r="Q204" i="4"/>
  <c r="I204" i="4"/>
  <c r="C204" i="4"/>
  <c r="B204" i="4"/>
  <c r="Q203" i="4"/>
  <c r="I203" i="4"/>
  <c r="C203" i="4"/>
  <c r="B203" i="4"/>
  <c r="Q202" i="4"/>
  <c r="I202" i="4"/>
  <c r="G202" i="4"/>
  <c r="C202" i="4"/>
  <c r="B202" i="4"/>
  <c r="Q201" i="4"/>
  <c r="I201" i="4"/>
  <c r="C201" i="4"/>
  <c r="B201" i="4"/>
  <c r="Q200" i="4"/>
  <c r="I200" i="4"/>
  <c r="C200" i="4"/>
  <c r="B200" i="4"/>
  <c r="Q199" i="4"/>
  <c r="I199" i="4"/>
  <c r="C199" i="4"/>
  <c r="B199" i="4"/>
  <c r="Q198" i="4"/>
  <c r="I198" i="4"/>
  <c r="C198" i="4"/>
  <c r="B198" i="4"/>
  <c r="Q197" i="4"/>
  <c r="I197" i="4"/>
  <c r="C197" i="4"/>
  <c r="B197" i="4"/>
  <c r="Q196" i="4"/>
  <c r="I196" i="4"/>
  <c r="G196" i="4"/>
  <c r="C196" i="4"/>
  <c r="B196" i="4"/>
  <c r="Q195" i="4"/>
  <c r="I195" i="4"/>
  <c r="C195" i="4"/>
  <c r="B195" i="4"/>
  <c r="Q194" i="4"/>
  <c r="I194" i="4"/>
  <c r="C194" i="4"/>
  <c r="B194" i="4"/>
  <c r="Q193" i="4"/>
  <c r="I193" i="4"/>
  <c r="C193" i="4"/>
  <c r="B193" i="4"/>
  <c r="Q192" i="4"/>
  <c r="I192" i="4"/>
  <c r="C192" i="4"/>
  <c r="B192" i="4"/>
  <c r="Q191" i="4"/>
  <c r="I191" i="4"/>
  <c r="C191" i="4"/>
  <c r="B191" i="4"/>
  <c r="Q190" i="4"/>
  <c r="I190" i="4"/>
  <c r="C190" i="4"/>
  <c r="B190" i="4"/>
  <c r="Q189" i="4"/>
  <c r="I189" i="4"/>
  <c r="E189" i="4"/>
  <c r="C189" i="4"/>
  <c r="B189" i="4"/>
  <c r="Q188" i="4"/>
  <c r="I188" i="4"/>
  <c r="C188" i="4"/>
  <c r="B188" i="4"/>
  <c r="Q187" i="4"/>
  <c r="I187" i="4"/>
  <c r="C187" i="4"/>
  <c r="B187" i="4"/>
  <c r="Q186" i="4"/>
  <c r="I186" i="4"/>
  <c r="C186" i="4"/>
  <c r="B186" i="4"/>
  <c r="Q185" i="4"/>
  <c r="I185" i="4"/>
  <c r="C185" i="4"/>
  <c r="B185" i="4"/>
  <c r="Q184" i="4"/>
  <c r="I184" i="4"/>
  <c r="C184" i="4"/>
  <c r="B184" i="4"/>
  <c r="Q183" i="4"/>
  <c r="I183" i="4"/>
  <c r="C183" i="4"/>
  <c r="B183" i="4"/>
  <c r="Q182" i="4"/>
  <c r="I182" i="4"/>
  <c r="E182" i="4"/>
  <c r="C182" i="4"/>
  <c r="B182" i="4"/>
  <c r="Q181" i="4"/>
  <c r="I181" i="4"/>
  <c r="C181" i="4"/>
  <c r="B181" i="4"/>
  <c r="Q180" i="4"/>
  <c r="I180" i="4"/>
  <c r="C180" i="4"/>
  <c r="B180" i="4"/>
  <c r="Q179" i="4"/>
  <c r="I179" i="4"/>
  <c r="C179" i="4"/>
  <c r="B179" i="4"/>
  <c r="Q178" i="4"/>
  <c r="I178" i="4"/>
  <c r="C178" i="4"/>
  <c r="B178" i="4"/>
  <c r="Q177" i="4"/>
  <c r="I177" i="4"/>
  <c r="C177" i="4"/>
  <c r="B177" i="4"/>
  <c r="Q176" i="4"/>
  <c r="I176" i="4"/>
  <c r="C176" i="4"/>
  <c r="B176" i="4"/>
  <c r="Q175" i="4"/>
  <c r="I175" i="4"/>
  <c r="E175" i="4"/>
  <c r="C175" i="4"/>
  <c r="B175" i="4"/>
  <c r="Q174" i="4"/>
  <c r="I174" i="4"/>
  <c r="C174" i="4"/>
  <c r="B174" i="4"/>
  <c r="Q173" i="4"/>
  <c r="I173" i="4"/>
  <c r="C173" i="4"/>
  <c r="B173" i="4"/>
  <c r="Q172" i="4"/>
  <c r="I172" i="4"/>
  <c r="C172" i="4"/>
  <c r="B172" i="4"/>
  <c r="Q171" i="4"/>
  <c r="I171" i="4"/>
  <c r="C171" i="4"/>
  <c r="B171" i="4"/>
  <c r="Q170" i="4"/>
  <c r="I170" i="4"/>
  <c r="C170" i="4"/>
  <c r="B170" i="4"/>
  <c r="Q169" i="4"/>
  <c r="I169" i="4"/>
  <c r="C169" i="4"/>
  <c r="B169" i="4"/>
  <c r="Q168" i="4"/>
  <c r="I168" i="4"/>
  <c r="G168" i="4"/>
  <c r="C168" i="4"/>
  <c r="B168" i="4"/>
  <c r="Q167" i="4"/>
  <c r="I167" i="4"/>
  <c r="C167" i="4"/>
  <c r="B167" i="4"/>
  <c r="Q166" i="4"/>
  <c r="I166" i="4"/>
  <c r="C166" i="4"/>
  <c r="B166" i="4"/>
  <c r="Q165" i="4"/>
  <c r="I165" i="4"/>
  <c r="C165" i="4"/>
  <c r="B165" i="4"/>
  <c r="Q164" i="4"/>
  <c r="I164" i="4"/>
  <c r="C164" i="4"/>
  <c r="B164" i="4"/>
  <c r="Q163" i="4"/>
  <c r="I163" i="4"/>
  <c r="C163" i="4"/>
  <c r="B163" i="4"/>
  <c r="Q162" i="4"/>
  <c r="I162" i="4"/>
  <c r="C162" i="4"/>
  <c r="B162" i="4"/>
  <c r="Q161" i="4"/>
  <c r="I161" i="4"/>
  <c r="E161" i="4"/>
  <c r="C161" i="4"/>
  <c r="B161" i="4"/>
  <c r="Q160" i="4"/>
  <c r="I160" i="4"/>
  <c r="C160" i="4"/>
  <c r="B160" i="4"/>
  <c r="Q159" i="4"/>
  <c r="I159" i="4"/>
  <c r="C159" i="4"/>
  <c r="B159" i="4"/>
  <c r="Q158" i="4"/>
  <c r="I158" i="4"/>
  <c r="C158" i="4"/>
  <c r="B158" i="4"/>
  <c r="Q157" i="4"/>
  <c r="I157" i="4"/>
  <c r="C157" i="4"/>
  <c r="B157" i="4"/>
  <c r="Q156" i="4"/>
  <c r="I156" i="4"/>
  <c r="C156" i="4"/>
  <c r="B156" i="4"/>
  <c r="Q155" i="4"/>
  <c r="I155" i="4"/>
  <c r="C155" i="4"/>
  <c r="B155" i="4"/>
  <c r="Q154" i="4"/>
  <c r="I154" i="4"/>
  <c r="E154" i="4"/>
  <c r="C154" i="4"/>
  <c r="B154" i="4"/>
  <c r="Q153" i="4"/>
  <c r="I153" i="4"/>
  <c r="C153" i="4"/>
  <c r="B153" i="4"/>
  <c r="Q152" i="4"/>
  <c r="I152" i="4"/>
  <c r="C152" i="4"/>
  <c r="B152" i="4"/>
  <c r="Q151" i="4"/>
  <c r="I151" i="4"/>
  <c r="C151" i="4"/>
  <c r="B151" i="4"/>
  <c r="Q150" i="4"/>
  <c r="I150" i="4"/>
  <c r="C150" i="4"/>
  <c r="B150" i="4"/>
  <c r="Q149" i="4"/>
  <c r="I149" i="4"/>
  <c r="C149" i="4"/>
  <c r="B149" i="4"/>
  <c r="Q148" i="4"/>
  <c r="I148" i="4"/>
  <c r="C148" i="4"/>
  <c r="B148" i="4"/>
  <c r="Q147" i="4"/>
  <c r="I147" i="4"/>
  <c r="C147" i="4"/>
  <c r="B147" i="4"/>
  <c r="Q146" i="4"/>
  <c r="I146" i="4"/>
  <c r="E146" i="4"/>
  <c r="C146" i="4"/>
  <c r="B146" i="4"/>
  <c r="Q145" i="4"/>
  <c r="I145" i="4"/>
  <c r="C145" i="4"/>
  <c r="B145" i="4"/>
  <c r="Q144" i="4"/>
  <c r="I144" i="4"/>
  <c r="C144" i="4"/>
  <c r="B144" i="4"/>
  <c r="Q143" i="4"/>
  <c r="I143" i="4"/>
  <c r="C143" i="4"/>
  <c r="B143" i="4"/>
  <c r="Q142" i="4"/>
  <c r="I142" i="4"/>
  <c r="C142" i="4"/>
  <c r="B142" i="4"/>
  <c r="Q141" i="4"/>
  <c r="I141" i="4"/>
  <c r="C141" i="4"/>
  <c r="B141" i="4"/>
  <c r="Q140" i="4"/>
  <c r="I140" i="4"/>
  <c r="C140" i="4"/>
  <c r="B140" i="4"/>
  <c r="Q139" i="4"/>
  <c r="I139" i="4"/>
  <c r="C139" i="4"/>
  <c r="B139" i="4"/>
  <c r="Q138" i="4"/>
  <c r="I138" i="4"/>
  <c r="E138" i="4"/>
  <c r="C138" i="4"/>
  <c r="B138" i="4"/>
  <c r="Q137" i="4"/>
  <c r="I137" i="4"/>
  <c r="C137" i="4"/>
  <c r="B137" i="4"/>
  <c r="Q136" i="4"/>
  <c r="I136" i="4"/>
  <c r="C136" i="4"/>
  <c r="B136" i="4"/>
  <c r="Q135" i="4"/>
  <c r="I135" i="4"/>
  <c r="C135" i="4"/>
  <c r="B135" i="4"/>
  <c r="Q134" i="4"/>
  <c r="I134" i="4"/>
  <c r="C134" i="4"/>
  <c r="B134" i="4"/>
  <c r="Q133" i="4"/>
  <c r="I133" i="4"/>
  <c r="C133" i="4"/>
  <c r="B133" i="4"/>
  <c r="Q132" i="4"/>
  <c r="I132" i="4"/>
  <c r="E132" i="4"/>
  <c r="C132" i="4"/>
  <c r="B132" i="4"/>
  <c r="Q131" i="4"/>
  <c r="I131" i="4"/>
  <c r="D131" i="4"/>
  <c r="C131" i="4"/>
  <c r="B131" i="4"/>
  <c r="Q130" i="4"/>
  <c r="I130" i="4"/>
  <c r="E130" i="4"/>
  <c r="C130" i="4"/>
  <c r="B130" i="4"/>
  <c r="Q129" i="4"/>
  <c r="I129" i="4"/>
  <c r="C129" i="4"/>
  <c r="B129" i="4"/>
  <c r="Q128" i="4"/>
  <c r="I128" i="4"/>
  <c r="C128" i="4"/>
  <c r="B128" i="4"/>
  <c r="Q127" i="4"/>
  <c r="I127" i="4"/>
  <c r="C127" i="4"/>
  <c r="B127" i="4"/>
  <c r="Q126" i="4"/>
  <c r="I126" i="4"/>
  <c r="C126" i="4"/>
  <c r="B126" i="4"/>
  <c r="Q125" i="4"/>
  <c r="I125" i="4"/>
  <c r="C125" i="4"/>
  <c r="B125" i="4"/>
  <c r="Q124" i="4"/>
  <c r="I124" i="4"/>
  <c r="G124" i="4"/>
  <c r="C124" i="4"/>
  <c r="B124" i="4"/>
  <c r="Q123" i="4"/>
  <c r="I123" i="4"/>
  <c r="C123" i="4"/>
  <c r="B123" i="4"/>
  <c r="Q122" i="4"/>
  <c r="I122" i="4"/>
  <c r="C122" i="4"/>
  <c r="B122" i="4"/>
  <c r="Q121" i="4"/>
  <c r="I121" i="4"/>
  <c r="C121" i="4"/>
  <c r="B121" i="4"/>
  <c r="Q120" i="4"/>
  <c r="I120" i="4"/>
  <c r="D120" i="4"/>
  <c r="C120" i="4"/>
  <c r="B120" i="4"/>
  <c r="Q119" i="4"/>
  <c r="I119" i="4"/>
  <c r="C119" i="4"/>
  <c r="B119" i="4"/>
  <c r="Q118" i="4"/>
  <c r="I118" i="4"/>
  <c r="C118" i="4"/>
  <c r="B118" i="4"/>
  <c r="Q117" i="4"/>
  <c r="I117" i="4"/>
  <c r="C117" i="4"/>
  <c r="B117" i="4"/>
  <c r="Q116" i="4"/>
  <c r="I116" i="4"/>
  <c r="C116" i="4"/>
  <c r="B116" i="4"/>
  <c r="Q115" i="4"/>
  <c r="I115" i="4"/>
  <c r="C115" i="4"/>
  <c r="B115" i="4"/>
  <c r="Q114" i="4"/>
  <c r="I114" i="4"/>
  <c r="E114" i="4"/>
  <c r="C114" i="4"/>
  <c r="B114" i="4"/>
  <c r="Q113" i="4"/>
  <c r="I113" i="4"/>
  <c r="C113" i="4"/>
  <c r="B113" i="4"/>
  <c r="Q112" i="4"/>
  <c r="I112" i="4"/>
  <c r="C112" i="4"/>
  <c r="B112" i="4"/>
  <c r="Q111" i="4"/>
  <c r="I111" i="4"/>
  <c r="C111" i="4"/>
  <c r="B111" i="4"/>
  <c r="Q110" i="4"/>
  <c r="I110" i="4"/>
  <c r="C110" i="4"/>
  <c r="B110" i="4"/>
  <c r="Q109" i="4"/>
  <c r="I109" i="4"/>
  <c r="C109" i="4"/>
  <c r="B109" i="4"/>
  <c r="Q108" i="4"/>
  <c r="I108" i="4"/>
  <c r="G108" i="4"/>
  <c r="C108" i="4"/>
  <c r="B108" i="4"/>
  <c r="Q107" i="4"/>
  <c r="I107" i="4"/>
  <c r="C107" i="4"/>
  <c r="B107" i="4"/>
  <c r="Q106" i="4"/>
  <c r="I106" i="4"/>
  <c r="C106" i="4"/>
  <c r="B106" i="4"/>
  <c r="Q105" i="4"/>
  <c r="I105" i="4"/>
  <c r="C105" i="4"/>
  <c r="B105" i="4"/>
  <c r="Q104" i="4"/>
  <c r="I104" i="4"/>
  <c r="D104" i="4"/>
  <c r="C104" i="4"/>
  <c r="B104" i="4"/>
  <c r="Q103" i="4"/>
  <c r="I103" i="4"/>
  <c r="C103" i="4"/>
  <c r="B103" i="4"/>
  <c r="Q102" i="4"/>
  <c r="I102" i="4"/>
  <c r="C102" i="4"/>
  <c r="B102" i="4"/>
  <c r="Q101" i="4"/>
  <c r="I101" i="4"/>
  <c r="C101" i="4"/>
  <c r="B101" i="4"/>
  <c r="Q100" i="4"/>
  <c r="I100" i="4"/>
  <c r="C100" i="4"/>
  <c r="B100" i="4"/>
  <c r="Q99" i="4"/>
  <c r="I99" i="4"/>
  <c r="D99" i="4"/>
  <c r="C99" i="4"/>
  <c r="B99" i="4"/>
  <c r="Q98" i="4"/>
  <c r="I98" i="4"/>
  <c r="C98" i="4"/>
  <c r="B98" i="4"/>
  <c r="Q97" i="4"/>
  <c r="I97" i="4"/>
  <c r="D97" i="4"/>
  <c r="C97" i="4"/>
  <c r="B97" i="4"/>
  <c r="Q96" i="4"/>
  <c r="I96" i="4"/>
  <c r="C96" i="4"/>
  <c r="B96" i="4"/>
  <c r="Q95" i="4"/>
  <c r="I95" i="4"/>
  <c r="C95" i="4"/>
  <c r="B95" i="4"/>
  <c r="Q94" i="4"/>
  <c r="I94" i="4"/>
  <c r="E94" i="4"/>
  <c r="C94" i="4"/>
  <c r="B94" i="4"/>
  <c r="Q93" i="4"/>
  <c r="I93" i="4"/>
  <c r="D93" i="4"/>
  <c r="C93" i="4"/>
  <c r="B93" i="4"/>
  <c r="Q92" i="4"/>
  <c r="I92" i="4"/>
  <c r="E92" i="4"/>
  <c r="C92" i="4"/>
  <c r="B92" i="4"/>
  <c r="Q91" i="4"/>
  <c r="I91" i="4"/>
  <c r="C91" i="4"/>
  <c r="B91" i="4"/>
  <c r="Q90" i="4"/>
  <c r="I90" i="4"/>
  <c r="C90" i="4"/>
  <c r="B90" i="4"/>
  <c r="Q89" i="4"/>
  <c r="I89" i="4"/>
  <c r="D89" i="4"/>
  <c r="C89" i="4"/>
  <c r="B89" i="4"/>
  <c r="Q88" i="4"/>
  <c r="I88" i="4"/>
  <c r="C88" i="4"/>
  <c r="B88" i="4"/>
  <c r="Q87" i="4"/>
  <c r="I87" i="4"/>
  <c r="C87" i="4"/>
  <c r="B87" i="4"/>
  <c r="Q86" i="4"/>
  <c r="I86" i="4"/>
  <c r="E86" i="4"/>
  <c r="C86" i="4"/>
  <c r="B86" i="4"/>
  <c r="Q85" i="4"/>
  <c r="I85" i="4"/>
  <c r="D85" i="4"/>
  <c r="C85" i="4"/>
  <c r="B85" i="4"/>
  <c r="Q84" i="4"/>
  <c r="I84" i="4"/>
  <c r="E84" i="4"/>
  <c r="C84" i="4"/>
  <c r="B84" i="4"/>
  <c r="Q83" i="4"/>
  <c r="I83" i="4"/>
  <c r="C83" i="4"/>
  <c r="B83" i="4"/>
  <c r="Q82" i="4"/>
  <c r="I82" i="4"/>
  <c r="C82" i="4"/>
  <c r="B82" i="4"/>
  <c r="Q81" i="4"/>
  <c r="I81" i="4"/>
  <c r="D81" i="4"/>
  <c r="C81" i="4"/>
  <c r="B81" i="4"/>
  <c r="Q80" i="4"/>
  <c r="I80" i="4"/>
  <c r="C80" i="4"/>
  <c r="B80" i="4"/>
  <c r="Q79" i="4"/>
  <c r="I79" i="4"/>
  <c r="C79" i="4"/>
  <c r="B79" i="4"/>
  <c r="Q78" i="4"/>
  <c r="I78" i="4"/>
  <c r="G78" i="4"/>
  <c r="C78" i="4"/>
  <c r="B78" i="4"/>
  <c r="Q77" i="4"/>
  <c r="I77" i="4"/>
  <c r="D77" i="4"/>
  <c r="C77" i="4"/>
  <c r="B77" i="4"/>
  <c r="Q76" i="4"/>
  <c r="I76" i="4"/>
  <c r="G76" i="4"/>
  <c r="C76" i="4"/>
  <c r="B76" i="4"/>
  <c r="Q75" i="4"/>
  <c r="I75" i="4"/>
  <c r="C75" i="4"/>
  <c r="B75" i="4"/>
  <c r="Q74" i="4"/>
  <c r="I74" i="4"/>
  <c r="C74" i="4"/>
  <c r="B74" i="4"/>
  <c r="Q73" i="4"/>
  <c r="I73" i="4"/>
  <c r="D73" i="4"/>
  <c r="C73" i="4"/>
  <c r="B73" i="4"/>
  <c r="Q72" i="4"/>
  <c r="I72" i="4"/>
  <c r="C72" i="4"/>
  <c r="B72" i="4"/>
  <c r="Q71" i="4"/>
  <c r="I71" i="4"/>
  <c r="C71" i="4"/>
  <c r="B71" i="4"/>
  <c r="Q70" i="4"/>
  <c r="I70" i="4"/>
  <c r="G70" i="4"/>
  <c r="C70" i="4"/>
  <c r="B70" i="4"/>
  <c r="Q69" i="4"/>
  <c r="I69" i="4"/>
  <c r="D69" i="4"/>
  <c r="C69" i="4"/>
  <c r="B69" i="4"/>
  <c r="Q68" i="4"/>
  <c r="I68" i="4"/>
  <c r="G68" i="4"/>
  <c r="C68" i="4"/>
  <c r="B68" i="4"/>
  <c r="Q67" i="4"/>
  <c r="I67" i="4"/>
  <c r="D67" i="4"/>
  <c r="C67" i="4"/>
  <c r="B67" i="4"/>
  <c r="Q66" i="4"/>
  <c r="I66" i="4"/>
  <c r="G66" i="4"/>
  <c r="C66" i="4"/>
  <c r="B66" i="4"/>
  <c r="Q65" i="4"/>
  <c r="I65" i="4"/>
  <c r="G65" i="4"/>
  <c r="C65" i="4"/>
  <c r="B65" i="4"/>
  <c r="Q64" i="4"/>
  <c r="I64" i="4"/>
  <c r="G64" i="4"/>
  <c r="C64" i="4"/>
  <c r="B64" i="4"/>
  <c r="Q63" i="4"/>
  <c r="I63" i="4"/>
  <c r="C63" i="4"/>
  <c r="B63" i="4"/>
  <c r="Q62" i="4"/>
  <c r="I62" i="4"/>
  <c r="C62" i="4"/>
  <c r="B62" i="4"/>
  <c r="Q61" i="4"/>
  <c r="I61" i="4"/>
  <c r="G61" i="4"/>
  <c r="C61" i="4"/>
  <c r="B61" i="4"/>
  <c r="Q60" i="4"/>
  <c r="I60" i="4"/>
  <c r="C60" i="4"/>
  <c r="B60" i="4"/>
  <c r="Q59" i="4"/>
  <c r="I59" i="4"/>
  <c r="D59" i="4"/>
  <c r="C59" i="4"/>
  <c r="B59" i="4"/>
  <c r="Q58" i="4"/>
  <c r="I58" i="4"/>
  <c r="C58" i="4"/>
  <c r="B58" i="4"/>
  <c r="Q57" i="4"/>
  <c r="I57" i="4"/>
  <c r="C57" i="4"/>
  <c r="B57" i="4"/>
  <c r="Q56" i="4"/>
  <c r="I56" i="4"/>
  <c r="C56" i="4"/>
  <c r="B56" i="4"/>
  <c r="Q55" i="4"/>
  <c r="I55" i="4"/>
  <c r="C55" i="4"/>
  <c r="B55" i="4"/>
  <c r="Q54" i="4"/>
  <c r="I54" i="4"/>
  <c r="D54" i="4"/>
  <c r="C54" i="4"/>
  <c r="B54" i="4"/>
  <c r="Q53" i="4"/>
  <c r="I53" i="4"/>
  <c r="C53" i="4"/>
  <c r="B53" i="4"/>
  <c r="Q52" i="4"/>
  <c r="I52" i="4"/>
  <c r="C52" i="4"/>
  <c r="B52" i="4"/>
  <c r="Q51" i="4"/>
  <c r="I51" i="4"/>
  <c r="D51" i="4"/>
  <c r="C51" i="4"/>
  <c r="B51" i="4"/>
  <c r="Q50" i="4"/>
  <c r="I50" i="4"/>
  <c r="C50" i="4"/>
  <c r="B50" i="4"/>
  <c r="Q49" i="4"/>
  <c r="I49" i="4"/>
  <c r="C49" i="4"/>
  <c r="B49" i="4"/>
  <c r="Q48" i="4"/>
  <c r="I48" i="4"/>
  <c r="E48" i="4"/>
  <c r="C48" i="4"/>
  <c r="B48" i="4"/>
  <c r="Q47" i="4"/>
  <c r="I47" i="4"/>
  <c r="C47" i="4"/>
  <c r="B47" i="4"/>
  <c r="Q46" i="4"/>
  <c r="I46" i="4"/>
  <c r="C46" i="4"/>
  <c r="B46" i="4"/>
  <c r="Q45" i="4"/>
  <c r="I45" i="4"/>
  <c r="D45" i="4"/>
  <c r="C45" i="4"/>
  <c r="B45" i="4"/>
  <c r="Q44" i="4"/>
  <c r="I44" i="4"/>
  <c r="C44" i="4"/>
  <c r="B44" i="4"/>
  <c r="Q43" i="4"/>
  <c r="I43" i="4"/>
  <c r="C43" i="4"/>
  <c r="B43" i="4"/>
  <c r="Q42" i="4"/>
  <c r="I42" i="4"/>
  <c r="D42" i="4"/>
  <c r="C42" i="4"/>
  <c r="B42" i="4"/>
  <c r="Q41" i="4"/>
  <c r="I41" i="4"/>
  <c r="C41" i="4"/>
  <c r="B41" i="4"/>
  <c r="Q40" i="4"/>
  <c r="I40" i="4"/>
  <c r="C40" i="4"/>
  <c r="B40" i="4"/>
  <c r="Q39" i="4"/>
  <c r="I39" i="4"/>
  <c r="C39" i="4"/>
  <c r="B39" i="4"/>
  <c r="Q38" i="4"/>
  <c r="I38" i="4"/>
  <c r="E38" i="4"/>
  <c r="C38" i="4"/>
  <c r="B38" i="4"/>
  <c r="Q37" i="4"/>
  <c r="I37" i="4"/>
  <c r="C37" i="4"/>
  <c r="B37" i="4"/>
  <c r="Q36" i="4"/>
  <c r="I36" i="4"/>
  <c r="C36" i="4"/>
  <c r="B36" i="4"/>
  <c r="Q35" i="4"/>
  <c r="I35" i="4"/>
  <c r="C35" i="4"/>
  <c r="B35" i="4"/>
  <c r="Q34" i="4"/>
  <c r="I34" i="4"/>
  <c r="C34" i="4"/>
  <c r="B34" i="4"/>
  <c r="Q33" i="4"/>
  <c r="I33" i="4"/>
  <c r="G33" i="4"/>
  <c r="C33" i="4"/>
  <c r="B33" i="4"/>
  <c r="Q32" i="4"/>
  <c r="I32" i="4"/>
  <c r="C32" i="4"/>
  <c r="B32" i="4"/>
  <c r="Q31" i="4"/>
  <c r="I31" i="4"/>
  <c r="C31" i="4"/>
  <c r="B31" i="4"/>
  <c r="Q30" i="4"/>
  <c r="I30" i="4"/>
  <c r="C30" i="4"/>
  <c r="B30" i="4"/>
  <c r="Q29" i="4"/>
  <c r="I29" i="4"/>
  <c r="C29" i="4"/>
  <c r="B29" i="4"/>
  <c r="Q28" i="4"/>
  <c r="I28" i="4"/>
  <c r="G28" i="4"/>
  <c r="C28" i="4"/>
  <c r="B28" i="4"/>
  <c r="Q27" i="4"/>
  <c r="I27" i="4"/>
  <c r="G27" i="4"/>
  <c r="C27" i="4"/>
  <c r="B27" i="4"/>
  <c r="Q26" i="4"/>
  <c r="I26" i="4"/>
  <c r="D26" i="4"/>
  <c r="C26" i="4"/>
  <c r="B26" i="4"/>
  <c r="Q25" i="4"/>
  <c r="I25" i="4"/>
  <c r="G25" i="4"/>
  <c r="C25" i="4"/>
  <c r="B25" i="4"/>
  <c r="Q24" i="4"/>
  <c r="I24" i="4"/>
  <c r="G24" i="4"/>
  <c r="C24" i="4"/>
  <c r="B24" i="4"/>
  <c r="Q23" i="4"/>
  <c r="I23" i="4"/>
  <c r="G23" i="4"/>
  <c r="C23" i="4"/>
  <c r="B23" i="4"/>
  <c r="Q22" i="4"/>
  <c r="I22" i="4"/>
  <c r="D22" i="4"/>
  <c r="C22" i="4"/>
  <c r="B22" i="4"/>
  <c r="Q21" i="4"/>
  <c r="I21" i="4"/>
  <c r="C21" i="4"/>
  <c r="B21" i="4"/>
  <c r="Q20" i="4"/>
  <c r="I20" i="4"/>
  <c r="C20" i="4"/>
  <c r="B20" i="4"/>
  <c r="Q19" i="4"/>
  <c r="I19" i="4"/>
  <c r="G19" i="4"/>
  <c r="C19" i="4"/>
  <c r="B19" i="4"/>
  <c r="Q18" i="4"/>
  <c r="I18" i="4"/>
  <c r="C18" i="4"/>
  <c r="B18" i="4"/>
  <c r="Q17" i="4"/>
  <c r="I17" i="4"/>
  <c r="G17" i="4"/>
  <c r="C17" i="4"/>
  <c r="B17" i="4"/>
  <c r="Q16" i="4"/>
  <c r="I16" i="4"/>
  <c r="C16" i="4"/>
  <c r="B16" i="4"/>
  <c r="Q15" i="4"/>
  <c r="I15" i="4"/>
  <c r="G15" i="4"/>
  <c r="C15" i="4"/>
  <c r="B15" i="4"/>
  <c r="Q14" i="4"/>
  <c r="I14" i="4"/>
  <c r="C14" i="4"/>
  <c r="B14" i="4"/>
  <c r="Q13" i="4"/>
  <c r="I13" i="4"/>
  <c r="C13" i="4"/>
  <c r="B13" i="4"/>
  <c r="Q12" i="4"/>
  <c r="I12" i="4"/>
  <c r="G12" i="4"/>
  <c r="C12" i="4"/>
  <c r="B12" i="4"/>
  <c r="Q11" i="4"/>
  <c r="I11" i="4"/>
  <c r="G11" i="4"/>
  <c r="C11" i="4"/>
  <c r="B11" i="4"/>
  <c r="Q10" i="4"/>
  <c r="I10" i="4"/>
  <c r="D10" i="4"/>
  <c r="C10" i="4"/>
  <c r="B10" i="4"/>
  <c r="Q9" i="4"/>
  <c r="I9" i="4"/>
  <c r="G9" i="4"/>
  <c r="C9" i="4"/>
  <c r="B9" i="4"/>
  <c r="Q8" i="4"/>
  <c r="I8" i="4"/>
  <c r="G8" i="4"/>
  <c r="C8" i="4"/>
  <c r="B8" i="4"/>
  <c r="Q7" i="4"/>
  <c r="I7" i="4"/>
  <c r="G7" i="4"/>
  <c r="C7" i="4"/>
  <c r="B7" i="4"/>
  <c r="Q6" i="4"/>
  <c r="I6" i="4"/>
  <c r="D6" i="4"/>
  <c r="C6" i="4"/>
  <c r="B6" i="4"/>
  <c r="Q5" i="4"/>
  <c r="I5" i="4"/>
  <c r="C5" i="4"/>
  <c r="B5" i="4"/>
  <c r="H5" i="3"/>
  <c r="G5" i="3" s="1"/>
  <c r="H6" i="3"/>
  <c r="G6" i="3" s="1"/>
  <c r="H7" i="3"/>
  <c r="G7" i="3" s="1"/>
  <c r="H8" i="3"/>
  <c r="G8" i="3" s="1"/>
  <c r="H9" i="3"/>
  <c r="G9" i="3" s="1"/>
  <c r="H10" i="3"/>
  <c r="G10" i="3" s="1"/>
  <c r="H11" i="3"/>
  <c r="G11" i="3" s="1"/>
  <c r="H12" i="3"/>
  <c r="G12" i="3" s="1"/>
  <c r="H13" i="3"/>
  <c r="G13" i="3" s="1"/>
  <c r="H14" i="3"/>
  <c r="G14" i="3" s="1"/>
  <c r="H15" i="3"/>
  <c r="G15" i="3" s="1"/>
  <c r="H16" i="3"/>
  <c r="G16" i="3" s="1"/>
  <c r="H17" i="3"/>
  <c r="G17" i="3" s="1"/>
  <c r="H18" i="3"/>
  <c r="G18" i="3" s="1"/>
  <c r="H19" i="3"/>
  <c r="G19" i="3" s="1"/>
  <c r="H20" i="3"/>
  <c r="G20" i="3" s="1"/>
  <c r="H21" i="3"/>
  <c r="G21" i="3" s="1"/>
  <c r="H22" i="3"/>
  <c r="G22" i="3" s="1"/>
  <c r="H23" i="3"/>
  <c r="G23" i="3" s="1"/>
  <c r="H24" i="3"/>
  <c r="G24" i="3" s="1"/>
  <c r="H25" i="3"/>
  <c r="G25" i="3" s="1"/>
  <c r="H26" i="3"/>
  <c r="G26" i="3" s="1"/>
  <c r="H27" i="3"/>
  <c r="G27" i="3" s="1"/>
  <c r="H28" i="3"/>
  <c r="G28" i="3" s="1"/>
  <c r="H29" i="3"/>
  <c r="G29" i="3" s="1"/>
  <c r="H30" i="3"/>
  <c r="G30" i="3" s="1"/>
  <c r="H31" i="3"/>
  <c r="G31" i="3" s="1"/>
  <c r="H32" i="3"/>
  <c r="G32" i="3" s="1"/>
  <c r="H33" i="3"/>
  <c r="G33" i="3" s="1"/>
  <c r="H34" i="3"/>
  <c r="G34" i="3" s="1"/>
  <c r="H35" i="3"/>
  <c r="G35" i="3" s="1"/>
  <c r="H36" i="3"/>
  <c r="G36" i="3" s="1"/>
  <c r="H37" i="3"/>
  <c r="G37" i="3" s="1"/>
  <c r="H38" i="3"/>
  <c r="G38" i="3" s="1"/>
  <c r="H39" i="3"/>
  <c r="G39" i="3" s="1"/>
  <c r="H40" i="3"/>
  <c r="G40" i="3" s="1"/>
  <c r="H41" i="3"/>
  <c r="G41" i="3" s="1"/>
  <c r="H42" i="3"/>
  <c r="G42" i="3" s="1"/>
  <c r="H43" i="3"/>
  <c r="G43" i="3" s="1"/>
  <c r="H44" i="3"/>
  <c r="G44" i="3" s="1"/>
  <c r="H45" i="3"/>
  <c r="G45" i="3" s="1"/>
  <c r="H46" i="3"/>
  <c r="G46" i="3" s="1"/>
  <c r="H47" i="3"/>
  <c r="G47" i="3" s="1"/>
  <c r="H48" i="3"/>
  <c r="G48" i="3" s="1"/>
  <c r="H49" i="3"/>
  <c r="G49" i="3" s="1"/>
  <c r="H50" i="3"/>
  <c r="G50" i="3" s="1"/>
  <c r="H51" i="3"/>
  <c r="G51" i="3" s="1"/>
  <c r="H52" i="3"/>
  <c r="G52" i="3" s="1"/>
  <c r="H53" i="3"/>
  <c r="G53" i="3" s="1"/>
  <c r="H54" i="3"/>
  <c r="G54" i="3" s="1"/>
  <c r="H55" i="3"/>
  <c r="G55" i="3" s="1"/>
  <c r="H56" i="3"/>
  <c r="G56" i="3" s="1"/>
  <c r="H57" i="3"/>
  <c r="G57" i="3" s="1"/>
  <c r="H58" i="3"/>
  <c r="G58" i="3" s="1"/>
  <c r="H59" i="3"/>
  <c r="G59" i="3" s="1"/>
  <c r="H60" i="3"/>
  <c r="G60" i="3" s="1"/>
  <c r="H61" i="3"/>
  <c r="G61" i="3" s="1"/>
  <c r="H62" i="3"/>
  <c r="G62" i="3" s="1"/>
  <c r="H63" i="3"/>
  <c r="G63" i="3" s="1"/>
  <c r="H64" i="3"/>
  <c r="G64" i="3" s="1"/>
  <c r="H65" i="3"/>
  <c r="G65" i="3" s="1"/>
  <c r="H66" i="3"/>
  <c r="G66" i="3" s="1"/>
  <c r="H67" i="3"/>
  <c r="G67" i="3" s="1"/>
  <c r="H68" i="3"/>
  <c r="G68" i="3" s="1"/>
  <c r="H69" i="3"/>
  <c r="G69" i="3" s="1"/>
  <c r="H70" i="3"/>
  <c r="G70" i="3" s="1"/>
  <c r="H71" i="3"/>
  <c r="G71" i="3" s="1"/>
  <c r="H72" i="3"/>
  <c r="G72" i="3" s="1"/>
  <c r="H73" i="3"/>
  <c r="G73" i="3" s="1"/>
  <c r="H74" i="3"/>
  <c r="G74" i="3" s="1"/>
  <c r="H75" i="3"/>
  <c r="G75" i="3" s="1"/>
  <c r="H76" i="3"/>
  <c r="G76" i="3" s="1"/>
  <c r="H77" i="3"/>
  <c r="G77" i="3" s="1"/>
  <c r="H78" i="3"/>
  <c r="G78" i="3" s="1"/>
  <c r="H79" i="3"/>
  <c r="G79" i="3" s="1"/>
  <c r="H80" i="3"/>
  <c r="G80" i="3" s="1"/>
  <c r="H81" i="3"/>
  <c r="G81" i="3" s="1"/>
  <c r="H82" i="3"/>
  <c r="G82" i="3" s="1"/>
  <c r="H83" i="3"/>
  <c r="G83" i="3" s="1"/>
  <c r="H84" i="3"/>
  <c r="G84" i="3" s="1"/>
  <c r="H85" i="3"/>
  <c r="G85" i="3" s="1"/>
  <c r="H86" i="3"/>
  <c r="G86" i="3" s="1"/>
  <c r="H87" i="3"/>
  <c r="G87" i="3" s="1"/>
  <c r="H88" i="3"/>
  <c r="G88" i="3" s="1"/>
  <c r="H89" i="3"/>
  <c r="G89" i="3" s="1"/>
  <c r="H90" i="3"/>
  <c r="G90" i="3" s="1"/>
  <c r="H91" i="3"/>
  <c r="G91" i="3" s="1"/>
  <c r="H92" i="3"/>
  <c r="G92" i="3" s="1"/>
  <c r="H93" i="3"/>
  <c r="G93" i="3" s="1"/>
  <c r="H94" i="3"/>
  <c r="G94" i="3" s="1"/>
  <c r="H95" i="3"/>
  <c r="G95" i="3" s="1"/>
  <c r="H96" i="3"/>
  <c r="G96" i="3" s="1"/>
  <c r="H97" i="3"/>
  <c r="G97" i="3" s="1"/>
  <c r="H98" i="3"/>
  <c r="G98" i="3" s="1"/>
  <c r="H99" i="3"/>
  <c r="G99" i="3" s="1"/>
  <c r="H100" i="3"/>
  <c r="G100" i="3" s="1"/>
  <c r="H101" i="3"/>
  <c r="G101" i="3" s="1"/>
  <c r="H102" i="3"/>
  <c r="G102" i="3" s="1"/>
  <c r="H103" i="3"/>
  <c r="G103" i="3" s="1"/>
  <c r="H104" i="3"/>
  <c r="G104" i="3" s="1"/>
  <c r="H105" i="3"/>
  <c r="G105" i="3" s="1"/>
  <c r="H106" i="3"/>
  <c r="G106" i="3" s="1"/>
  <c r="H107" i="3"/>
  <c r="G107" i="3" s="1"/>
  <c r="H108" i="3"/>
  <c r="G108" i="3" s="1"/>
  <c r="H109" i="3"/>
  <c r="G109" i="3" s="1"/>
  <c r="H110" i="3"/>
  <c r="G110" i="3" s="1"/>
  <c r="H111" i="3"/>
  <c r="G111" i="3" s="1"/>
  <c r="H112" i="3"/>
  <c r="G112" i="3" s="1"/>
  <c r="H113" i="3"/>
  <c r="G113" i="3" s="1"/>
  <c r="H114" i="3"/>
  <c r="G114" i="3" s="1"/>
  <c r="H115" i="3"/>
  <c r="G115" i="3" s="1"/>
  <c r="H116" i="3"/>
  <c r="G116" i="3" s="1"/>
  <c r="H117" i="3"/>
  <c r="G117" i="3" s="1"/>
  <c r="H118" i="3"/>
  <c r="G118" i="3" s="1"/>
  <c r="H119" i="3"/>
  <c r="G119" i="3" s="1"/>
  <c r="H120" i="3"/>
  <c r="G120" i="3" s="1"/>
  <c r="H121" i="3"/>
  <c r="G121" i="3" s="1"/>
  <c r="H122" i="3"/>
  <c r="G122" i="3" s="1"/>
  <c r="H123" i="3"/>
  <c r="G123" i="3" s="1"/>
  <c r="H124" i="3"/>
  <c r="G124" i="3" s="1"/>
  <c r="H125" i="3"/>
  <c r="G125" i="3" s="1"/>
  <c r="H126" i="3"/>
  <c r="G126" i="3" s="1"/>
  <c r="H127" i="3"/>
  <c r="G127" i="3" s="1"/>
  <c r="H128" i="3"/>
  <c r="G128" i="3" s="1"/>
  <c r="H129" i="3"/>
  <c r="G129" i="3" s="1"/>
  <c r="H130" i="3"/>
  <c r="G130" i="3" s="1"/>
  <c r="H131" i="3"/>
  <c r="G131" i="3" s="1"/>
  <c r="H132" i="3"/>
  <c r="G132" i="3" s="1"/>
  <c r="H133" i="3"/>
  <c r="G133" i="3" s="1"/>
  <c r="H134" i="3"/>
  <c r="G134" i="3" s="1"/>
  <c r="H135" i="3"/>
  <c r="G135" i="3" s="1"/>
  <c r="H136" i="3"/>
  <c r="G136" i="3" s="1"/>
  <c r="H137" i="3"/>
  <c r="G137" i="3" s="1"/>
  <c r="H138" i="3"/>
  <c r="G138" i="3" s="1"/>
  <c r="H139" i="3"/>
  <c r="G139" i="3" s="1"/>
  <c r="H140" i="3"/>
  <c r="G140" i="3" s="1"/>
  <c r="H141" i="3"/>
  <c r="G141" i="3" s="1"/>
  <c r="H142" i="3"/>
  <c r="G142" i="3" s="1"/>
  <c r="H143" i="3"/>
  <c r="G143" i="3" s="1"/>
  <c r="H144" i="3"/>
  <c r="G144" i="3" s="1"/>
  <c r="H145" i="3"/>
  <c r="G145" i="3" s="1"/>
  <c r="H146" i="3"/>
  <c r="G146" i="3" s="1"/>
  <c r="H147" i="3"/>
  <c r="G147" i="3" s="1"/>
  <c r="H148" i="3"/>
  <c r="G148" i="3" s="1"/>
  <c r="H149" i="3"/>
  <c r="G149" i="3" s="1"/>
  <c r="H150" i="3"/>
  <c r="G150" i="3" s="1"/>
  <c r="H151" i="3"/>
  <c r="G151" i="3" s="1"/>
  <c r="H152" i="3"/>
  <c r="G152" i="3" s="1"/>
  <c r="H153" i="3"/>
  <c r="G153" i="3" s="1"/>
  <c r="H154" i="3"/>
  <c r="G154" i="3" s="1"/>
  <c r="H155" i="3"/>
  <c r="G155" i="3" s="1"/>
  <c r="H156" i="3"/>
  <c r="G156" i="3" s="1"/>
  <c r="H157" i="3"/>
  <c r="G157" i="3" s="1"/>
  <c r="H158" i="3"/>
  <c r="G158" i="3" s="1"/>
  <c r="H159" i="3"/>
  <c r="G159" i="3" s="1"/>
  <c r="H160" i="3"/>
  <c r="G160" i="3" s="1"/>
  <c r="H161" i="3"/>
  <c r="G161" i="3" s="1"/>
  <c r="H162" i="3"/>
  <c r="G162" i="3" s="1"/>
  <c r="H163" i="3"/>
  <c r="G163" i="3" s="1"/>
  <c r="H164" i="3"/>
  <c r="G164" i="3" s="1"/>
  <c r="H165" i="3"/>
  <c r="G165" i="3" s="1"/>
  <c r="H166" i="3"/>
  <c r="G166" i="3" s="1"/>
  <c r="H167" i="3"/>
  <c r="G167" i="3" s="1"/>
  <c r="H168" i="3"/>
  <c r="G168" i="3" s="1"/>
  <c r="H169" i="3"/>
  <c r="G169" i="3" s="1"/>
  <c r="H170" i="3"/>
  <c r="G170" i="3" s="1"/>
  <c r="H171" i="3"/>
  <c r="G171" i="3" s="1"/>
  <c r="H172" i="3"/>
  <c r="G172" i="3" s="1"/>
  <c r="H173" i="3"/>
  <c r="G173" i="3" s="1"/>
  <c r="H174" i="3"/>
  <c r="G174" i="3" s="1"/>
  <c r="H175" i="3"/>
  <c r="G175" i="3" s="1"/>
  <c r="H176" i="3"/>
  <c r="G176" i="3" s="1"/>
  <c r="H177" i="3"/>
  <c r="G177" i="3" s="1"/>
  <c r="H178" i="3"/>
  <c r="G178" i="3" s="1"/>
  <c r="H179" i="3"/>
  <c r="G179" i="3" s="1"/>
  <c r="H180" i="3"/>
  <c r="G180" i="3" s="1"/>
  <c r="H181" i="3"/>
  <c r="G181" i="3" s="1"/>
  <c r="H182" i="3"/>
  <c r="G182" i="3" s="1"/>
  <c r="H183" i="3"/>
  <c r="G183" i="3" s="1"/>
  <c r="H184" i="3"/>
  <c r="G184" i="3" s="1"/>
  <c r="H185" i="3"/>
  <c r="G185" i="3" s="1"/>
  <c r="H186" i="3"/>
  <c r="G186" i="3" s="1"/>
  <c r="H187" i="3"/>
  <c r="G187" i="3" s="1"/>
  <c r="H188" i="3"/>
  <c r="G188" i="3" s="1"/>
  <c r="H189" i="3"/>
  <c r="G189" i="3" s="1"/>
  <c r="H190" i="3"/>
  <c r="G190" i="3" s="1"/>
  <c r="H191" i="3"/>
  <c r="G191" i="3" s="1"/>
  <c r="H192" i="3"/>
  <c r="G192" i="3" s="1"/>
  <c r="H193" i="3"/>
  <c r="G193" i="3" s="1"/>
  <c r="H194" i="3"/>
  <c r="G194" i="3" s="1"/>
  <c r="H195" i="3"/>
  <c r="G195" i="3" s="1"/>
  <c r="H196" i="3"/>
  <c r="G196" i="3" s="1"/>
  <c r="H197" i="3"/>
  <c r="G197" i="3" s="1"/>
  <c r="H198" i="3"/>
  <c r="G198" i="3" s="1"/>
  <c r="H199" i="3"/>
  <c r="G199" i="3" s="1"/>
  <c r="H200" i="3"/>
  <c r="G200" i="3" s="1"/>
  <c r="H201" i="3"/>
  <c r="G201" i="3" s="1"/>
  <c r="H202" i="3"/>
  <c r="G202" i="3" s="1"/>
  <c r="H203" i="3"/>
  <c r="G203" i="3" s="1"/>
  <c r="H204" i="3"/>
  <c r="G204" i="3" s="1"/>
  <c r="H205" i="3"/>
  <c r="G205" i="3" s="1"/>
  <c r="H206" i="3"/>
  <c r="G206" i="3" s="1"/>
  <c r="H207" i="3"/>
  <c r="G207" i="3" s="1"/>
  <c r="H208" i="3"/>
  <c r="G208" i="3" s="1"/>
  <c r="H209" i="3"/>
  <c r="G209" i="3" s="1"/>
  <c r="H210" i="3"/>
  <c r="G210" i="3" s="1"/>
  <c r="H211" i="3"/>
  <c r="G211" i="3" s="1"/>
  <c r="H212" i="3"/>
  <c r="G212" i="3" s="1"/>
  <c r="H213" i="3"/>
  <c r="G213" i="3" s="1"/>
  <c r="H214" i="3"/>
  <c r="G214" i="3" s="1"/>
  <c r="H215" i="3"/>
  <c r="G215" i="3" s="1"/>
  <c r="H216" i="3"/>
  <c r="G216" i="3" s="1"/>
  <c r="H217" i="3"/>
  <c r="G217" i="3" s="1"/>
  <c r="H218" i="3"/>
  <c r="G218" i="3" s="1"/>
  <c r="H219" i="3"/>
  <c r="G219" i="3" s="1"/>
  <c r="H220" i="3"/>
  <c r="G220" i="3" s="1"/>
  <c r="H221" i="3"/>
  <c r="G221" i="3" s="1"/>
  <c r="H222" i="3"/>
  <c r="G222" i="3" s="1"/>
  <c r="H223" i="3"/>
  <c r="G223" i="3" s="1"/>
  <c r="H224" i="3"/>
  <c r="G224" i="3" s="1"/>
  <c r="H225" i="3"/>
  <c r="G225" i="3" s="1"/>
  <c r="H226" i="3"/>
  <c r="G226" i="3" s="1"/>
  <c r="H227" i="3"/>
  <c r="G227" i="3" s="1"/>
  <c r="H228" i="3"/>
  <c r="G228" i="3" s="1"/>
  <c r="G226" i="4" l="1"/>
  <c r="D34" i="4"/>
  <c r="D60" i="4"/>
  <c r="E74" i="4"/>
  <c r="D80" i="4"/>
  <c r="D90" i="4"/>
  <c r="G96" i="4"/>
  <c r="G100" i="4"/>
  <c r="D112" i="4"/>
  <c r="E158" i="4"/>
  <c r="G172" i="4"/>
  <c r="E186" i="4"/>
  <c r="E200" i="4"/>
  <c r="E206" i="4"/>
  <c r="E32" i="4"/>
  <c r="E58" i="4"/>
  <c r="E62" i="4"/>
  <c r="D72" i="4"/>
  <c r="E82" i="4"/>
  <c r="G88" i="4"/>
  <c r="D98" i="4"/>
  <c r="G116" i="4"/>
  <c r="D128" i="4"/>
  <c r="G134" i="4"/>
  <c r="E150" i="4"/>
  <c r="G164" i="4"/>
  <c r="E178" i="4"/>
  <c r="G192" i="4"/>
  <c r="D204" i="4"/>
  <c r="D210" i="4"/>
  <c r="D224" i="4"/>
  <c r="G224" i="4"/>
  <c r="D220" i="4"/>
  <c r="E220" i="4"/>
  <c r="E216" i="4"/>
  <c r="D216" i="4"/>
  <c r="D212" i="4"/>
  <c r="E212" i="4"/>
  <c r="E208" i="4"/>
  <c r="D208" i="4"/>
  <c r="E140" i="4"/>
  <c r="D140" i="4"/>
  <c r="G136" i="4"/>
  <c r="D136" i="4"/>
  <c r="D132" i="4"/>
  <c r="G132" i="4"/>
  <c r="D92" i="4"/>
  <c r="G92" i="4"/>
  <c r="G84" i="4"/>
  <c r="D84" i="4"/>
  <c r="E76" i="4"/>
  <c r="D76" i="4"/>
  <c r="D68" i="4"/>
  <c r="E68" i="4"/>
  <c r="D64" i="4"/>
  <c r="E64" i="4"/>
  <c r="E56" i="4"/>
  <c r="D56" i="4"/>
  <c r="D52" i="4"/>
  <c r="E52" i="4"/>
  <c r="E44" i="4"/>
  <c r="D44" i="4"/>
  <c r="D40" i="4"/>
  <c r="E40" i="4"/>
  <c r="E36" i="4"/>
  <c r="D36" i="4"/>
  <c r="D20" i="4"/>
  <c r="G20" i="4"/>
  <c r="D16" i="4"/>
  <c r="G16" i="4"/>
  <c r="D8" i="4"/>
  <c r="G10" i="4"/>
  <c r="G22" i="4"/>
  <c r="D28" i="4"/>
  <c r="D32" i="4"/>
  <c r="G36" i="4"/>
  <c r="E42" i="4"/>
  <c r="G56" i="4"/>
  <c r="E60" i="4"/>
  <c r="D62" i="4"/>
  <c r="E72" i="4"/>
  <c r="D74" i="4"/>
  <c r="E80" i="4"/>
  <c r="D82" i="4"/>
  <c r="D88" i="4"/>
  <c r="G90" i="4"/>
  <c r="D96" i="4"/>
  <c r="G98" i="4"/>
  <c r="D108" i="4"/>
  <c r="G112" i="4"/>
  <c r="D124" i="4"/>
  <c r="G128" i="4"/>
  <c r="D134" i="4"/>
  <c r="D138" i="4"/>
  <c r="E148" i="4"/>
  <c r="E156" i="4"/>
  <c r="G162" i="4"/>
  <c r="G170" i="4"/>
  <c r="E176" i="4"/>
  <c r="E184" i="4"/>
  <c r="G190" i="4"/>
  <c r="E204" i="4"/>
  <c r="D206" i="4"/>
  <c r="G212" i="4"/>
  <c r="E218" i="4"/>
  <c r="E224" i="4"/>
  <c r="D222" i="4"/>
  <c r="E222" i="4"/>
  <c r="D202" i="4"/>
  <c r="E202" i="4"/>
  <c r="E198" i="4"/>
  <c r="D198" i="4"/>
  <c r="D130" i="4"/>
  <c r="G130" i="4"/>
  <c r="G126" i="4"/>
  <c r="D126" i="4"/>
  <c r="D122" i="4"/>
  <c r="G122" i="4"/>
  <c r="G118" i="4"/>
  <c r="D118" i="4"/>
  <c r="D114" i="4"/>
  <c r="G114" i="4"/>
  <c r="G110" i="4"/>
  <c r="D110" i="4"/>
  <c r="D106" i="4"/>
  <c r="G106" i="4"/>
  <c r="G102" i="4"/>
  <c r="D102" i="4"/>
  <c r="D94" i="4"/>
  <c r="G94" i="4"/>
  <c r="G86" i="4"/>
  <c r="D86" i="4"/>
  <c r="E78" i="4"/>
  <c r="D78" i="4"/>
  <c r="D70" i="4"/>
  <c r="E70" i="4"/>
  <c r="D66" i="4"/>
  <c r="E66" i="4"/>
  <c r="D50" i="4"/>
  <c r="E50" i="4"/>
  <c r="E46" i="4"/>
  <c r="D46" i="4"/>
  <c r="D30" i="4"/>
  <c r="E30" i="4"/>
  <c r="D18" i="4"/>
  <c r="G18" i="4"/>
  <c r="D14" i="4"/>
  <c r="G14" i="4"/>
  <c r="G6" i="4"/>
  <c r="D12" i="4"/>
  <c r="E16" i="4"/>
  <c r="E20" i="4"/>
  <c r="D24" i="4"/>
  <c r="G26" i="4"/>
  <c r="G30" i="4"/>
  <c r="E34" i="4"/>
  <c r="D38" i="4"/>
  <c r="G44" i="4"/>
  <c r="D48" i="4"/>
  <c r="E54" i="4"/>
  <c r="D58" i="4"/>
  <c r="D100" i="4"/>
  <c r="G104" i="4"/>
  <c r="E110" i="4"/>
  <c r="D116" i="4"/>
  <c r="G120" i="4"/>
  <c r="E126" i="4"/>
  <c r="E136" i="4"/>
  <c r="E152" i="4"/>
  <c r="E160" i="4"/>
  <c r="G166" i="4"/>
  <c r="G174" i="4"/>
  <c r="E180" i="4"/>
  <c r="E188" i="4"/>
  <c r="G194" i="4"/>
  <c r="D200" i="4"/>
  <c r="E210" i="4"/>
  <c r="D214" i="4"/>
  <c r="G220" i="4"/>
  <c r="D226" i="4"/>
  <c r="E5" i="4"/>
  <c r="D9" i="4"/>
  <c r="E13" i="4"/>
  <c r="D17" i="4"/>
  <c r="E21" i="4"/>
  <c r="D25" i="4"/>
  <c r="G53" i="4"/>
  <c r="G57" i="4"/>
  <c r="G133" i="4"/>
  <c r="G137" i="4"/>
  <c r="D5" i="4"/>
  <c r="D13" i="4"/>
  <c r="D21" i="4"/>
  <c r="D101" i="4"/>
  <c r="D105" i="4"/>
  <c r="D109" i="4"/>
  <c r="D113" i="4"/>
  <c r="D117" i="4"/>
  <c r="D121" i="4"/>
  <c r="D125" i="4"/>
  <c r="D129" i="4"/>
  <c r="E225" i="4"/>
  <c r="D75" i="4"/>
  <c r="D107" i="4"/>
  <c r="D139" i="4"/>
  <c r="D83" i="4"/>
  <c r="D115" i="4"/>
  <c r="D91" i="4"/>
  <c r="D123" i="4"/>
  <c r="E7" i="4"/>
  <c r="E11" i="4"/>
  <c r="E15" i="4"/>
  <c r="E19" i="4"/>
  <c r="E23" i="4"/>
  <c r="E27" i="4"/>
  <c r="D31" i="4"/>
  <c r="D55" i="4"/>
  <c r="D63" i="4"/>
  <c r="D71" i="4"/>
  <c r="D79" i="4"/>
  <c r="D87" i="4"/>
  <c r="D95" i="4"/>
  <c r="D103" i="4"/>
  <c r="D111" i="4"/>
  <c r="D119" i="4"/>
  <c r="D127" i="4"/>
  <c r="D135" i="4"/>
  <c r="D223" i="4"/>
  <c r="D228" i="4"/>
  <c r="E228" i="4"/>
  <c r="E147" i="4"/>
  <c r="D147" i="4"/>
  <c r="G147" i="4"/>
  <c r="E31" i="4"/>
  <c r="G35" i="4"/>
  <c r="E35" i="4"/>
  <c r="G43" i="4"/>
  <c r="E43" i="4"/>
  <c r="G41" i="4"/>
  <c r="E41" i="4"/>
  <c r="G49" i="4"/>
  <c r="E49" i="4"/>
  <c r="D29" i="4"/>
  <c r="D33" i="4"/>
  <c r="G37" i="4"/>
  <c r="E37" i="4"/>
  <c r="G45" i="4"/>
  <c r="E45" i="4"/>
  <c r="E29" i="4"/>
  <c r="E33" i="4"/>
  <c r="G39" i="4"/>
  <c r="E39" i="4"/>
  <c r="D41" i="4"/>
  <c r="G47" i="4"/>
  <c r="E47" i="4"/>
  <c r="D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81" i="4"/>
  <c r="E83" i="4"/>
  <c r="E85" i="4"/>
  <c r="E87" i="4"/>
  <c r="E89" i="4"/>
  <c r="E91" i="4"/>
  <c r="E93" i="4"/>
  <c r="E95" i="4"/>
  <c r="E97" i="4"/>
  <c r="E99" i="4"/>
  <c r="E101" i="4"/>
  <c r="E103" i="4"/>
  <c r="E105" i="4"/>
  <c r="E107" i="4"/>
  <c r="E109" i="4"/>
  <c r="E111" i="4"/>
  <c r="E113" i="4"/>
  <c r="E115" i="4"/>
  <c r="E117" i="4"/>
  <c r="E119" i="4"/>
  <c r="E121" i="4"/>
  <c r="E123" i="4"/>
  <c r="E125" i="4"/>
  <c r="E127" i="4"/>
  <c r="E129" i="4"/>
  <c r="E131" i="4"/>
  <c r="E133" i="4"/>
  <c r="E135" i="4"/>
  <c r="E137" i="4"/>
  <c r="E139" i="4"/>
  <c r="D141" i="4"/>
  <c r="G141" i="4"/>
  <c r="G142" i="4"/>
  <c r="D142" i="4"/>
  <c r="D143" i="4"/>
  <c r="G143" i="4"/>
  <c r="G144" i="4"/>
  <c r="D144" i="4"/>
  <c r="D145" i="4"/>
  <c r="G145" i="4"/>
  <c r="E149" i="4"/>
  <c r="D149" i="4"/>
  <c r="G149" i="4"/>
  <c r="D146" i="4"/>
  <c r="D148" i="4"/>
  <c r="D150" i="4"/>
  <c r="G151" i="4"/>
  <c r="D152" i="4"/>
  <c r="G153" i="4"/>
  <c r="D154" i="4"/>
  <c r="G155" i="4"/>
  <c r="D156" i="4"/>
  <c r="G157" i="4"/>
  <c r="D158" i="4"/>
  <c r="G159" i="4"/>
  <c r="D160" i="4"/>
  <c r="G161" i="4"/>
  <c r="D162" i="4"/>
  <c r="G163" i="4"/>
  <c r="D164" i="4"/>
  <c r="G165" i="4"/>
  <c r="D166" i="4"/>
  <c r="G167" i="4"/>
  <c r="D168" i="4"/>
  <c r="G169" i="4"/>
  <c r="D170" i="4"/>
  <c r="G171" i="4"/>
  <c r="D172" i="4"/>
  <c r="G173" i="4"/>
  <c r="D174" i="4"/>
  <c r="G175" i="4"/>
  <c r="D176" i="4"/>
  <c r="G177" i="4"/>
  <c r="D178" i="4"/>
  <c r="G179" i="4"/>
  <c r="D180" i="4"/>
  <c r="G181" i="4"/>
  <c r="D182" i="4"/>
  <c r="G183" i="4"/>
  <c r="D184" i="4"/>
  <c r="G185" i="4"/>
  <c r="D186" i="4"/>
  <c r="G187" i="4"/>
  <c r="D188" i="4"/>
  <c r="G189" i="4"/>
  <c r="D190" i="4"/>
  <c r="G191" i="4"/>
  <c r="D192" i="4"/>
  <c r="G193" i="4"/>
  <c r="D194" i="4"/>
  <c r="G195" i="4"/>
  <c r="D196" i="4"/>
  <c r="G197" i="4"/>
  <c r="G199" i="4"/>
  <c r="G201" i="4"/>
  <c r="G203" i="4"/>
  <c r="G205" i="4"/>
  <c r="G207" i="4"/>
  <c r="G209" i="4"/>
  <c r="G211" i="4"/>
  <c r="G213" i="4"/>
  <c r="G215" i="4"/>
  <c r="G217" i="4"/>
  <c r="G219" i="4"/>
  <c r="G221" i="4"/>
  <c r="G223" i="4"/>
  <c r="G225" i="4"/>
  <c r="G227" i="4"/>
  <c r="D151" i="4"/>
  <c r="D153" i="4"/>
  <c r="D155" i="4"/>
  <c r="D157" i="4"/>
  <c r="D159" i="4"/>
  <c r="D161" i="4"/>
  <c r="D163" i="4"/>
  <c r="D165" i="4"/>
  <c r="D167" i="4"/>
  <c r="D169" i="4"/>
  <c r="D171" i="4"/>
  <c r="D173" i="4"/>
  <c r="D175" i="4"/>
  <c r="D177" i="4"/>
  <c r="D179" i="4"/>
  <c r="D181" i="4"/>
  <c r="D183" i="4"/>
  <c r="D185" i="4"/>
  <c r="D187" i="4"/>
  <c r="D189" i="4"/>
  <c r="D191" i="4"/>
  <c r="D193" i="4"/>
  <c r="D195" i="4"/>
  <c r="D197" i="4"/>
  <c r="D199" i="4"/>
  <c r="D201" i="4"/>
  <c r="D203" i="4"/>
  <c r="D205" i="4"/>
  <c r="D207" i="4"/>
  <c r="D209" i="4"/>
  <c r="D211" i="4"/>
  <c r="D213" i="4"/>
  <c r="D215" i="4"/>
  <c r="D217" i="4"/>
  <c r="D219" i="4"/>
  <c r="B66" i="1"/>
  <c r="Q5" i="3" l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D228" i="3" l="1"/>
  <c r="D216" i="3"/>
  <c r="D204" i="3"/>
  <c r="D192" i="3"/>
  <c r="D180" i="3"/>
  <c r="D172" i="3"/>
  <c r="D160" i="3"/>
  <c r="D148" i="3"/>
  <c r="D136" i="3"/>
  <c r="D124" i="3"/>
  <c r="D108" i="3"/>
  <c r="D100" i="3"/>
  <c r="D88" i="3"/>
  <c r="D72" i="3"/>
  <c r="D56" i="3"/>
  <c r="D40" i="3"/>
  <c r="D28" i="3"/>
  <c r="D20" i="3"/>
  <c r="D8" i="3"/>
  <c r="D227" i="3"/>
  <c r="D223" i="3"/>
  <c r="D219" i="3"/>
  <c r="D215" i="3"/>
  <c r="D211" i="3"/>
  <c r="D207" i="3"/>
  <c r="D203" i="3"/>
  <c r="D199" i="3"/>
  <c r="D195" i="3"/>
  <c r="D191" i="3"/>
  <c r="D187" i="3"/>
  <c r="D183" i="3"/>
  <c r="D179" i="3"/>
  <c r="D175" i="3"/>
  <c r="D171" i="3"/>
  <c r="D167" i="3"/>
  <c r="D163" i="3"/>
  <c r="D159" i="3"/>
  <c r="D155" i="3"/>
  <c r="D151" i="3"/>
  <c r="D147" i="3"/>
  <c r="D143" i="3"/>
  <c r="D139" i="3"/>
  <c r="D135" i="3"/>
  <c r="D131" i="3"/>
  <c r="D127" i="3"/>
  <c r="D123" i="3"/>
  <c r="D119" i="3"/>
  <c r="D115" i="3"/>
  <c r="D111" i="3"/>
  <c r="D107" i="3"/>
  <c r="D103" i="3"/>
  <c r="D99" i="3"/>
  <c r="D95" i="3"/>
  <c r="D91" i="3"/>
  <c r="D87" i="3"/>
  <c r="D83" i="3"/>
  <c r="D79" i="3"/>
  <c r="D75" i="3"/>
  <c r="D71" i="3"/>
  <c r="D67" i="3"/>
  <c r="D63" i="3"/>
  <c r="D59" i="3"/>
  <c r="D55" i="3"/>
  <c r="D51" i="3"/>
  <c r="D47" i="3"/>
  <c r="D43" i="3"/>
  <c r="D39" i="3"/>
  <c r="D35" i="3"/>
  <c r="D31" i="3"/>
  <c r="D27" i="3"/>
  <c r="D23" i="3"/>
  <c r="D19" i="3"/>
  <c r="D15" i="3"/>
  <c r="D11" i="3"/>
  <c r="D7" i="3"/>
  <c r="D224" i="3"/>
  <c r="D208" i="3"/>
  <c r="D196" i="3"/>
  <c r="D188" i="3"/>
  <c r="D176" i="3"/>
  <c r="D164" i="3"/>
  <c r="D156" i="3"/>
  <c r="D144" i="3"/>
  <c r="D128" i="3"/>
  <c r="D112" i="3"/>
  <c r="D96" i="3"/>
  <c r="D80" i="3"/>
  <c r="D68" i="3"/>
  <c r="D60" i="3"/>
  <c r="D48" i="3"/>
  <c r="D36" i="3"/>
  <c r="D24" i="3"/>
  <c r="D12" i="3"/>
  <c r="D226" i="3"/>
  <c r="D222" i="3"/>
  <c r="D218" i="3"/>
  <c r="D214" i="3"/>
  <c r="D210" i="3"/>
  <c r="D206" i="3"/>
  <c r="D202" i="3"/>
  <c r="D198" i="3"/>
  <c r="D194" i="3"/>
  <c r="D190" i="3"/>
  <c r="D186" i="3"/>
  <c r="D182" i="3"/>
  <c r="D178" i="3"/>
  <c r="D174" i="3"/>
  <c r="D170" i="3"/>
  <c r="D166" i="3"/>
  <c r="D162" i="3"/>
  <c r="D158" i="3"/>
  <c r="D154" i="3"/>
  <c r="D150" i="3"/>
  <c r="D146" i="3"/>
  <c r="D142" i="3"/>
  <c r="D138" i="3"/>
  <c r="D134" i="3"/>
  <c r="D130" i="3"/>
  <c r="D126" i="3"/>
  <c r="D122" i="3"/>
  <c r="D118" i="3"/>
  <c r="D114" i="3"/>
  <c r="D110" i="3"/>
  <c r="D106" i="3"/>
  <c r="D102" i="3"/>
  <c r="D98" i="3"/>
  <c r="D94" i="3"/>
  <c r="D90" i="3"/>
  <c r="D86" i="3"/>
  <c r="D82" i="3"/>
  <c r="D78" i="3"/>
  <c r="D74" i="3"/>
  <c r="D70" i="3"/>
  <c r="D66" i="3"/>
  <c r="D62" i="3"/>
  <c r="D58" i="3"/>
  <c r="D54" i="3"/>
  <c r="D50" i="3"/>
  <c r="D46" i="3"/>
  <c r="D42" i="3"/>
  <c r="D38" i="3"/>
  <c r="D34" i="3"/>
  <c r="D30" i="3"/>
  <c r="D26" i="3"/>
  <c r="D22" i="3"/>
  <c r="D18" i="3"/>
  <c r="D14" i="3"/>
  <c r="D10" i="3"/>
  <c r="D6" i="3"/>
  <c r="D220" i="3"/>
  <c r="D212" i="3"/>
  <c r="D200" i="3"/>
  <c r="D184" i="3"/>
  <c r="D168" i="3"/>
  <c r="D152" i="3"/>
  <c r="D140" i="3"/>
  <c r="D132" i="3"/>
  <c r="D120" i="3"/>
  <c r="D116" i="3"/>
  <c r="D104" i="3"/>
  <c r="D92" i="3"/>
  <c r="D84" i="3"/>
  <c r="D76" i="3"/>
  <c r="D64" i="3"/>
  <c r="D52" i="3"/>
  <c r="D44" i="3"/>
  <c r="D32" i="3"/>
  <c r="D16" i="3"/>
  <c r="D225" i="3"/>
  <c r="D221" i="3"/>
  <c r="D217" i="3"/>
  <c r="D213" i="3"/>
  <c r="D209" i="3"/>
  <c r="D205" i="3"/>
  <c r="D201" i="3"/>
  <c r="D197" i="3"/>
  <c r="D193" i="3"/>
  <c r="D189" i="3"/>
  <c r="D185" i="3"/>
  <c r="D181" i="3"/>
  <c r="D177" i="3"/>
  <c r="D173" i="3"/>
  <c r="D169" i="3"/>
  <c r="D165" i="3"/>
  <c r="D161" i="3"/>
  <c r="D157" i="3"/>
  <c r="D153" i="3"/>
  <c r="D149" i="3"/>
  <c r="D145" i="3"/>
  <c r="D141" i="3"/>
  <c r="D137" i="3"/>
  <c r="D133" i="3"/>
  <c r="D129" i="3"/>
  <c r="D125" i="3"/>
  <c r="D121" i="3"/>
  <c r="D117" i="3"/>
  <c r="D113" i="3"/>
  <c r="D109" i="3"/>
  <c r="D105" i="3"/>
  <c r="D101" i="3"/>
  <c r="D97" i="3"/>
  <c r="D93" i="3"/>
  <c r="D89" i="3"/>
  <c r="D85" i="3"/>
  <c r="D81" i="3"/>
  <c r="D77" i="3"/>
  <c r="D73" i="3"/>
  <c r="D69" i="3"/>
  <c r="D65" i="3"/>
  <c r="D61" i="3"/>
  <c r="D57" i="3"/>
  <c r="D53" i="3"/>
  <c r="D49" i="3"/>
  <c r="D45" i="3"/>
  <c r="D41" i="3"/>
  <c r="D37" i="3"/>
  <c r="D33" i="3"/>
  <c r="D29" i="3"/>
  <c r="D25" i="3"/>
  <c r="D21" i="3"/>
  <c r="D17" i="3"/>
  <c r="D13" i="3"/>
  <c r="D9" i="3"/>
  <c r="D5" i="3"/>
  <c r="B117" i="3"/>
  <c r="C117" i="3"/>
  <c r="B118" i="3"/>
  <c r="C118" i="3"/>
  <c r="B119" i="3"/>
  <c r="C119" i="3"/>
  <c r="B120" i="3"/>
  <c r="C120" i="3"/>
  <c r="B121" i="3"/>
  <c r="C121" i="3"/>
  <c r="B122" i="3"/>
  <c r="C122" i="3"/>
  <c r="B123" i="3"/>
  <c r="C123" i="3"/>
  <c r="B124" i="3"/>
  <c r="C124" i="3"/>
  <c r="B125" i="3"/>
  <c r="C125" i="3"/>
  <c r="B126" i="3"/>
  <c r="C126" i="3"/>
  <c r="B127" i="3"/>
  <c r="C127" i="3"/>
  <c r="B128" i="3"/>
  <c r="C128" i="3"/>
  <c r="B129" i="3"/>
  <c r="C129" i="3"/>
  <c r="B130" i="3"/>
  <c r="C130" i="3"/>
  <c r="B131" i="3"/>
  <c r="C131" i="3"/>
  <c r="B132" i="3"/>
  <c r="C132" i="3"/>
  <c r="B133" i="3"/>
  <c r="C133" i="3"/>
  <c r="B134" i="3"/>
  <c r="C134" i="3"/>
  <c r="B135" i="3"/>
  <c r="C135" i="3"/>
  <c r="B136" i="3"/>
  <c r="C136" i="3"/>
  <c r="B137" i="3"/>
  <c r="C137" i="3"/>
  <c r="B138" i="3"/>
  <c r="C138" i="3"/>
  <c r="B139" i="3"/>
  <c r="C139" i="3"/>
  <c r="B140" i="3"/>
  <c r="C140" i="3"/>
  <c r="B141" i="3"/>
  <c r="C141" i="3"/>
  <c r="B142" i="3"/>
  <c r="C142" i="3"/>
  <c r="B143" i="3"/>
  <c r="C143" i="3"/>
  <c r="B144" i="3"/>
  <c r="C144" i="3"/>
  <c r="B145" i="3"/>
  <c r="C145" i="3"/>
  <c r="B146" i="3"/>
  <c r="C146" i="3"/>
  <c r="B147" i="3"/>
  <c r="C147" i="3"/>
  <c r="B148" i="3"/>
  <c r="C148" i="3"/>
  <c r="B149" i="3"/>
  <c r="C149" i="3"/>
  <c r="B150" i="3"/>
  <c r="C150" i="3"/>
  <c r="B151" i="3"/>
  <c r="C151" i="3"/>
  <c r="B152" i="3"/>
  <c r="C152" i="3"/>
  <c r="B153" i="3"/>
  <c r="C153" i="3"/>
  <c r="B154" i="3"/>
  <c r="C154" i="3"/>
  <c r="B155" i="3"/>
  <c r="C155" i="3"/>
  <c r="B156" i="3"/>
  <c r="C156" i="3"/>
  <c r="B157" i="3"/>
  <c r="C157" i="3"/>
  <c r="B158" i="3"/>
  <c r="C158" i="3"/>
  <c r="B159" i="3"/>
  <c r="C159" i="3"/>
  <c r="B160" i="3"/>
  <c r="C160" i="3"/>
  <c r="B161" i="3"/>
  <c r="C161" i="3"/>
  <c r="B162" i="3"/>
  <c r="C162" i="3"/>
  <c r="B163" i="3"/>
  <c r="C163" i="3"/>
  <c r="B164" i="3"/>
  <c r="C164" i="3"/>
  <c r="B165" i="3"/>
  <c r="C165" i="3"/>
  <c r="B166" i="3"/>
  <c r="C166" i="3"/>
  <c r="B167" i="3"/>
  <c r="C167" i="3"/>
  <c r="B168" i="3"/>
  <c r="C168" i="3"/>
  <c r="B169" i="3"/>
  <c r="C169" i="3"/>
  <c r="B170" i="3"/>
  <c r="C170" i="3"/>
  <c r="B171" i="3"/>
  <c r="C171" i="3"/>
  <c r="B172" i="3"/>
  <c r="C172" i="3"/>
  <c r="B173" i="3"/>
  <c r="C173" i="3"/>
  <c r="B174" i="3"/>
  <c r="C174" i="3"/>
  <c r="B175" i="3"/>
  <c r="C175" i="3"/>
  <c r="B176" i="3"/>
  <c r="C176" i="3"/>
  <c r="B177" i="3"/>
  <c r="C177" i="3"/>
  <c r="B178" i="3"/>
  <c r="C178" i="3"/>
  <c r="B179" i="3"/>
  <c r="C179" i="3"/>
  <c r="B180" i="3"/>
  <c r="C180" i="3"/>
  <c r="B181" i="3"/>
  <c r="C181" i="3"/>
  <c r="B182" i="3"/>
  <c r="C182" i="3"/>
  <c r="B183" i="3"/>
  <c r="C183" i="3"/>
  <c r="B184" i="3"/>
  <c r="C184" i="3"/>
  <c r="B185" i="3"/>
  <c r="C185" i="3"/>
  <c r="B186" i="3"/>
  <c r="C186" i="3"/>
  <c r="B187" i="3"/>
  <c r="C187" i="3"/>
  <c r="B188" i="3"/>
  <c r="C188" i="3"/>
  <c r="B189" i="3"/>
  <c r="C189" i="3"/>
  <c r="B190" i="3"/>
  <c r="C190" i="3"/>
  <c r="B191" i="3"/>
  <c r="C191" i="3"/>
  <c r="B192" i="3"/>
  <c r="C192" i="3"/>
  <c r="B193" i="3"/>
  <c r="C193" i="3"/>
  <c r="B194" i="3"/>
  <c r="C194" i="3"/>
  <c r="B195" i="3"/>
  <c r="C195" i="3"/>
  <c r="B196" i="3"/>
  <c r="C196" i="3"/>
  <c r="B197" i="3"/>
  <c r="C197" i="3"/>
  <c r="B198" i="3"/>
  <c r="C198" i="3"/>
  <c r="B199" i="3"/>
  <c r="C199" i="3"/>
  <c r="B200" i="3"/>
  <c r="C200" i="3"/>
  <c r="B201" i="3"/>
  <c r="C201" i="3"/>
  <c r="B202" i="3"/>
  <c r="C202" i="3"/>
  <c r="B203" i="3"/>
  <c r="C203" i="3"/>
  <c r="B204" i="3"/>
  <c r="C204" i="3"/>
  <c r="B205" i="3"/>
  <c r="C205" i="3"/>
  <c r="B206" i="3"/>
  <c r="C206" i="3"/>
  <c r="B207" i="3"/>
  <c r="C207" i="3"/>
  <c r="B208" i="3"/>
  <c r="C208" i="3"/>
  <c r="B209" i="3"/>
  <c r="C209" i="3"/>
  <c r="B210" i="3"/>
  <c r="C210" i="3"/>
  <c r="B211" i="3"/>
  <c r="C211" i="3"/>
  <c r="B212" i="3"/>
  <c r="C212" i="3"/>
  <c r="B213" i="3"/>
  <c r="C213" i="3"/>
  <c r="B214" i="3"/>
  <c r="C214" i="3"/>
  <c r="B215" i="3"/>
  <c r="C215" i="3"/>
  <c r="B216" i="3"/>
  <c r="C216" i="3"/>
  <c r="B217" i="3"/>
  <c r="C217" i="3"/>
  <c r="B218" i="3"/>
  <c r="C218" i="3"/>
  <c r="B219" i="3"/>
  <c r="C219" i="3"/>
  <c r="B220" i="3"/>
  <c r="C220" i="3"/>
  <c r="B221" i="3"/>
  <c r="C221" i="3"/>
  <c r="B222" i="3"/>
  <c r="C222" i="3"/>
  <c r="B223" i="3"/>
  <c r="C223" i="3"/>
  <c r="B224" i="3"/>
  <c r="C224" i="3"/>
  <c r="B225" i="3"/>
  <c r="C225" i="3"/>
  <c r="B226" i="3"/>
  <c r="C226" i="3"/>
  <c r="B227" i="3"/>
  <c r="C227" i="3"/>
  <c r="B228" i="3"/>
  <c r="C228" i="3"/>
  <c r="I228" i="3"/>
  <c r="I227" i="3"/>
  <c r="I226" i="3"/>
  <c r="I225" i="3"/>
  <c r="I224" i="3"/>
  <c r="I223" i="3"/>
  <c r="I222" i="3"/>
  <c r="I221" i="3"/>
  <c r="I220" i="3"/>
  <c r="I219" i="3"/>
  <c r="I218" i="3"/>
  <c r="I217" i="3"/>
  <c r="I216" i="3"/>
  <c r="I215" i="3"/>
  <c r="I214" i="3"/>
  <c r="I213" i="3"/>
  <c r="I212" i="3"/>
  <c r="I211" i="3"/>
  <c r="I210" i="3"/>
  <c r="I209" i="3"/>
  <c r="I208" i="3"/>
  <c r="I207" i="3"/>
  <c r="I206" i="3"/>
  <c r="I205" i="3"/>
  <c r="I204" i="3"/>
  <c r="I203" i="3"/>
  <c r="I202" i="3"/>
  <c r="I201" i="3"/>
  <c r="I200" i="3"/>
  <c r="I199" i="3"/>
  <c r="I198" i="3"/>
  <c r="I197" i="3"/>
  <c r="I196" i="3"/>
  <c r="I195" i="3"/>
  <c r="I194" i="3"/>
  <c r="I193" i="3"/>
  <c r="I192" i="3"/>
  <c r="I191" i="3"/>
  <c r="I190" i="3"/>
  <c r="I189" i="3"/>
  <c r="I188" i="3"/>
  <c r="I187" i="3"/>
  <c r="I186" i="3"/>
  <c r="I185" i="3"/>
  <c r="I184" i="3"/>
  <c r="I183" i="3"/>
  <c r="I182" i="3"/>
  <c r="I181" i="3"/>
  <c r="I180" i="3"/>
  <c r="I179" i="3"/>
  <c r="I178" i="3"/>
  <c r="I177" i="3"/>
  <c r="I176" i="3"/>
  <c r="I175" i="3"/>
  <c r="I174" i="3"/>
  <c r="I173" i="3"/>
  <c r="I172" i="3"/>
  <c r="I171" i="3"/>
  <c r="I170" i="3"/>
  <c r="I169" i="3"/>
  <c r="I168" i="3"/>
  <c r="I167" i="3"/>
  <c r="I166" i="3"/>
  <c r="I165" i="3"/>
  <c r="I164" i="3"/>
  <c r="I163" i="3"/>
  <c r="I162" i="3"/>
  <c r="I161" i="3"/>
  <c r="I160" i="3"/>
  <c r="I159" i="3"/>
  <c r="I158" i="3"/>
  <c r="I157" i="3"/>
  <c r="I156" i="3"/>
  <c r="I155" i="3"/>
  <c r="I154" i="3"/>
  <c r="I153" i="3"/>
  <c r="I152" i="3"/>
  <c r="I151" i="3"/>
  <c r="I150" i="3"/>
  <c r="I149" i="3"/>
  <c r="I148" i="3"/>
  <c r="I147" i="3"/>
  <c r="I146" i="3"/>
  <c r="I145" i="3"/>
  <c r="I144" i="3"/>
  <c r="I143" i="3"/>
  <c r="I142" i="3"/>
  <c r="I141" i="3"/>
  <c r="I140" i="3"/>
  <c r="I139" i="3"/>
  <c r="I138" i="3"/>
  <c r="I137" i="3"/>
  <c r="I136" i="3"/>
  <c r="I135" i="3"/>
  <c r="I134" i="3"/>
  <c r="I133" i="3"/>
  <c r="I132" i="3"/>
  <c r="I131" i="3"/>
  <c r="I130" i="3"/>
  <c r="I129" i="3"/>
  <c r="I128" i="3"/>
  <c r="I127" i="3"/>
  <c r="I126" i="3"/>
  <c r="I125" i="3"/>
  <c r="I124" i="3"/>
  <c r="I123" i="3"/>
  <c r="I122" i="3"/>
  <c r="I121" i="3"/>
  <c r="I120" i="3"/>
  <c r="I119" i="3"/>
  <c r="I118" i="3"/>
  <c r="I117" i="3"/>
  <c r="B61" i="3"/>
  <c r="C61" i="3"/>
  <c r="B62" i="3"/>
  <c r="C62" i="3"/>
  <c r="B63" i="3"/>
  <c r="C63" i="3"/>
  <c r="B64" i="3"/>
  <c r="C64" i="3"/>
  <c r="B65" i="3"/>
  <c r="C65" i="3"/>
  <c r="B66" i="3"/>
  <c r="C66" i="3"/>
  <c r="B67" i="3"/>
  <c r="C67" i="3"/>
  <c r="B68" i="3"/>
  <c r="C68" i="3"/>
  <c r="B69" i="3"/>
  <c r="C69" i="3"/>
  <c r="B70" i="3"/>
  <c r="C70" i="3"/>
  <c r="B71" i="3"/>
  <c r="C71" i="3"/>
  <c r="B72" i="3"/>
  <c r="C72" i="3"/>
  <c r="B73" i="3"/>
  <c r="C73" i="3"/>
  <c r="B74" i="3"/>
  <c r="C74" i="3"/>
  <c r="B75" i="3"/>
  <c r="C75" i="3"/>
  <c r="B76" i="3"/>
  <c r="C76" i="3"/>
  <c r="B77" i="3"/>
  <c r="C77" i="3"/>
  <c r="B78" i="3"/>
  <c r="C78" i="3"/>
  <c r="B79" i="3"/>
  <c r="C79" i="3"/>
  <c r="B80" i="3"/>
  <c r="C80" i="3"/>
  <c r="B81" i="3"/>
  <c r="C81" i="3"/>
  <c r="B82" i="3"/>
  <c r="C82" i="3"/>
  <c r="B83" i="3"/>
  <c r="C83" i="3"/>
  <c r="B84" i="3"/>
  <c r="C84" i="3"/>
  <c r="B85" i="3"/>
  <c r="C85" i="3"/>
  <c r="B86" i="3"/>
  <c r="C86" i="3"/>
  <c r="B87" i="3"/>
  <c r="C87" i="3"/>
  <c r="B88" i="3"/>
  <c r="C88" i="3"/>
  <c r="B89" i="3"/>
  <c r="C89" i="3"/>
  <c r="B90" i="3"/>
  <c r="C90" i="3"/>
  <c r="B91" i="3"/>
  <c r="C91" i="3"/>
  <c r="B92" i="3"/>
  <c r="C92" i="3"/>
  <c r="B93" i="3"/>
  <c r="C93" i="3"/>
  <c r="B94" i="3"/>
  <c r="C94" i="3"/>
  <c r="B95" i="3"/>
  <c r="C95" i="3"/>
  <c r="B96" i="3"/>
  <c r="C96" i="3"/>
  <c r="B97" i="3"/>
  <c r="C97" i="3"/>
  <c r="B98" i="3"/>
  <c r="C98" i="3"/>
  <c r="B99" i="3"/>
  <c r="C99" i="3"/>
  <c r="B100" i="3"/>
  <c r="C100" i="3"/>
  <c r="B101" i="3"/>
  <c r="C101" i="3"/>
  <c r="B102" i="3"/>
  <c r="C102" i="3"/>
  <c r="B103" i="3"/>
  <c r="C103" i="3"/>
  <c r="B104" i="3"/>
  <c r="C104" i="3"/>
  <c r="B105" i="3"/>
  <c r="C105" i="3"/>
  <c r="B106" i="3"/>
  <c r="C106" i="3"/>
  <c r="B107" i="3"/>
  <c r="C107" i="3"/>
  <c r="B108" i="3"/>
  <c r="C108" i="3"/>
  <c r="B109" i="3"/>
  <c r="C109" i="3"/>
  <c r="B110" i="3"/>
  <c r="C110" i="3"/>
  <c r="B111" i="3"/>
  <c r="C111" i="3"/>
  <c r="B112" i="3"/>
  <c r="C112" i="3"/>
  <c r="B113" i="3"/>
  <c r="C113" i="3"/>
  <c r="B114" i="3"/>
  <c r="C114" i="3"/>
  <c r="B115" i="3"/>
  <c r="C115" i="3"/>
  <c r="B116" i="3"/>
  <c r="C116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I33" i="3" l="1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china</author>
  </authors>
  <commentList>
    <comment ref="P4" authorId="0" shapeId="0" xr:uid="{00000000-0006-0000-0200-000001000000}">
      <text>
        <r>
          <rPr>
            <b/>
            <sz val="9"/>
            <rFont val="Tahoma"/>
            <family val="2"/>
          </rPr>
          <t xml:space="preserve">1 </t>
        </r>
        <r>
          <rPr>
            <b/>
            <sz val="9"/>
            <rFont val="宋体"/>
            <family val="3"/>
            <charset val="134"/>
          </rPr>
          <t>强制下架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china</author>
  </authors>
  <commentList>
    <comment ref="P4" authorId="0" shapeId="0" xr:uid="{03AD4943-5DEF-4959-8F97-112CB3835037}">
      <text>
        <r>
          <rPr>
            <b/>
            <sz val="9"/>
            <rFont val="Tahoma"/>
            <family val="2"/>
          </rPr>
          <t xml:space="preserve">1 </t>
        </r>
        <r>
          <rPr>
            <b/>
            <sz val="9"/>
            <rFont val="宋体"/>
            <family val="3"/>
            <charset val="134"/>
          </rPr>
          <t>强制下架</t>
        </r>
      </text>
    </comment>
  </commentList>
</comments>
</file>

<file path=xl/sharedStrings.xml><?xml version="1.0" encoding="utf-8"?>
<sst xmlns="http://schemas.openxmlformats.org/spreadsheetml/2006/main" count="1520" uniqueCount="106">
  <si>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</si>
  <si>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</si>
  <si>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</si>
  <si>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</si>
  <si>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</si>
  <si>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</si>
  <si>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</si>
  <si>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</si>
  <si>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</si>
  <si>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</si>
  <si>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</si>
  <si>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</si>
  <si>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value</t>
  </si>
  <si>
    <t>string</t>
  </si>
  <si>
    <t>备注</t>
  </si>
  <si>
    <t>id</t>
  </si>
  <si>
    <t>icon</t>
  </si>
  <si>
    <t>price</t>
  </si>
  <si>
    <t>item</t>
  </si>
  <si>
    <t>condition</t>
  </si>
  <si>
    <t>starttime</t>
  </si>
  <si>
    <t>endtime</t>
  </si>
  <si>
    <t>buycount</t>
  </si>
  <si>
    <t>version</t>
  </si>
  <si>
    <t>revoke</t>
  </si>
  <si>
    <t>discount</t>
  </si>
  <si>
    <t>int</t>
  </si>
  <si>
    <t>table</t>
  </si>
  <si>
    <t>显示图标</t>
  </si>
  <si>
    <t>价格</t>
  </si>
  <si>
    <t>礼包内容</t>
  </si>
  <si>
    <t>礼包条件</t>
  </si>
  <si>
    <t>条件参数</t>
  </si>
  <si>
    <t>礼包开始时间</t>
  </si>
  <si>
    <t>礼包截止时间</t>
  </si>
  <si>
    <t>可购买次数</t>
  </si>
  <si>
    <t>版本号</t>
  </si>
  <si>
    <t>是否强制下架</t>
  </si>
  <si>
    <t>折扣</t>
  </si>
  <si>
    <t>小型礼包</t>
  </si>
  <si>
    <t>gifts</t>
  </si>
  <si>
    <t>中型礼包</t>
  </si>
  <si>
    <t>大型礼包</t>
  </si>
  <si>
    <t>奢华礼包</t>
  </si>
  <si>
    <t>豪华礼包</t>
  </si>
  <si>
    <t>unexport</t>
  </si>
  <si>
    <t>普通月卡</t>
  </si>
  <si>
    <t>壕月卡</t>
  </si>
  <si>
    <t>一元翻盘基金</t>
  </si>
  <si>
    <t>十元翻盘基金</t>
  </si>
  <si>
    <t>funid</t>
  </si>
  <si>
    <t>玩吧id</t>
  </si>
  <si>
    <t>funidiOS</t>
    <phoneticPr fontId="7" type="noConversion"/>
  </si>
  <si>
    <t>玩吧idiOS</t>
    <phoneticPr fontId="7" type="noConversion"/>
  </si>
  <si>
    <t>float</t>
    <phoneticPr fontId="7" type="noConversion"/>
  </si>
  <si>
    <t>青铜弹头礼包</t>
    <phoneticPr fontId="7" type="noConversion"/>
  </si>
  <si>
    <t>锻造材料礼包</t>
    <phoneticPr fontId="7" type="noConversion"/>
  </si>
  <si>
    <t>鲜花礼包</t>
    <phoneticPr fontId="7" type="noConversion"/>
  </si>
  <si>
    <t>随机金币礼包</t>
    <phoneticPr fontId="7" type="noConversion"/>
  </si>
  <si>
    <t>喇叭礼包</t>
    <phoneticPr fontId="7" type="noConversion"/>
  </si>
  <si>
    <t>冰冻礼包</t>
    <phoneticPr fontId="7" type="noConversion"/>
  </si>
  <si>
    <t>白银弹头礼包</t>
    <phoneticPr fontId="7" type="noConversion"/>
  </si>
  <si>
    <t>黄金弹头礼包</t>
    <phoneticPr fontId="7" type="noConversion"/>
  </si>
  <si>
    <t>包含100000金币和100钻石</t>
  </si>
  <si>
    <t>包含8青铜弹头和100钻石</t>
  </si>
  <si>
    <t>包含10随机金币卡和50钻石</t>
  </si>
  <si>
    <t>包含200000金币和200钻石</t>
  </si>
  <si>
    <t>包含10白银弹头和50000金币</t>
  </si>
  <si>
    <t>包含50冰冻和100000金币</t>
  </si>
  <si>
    <t>包含25喇叭和50000金币</t>
  </si>
  <si>
    <t>包含180锻造材料包和150钻石</t>
  </si>
  <si>
    <t>包含300000金币和300钻石</t>
  </si>
  <si>
    <t>包含20鲜花和50钻石</t>
  </si>
  <si>
    <t>包含400000金币和400钻石</t>
  </si>
  <si>
    <t>包含8黄金弹头和100钻石</t>
  </si>
  <si>
    <t>包含500000金币和500钻石</t>
  </si>
  <si>
    <t>iOS</t>
  </si>
  <si>
    <t>gift_6</t>
    <phoneticPr fontId="7" type="noConversion"/>
  </si>
  <si>
    <t>gift_12</t>
    <phoneticPr fontId="7" type="noConversion"/>
  </si>
  <si>
    <t>gift_18</t>
    <phoneticPr fontId="7" type="noConversion"/>
  </si>
  <si>
    <t>gift_30</t>
    <phoneticPr fontId="7" type="noConversion"/>
  </si>
  <si>
    <t>gift_45</t>
    <phoneticPr fontId="7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</si>
  <si>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</si>
  <si>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</si>
  <si>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</si>
  <si>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</si>
  <si>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</si>
  <si>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</si>
  <si>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</si>
  <si>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</si>
  <si>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</si>
  <si>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</si>
  <si>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</si>
  <si>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</si>
  <si>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7" type="noConversion"/>
  </si>
  <si>
    <t>name</t>
    <phoneticPr fontId="7" type="noConversion"/>
  </si>
  <si>
    <t>string</t>
    <phoneticPr fontId="7" type="noConversion"/>
  </si>
  <si>
    <t>名称</t>
    <phoneticPr fontId="7" type="noConversion"/>
  </si>
  <si>
    <t>buyCost</t>
  </si>
  <si>
    <t>购买消耗</t>
  </si>
  <si>
    <t>productid</t>
  </si>
  <si>
    <t>平台计费ID通用</t>
  </si>
  <si>
    <t>int</t>
    <phoneticPr fontId="7" type="noConversion"/>
  </si>
  <si>
    <t>int</t>
    <phoneticPr fontId="10" type="noConversion"/>
  </si>
  <si>
    <t>google</t>
    <phoneticPr fontId="7" type="noConversion"/>
  </si>
  <si>
    <t>coco,wanba,ios,vietnam_vn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</si>
</sst>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b/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/>
    <xf numFmtId="0" fontId="4" fillId="0" borderId="0">
      <alignment vertical="center"/>
    </xf>
    <xf numFmtId="0" fontId="2" fillId="0" borderId="0"/>
  </cellStyleXfs>
  <cellXfs count="31">
    <xf numFmtId="0" fontId="0" fillId="0" borderId="0" xfId="0"/>
    <xf numFmtId="0" fontId="2" fillId="0" borderId="0" xfId="0" applyFont="1"/>
    <xf numFmtId="0" fontId="0" fillId="0" borderId="0" xfId="0" applyFill="1"/>
    <xf numFmtId="0" fontId="3" fillId="0" borderId="0" xfId="0" applyFont="1"/>
    <xf numFmtId="0" fontId="3" fillId="0" borderId="4" xfId="0" applyFont="1" applyBorder="1"/>
    <xf numFmtId="0" fontId="3" fillId="0" borderId="0" xfId="0" applyFont="1" applyFill="1"/>
    <xf numFmtId="0" fontId="4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NumberFormat="1"/>
    <xf numFmtId="0" fontId="3" fillId="0" borderId="0" xfId="0" applyNumberFormat="1" applyFont="1"/>
    <xf numFmtId="0" fontId="8" fillId="0" borderId="0" xfId="0" applyNumberFormat="1" applyFont="1"/>
    <xf numFmtId="0" fontId="3" fillId="0" borderId="0" xfId="0" applyNumberFormat="1" applyFont="1" applyFill="1"/>
    <xf numFmtId="0" fontId="4" fillId="6" borderId="0" xfId="1" applyFill="1" applyAlignment="1"/>
    <xf numFmtId="0" fontId="4" fillId="0" borderId="0" xfId="1" applyFill="1" applyAlignment="1"/>
    <xf numFmtId="0" fontId="3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/>
    </xf>
    <xf numFmtId="0" fontId="3" fillId="7" borderId="0" xfId="0" applyFont="1" applyFill="1" applyAlignment="1">
      <alignment horizontal="center" vertical="center"/>
    </xf>
    <xf numFmtId="49" fontId="9" fillId="8" borderId="1" xfId="1" applyNumberFormat="1" applyFont="1" applyFill="1" applyBorder="1" applyAlignment="1">
      <alignment horizontal="right"/>
    </xf>
    <xf numFmtId="49" fontId="9" fillId="8" borderId="1" xfId="1" applyNumberFormat="1" applyFont="1" applyFill="1" applyBorder="1" applyAlignment="1">
      <alignment horizontal="center"/>
    </xf>
    <xf numFmtId="0" fontId="3" fillId="8" borderId="1" xfId="0" applyFont="1" applyFill="1" applyBorder="1" applyAlignment="1">
      <alignment vertical="center"/>
    </xf>
    <xf numFmtId="49" fontId="9" fillId="9" borderId="1" xfId="0" applyNumberFormat="1" applyFont="1" applyFill="1" applyBorder="1" applyAlignment="1">
      <alignment horizontal="right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vertical="center"/>
    </xf>
    <xf numFmtId="0" fontId="4" fillId="0" borderId="0" xfId="1" applyNumberFormat="1" applyAlignment="1"/>
    <xf numFmtId="0" fontId="4" fillId="0" borderId="0" xfId="1" applyNumberFormat="1" applyAlignment="1">
      <alignment vertical="top" wrapText="1"/>
    </xf>
    <xf numFmtId="0" fontId="4" fillId="0" borderId="0" xfId="1" applyNumberFormat="1" applyAlignment="1">
      <alignment vertical="top"/>
    </xf>
    <xf numFmtId="0" fontId="4" fillId="0" borderId="0" xfId="1" applyAlignment="1">
      <alignment horizont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20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33333"/>
        <name val="punctuation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984FE9EA-F556-41C8-BA1E-8C82AC5FF140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357598F-4B9F-4B7C-BC24-37F87CA676C0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&#25968;&#20540;&#25991;&#26723;\&#25429;&#40060;&#32463;&#27982;&#25968;&#20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经济汇总"/>
      <sheetName val="经济框架"/>
      <sheetName val="奖金"/>
      <sheetName val="女神"/>
      <sheetName val="排位赛"/>
      <sheetName val="抽奖"/>
      <sheetName val="水族馆"/>
      <sheetName val="升星"/>
      <sheetName val="VIP"/>
      <sheetName val="掉落"/>
      <sheetName val="任务"/>
      <sheetName val="角色"/>
      <sheetName val="实物兑换"/>
      <sheetName val="签到"/>
      <sheetName val="活动"/>
      <sheetName val="限时礼包"/>
      <sheetName val="排行榜"/>
      <sheetName val="人生赢家"/>
      <sheetName val="Sheet1"/>
      <sheetName val="捕鱼经济数值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S228" totalsRowShown="0">
  <autoFilter ref="A4:S228" xr:uid="{00000000-0009-0000-0100-000001000000}"/>
  <sortState ref="A5:S60">
    <sortCondition ref="A29"/>
  </sortState>
  <tableColumns count="19">
    <tableColumn id="1" xr3:uid="{00000000-0010-0000-0100-000001000000}" name="id"/>
    <tableColumn id="15" xr3:uid="{00000000-0010-0000-0100-00000F000000}" name="玩吧id" dataDxfId="19">
      <calculatedColumnFormula>VLOOKUP(表1[[#This Row],[名称]],[1]!表1[#Data],3,FALSE)</calculatedColumnFormula>
    </tableColumn>
    <tableColumn id="16" xr3:uid="{00000000-0010-0000-0100-000010000000}" name="玩吧idiOS" dataDxfId="18">
      <calculatedColumnFormula>VLOOKUP(表1[[#This Row],[名称]],[1]!表1[#Data],4,FALSE)</calculatedColumnFormula>
    </tableColumn>
    <tableColumn id="17" xr3:uid="{03CF9A89-410B-4A66-8855-B61A8B31A517}" name="iOS" dataDxfId="17">
      <calculatedColumnFormula>"gift_"&amp;表1[[#This Row],[价格]]</calculatedColumnFormula>
    </tableColumn>
    <tableColumn id="19" xr3:uid="{135A5FDF-D68A-4257-AA60-70313A0071D4}" name="平台计费ID通用" dataDxfId="16">
      <calculatedColumnFormula>VLOOKUP(表1[[#This Row],[iOS]],description!$G$1:$H$5,2,FALSE)</calculatedColumnFormula>
    </tableColumn>
    <tableColumn id="4" xr3:uid="{00000000-0010-0000-0100-000004000000}" name="显示图标"/>
    <tableColumn id="18" xr3:uid="{C9DF89C3-F3E6-491C-B6FF-ACEE4E04C916}" name="购买消耗" dataDxfId="15">
      <calculatedColumnFormula>"[[""r000"","&amp;表1[[#This Row],[价格]]&amp;"]]"</calculatedColumnFormula>
    </tableColumn>
    <tableColumn id="5" xr3:uid="{00000000-0010-0000-0100-000005000000}" name="价格" dataDxfId="14">
      <calculatedColumnFormula>VLOOKUP(表1[[#This Row],[名称]],[1]!表1[#Data],5,FALSE)</calculatedColumnFormula>
    </tableColumn>
    <tableColumn id="6" xr3:uid="{00000000-0010-0000-0100-000006000000}" name="礼包内容">
      <calculatedColumnFormula>VLOOKUP(表1[[#This Row],[名称]],[1]!表1[#Data],19,FALSE)</calculatedColumnFormula>
    </tableColumn>
    <tableColumn id="7" xr3:uid="{00000000-0010-0000-0100-000007000000}" name="礼包条件"/>
    <tableColumn id="8" xr3:uid="{00000000-0010-0000-0100-000008000000}" name="条件参数"/>
    <tableColumn id="9" xr3:uid="{00000000-0010-0000-0100-000009000000}" name="礼包开始时间" dataDxfId="13">
      <calculatedColumnFormula>YEAR(43159+ROW()-5)&amp;"/"&amp;IF(MONTH(43159+ROW()-5)&lt;10,"0","")&amp;MONTH(43159+ROW()-5)&amp;"/"&amp;IF(DAY(43159+ROW()-5)&lt;10,"0","")&amp;DAY(43159+ROW()-5)&amp;"&amp;00:00:00"</calculatedColumnFormula>
    </tableColumn>
    <tableColumn id="10" xr3:uid="{00000000-0010-0000-0100-00000A000000}" name="礼包截止时间" dataDxfId="12">
      <calculatedColumnFormula>YEAR(43159+ROW()-5)&amp;"/"&amp;IF(MONTH(43159+ROW()-5)&lt;10,"0","")&amp;MONTH(43159+ROW()-5)&amp;"/"&amp;IF(DAY(43159+ROW()-5)&lt;10,"0","")&amp;DAY(43159+ROW()-5)&amp;"&amp;23:59:59"</calculatedColumnFormula>
    </tableColumn>
    <tableColumn id="11" xr3:uid="{00000000-0010-0000-0100-00000B000000}" name="可购买次数"/>
    <tableColumn id="12" xr3:uid="{00000000-0010-0000-0100-00000C000000}" name="版本号"/>
    <tableColumn id="13" xr3:uid="{00000000-0010-0000-0100-00000D000000}" name="是否强制下架"/>
    <tableColumn id="14" xr3:uid="{00000000-0010-0000-0100-00000E000000}" name="折扣" dataDxfId="11">
      <calculatedColumnFormula>VLOOKUP(表1[[#This Row],[名称]],[1]!表1[#Data],18,FALSE)*10</calculatedColumnFormula>
    </tableColumn>
    <tableColumn id="3" xr3:uid="{00000000-0010-0000-0100-000003000000}" name="名称"/>
    <tableColumn id="2" xr3:uid="{00000000-0010-0000-0100-000002000000}" name="备注" dataDxfId="10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A34859-48E7-4353-A045-8F510F30D29A}" name="表1_3" displayName="表1_3" ref="A4:S228" totalsRowShown="0">
  <autoFilter ref="A4:S228" xr:uid="{00000000-0009-0000-0100-000001000000}"/>
  <sortState ref="A5:S60">
    <sortCondition ref="A29"/>
  </sortState>
  <tableColumns count="19">
    <tableColumn id="1" xr3:uid="{9A64564A-B58C-40D2-A2CA-68834148C3EC}" name="id"/>
    <tableColumn id="15" xr3:uid="{32F69CBA-52EC-4A31-A65C-BA28592FFCCB}" name="玩吧id" dataDxfId="9">
      <calculatedColumnFormula>VLOOKUP(表1_3[[#This Row],[名称]],[1]!表1[#Data],3,FALSE)</calculatedColumnFormula>
    </tableColumn>
    <tableColumn id="16" xr3:uid="{B5F03309-653B-40DE-8BC8-5B95F34F40FC}" name="玩吧idiOS" dataDxfId="8">
      <calculatedColumnFormula>VLOOKUP(表1_3[[#This Row],[名称]],[1]!表1[#Data],4,FALSE)</calculatedColumnFormula>
    </tableColumn>
    <tableColumn id="17" xr3:uid="{E043258F-12CA-4F6A-A701-4E864FA5E13F}" name="iOS" dataDxfId="7">
      <calculatedColumnFormula>"gift_"&amp;表1_3[[#This Row],[价格]]</calculatedColumnFormula>
    </tableColumn>
    <tableColumn id="19" xr3:uid="{BA420849-6315-44F4-89CF-9115D800BC47}" name="平台计费ID通用" dataDxfId="6">
      <calculatedColumnFormula>"gift_"&amp;表1_3[[#This Row],[价格]]</calculatedColumnFormula>
    </tableColumn>
    <tableColumn id="4" xr3:uid="{940728AA-3A6C-404D-8F98-4011CAA8C3D3}" name="显示图标"/>
    <tableColumn id="18" xr3:uid="{E8CD575A-BB4F-49D9-996E-3E862ADC913D}" name="购买消耗" dataDxfId="5">
      <calculatedColumnFormula>"[[""r002"","&amp;表1_3[[#This Row],[价格]]&amp;"]]"</calculatedColumnFormula>
    </tableColumn>
    <tableColumn id="5" xr3:uid="{48AE2FEA-8861-4A8D-8FCD-A170A808BD8A}" name="价格" dataDxfId="4">
      <calculatedColumnFormula>INT(VLOOKUP(表1_3[[#This Row],[名称]],[1]!表1[#Data],5,FALSE)/6)</calculatedColumnFormula>
    </tableColumn>
    <tableColumn id="6" xr3:uid="{F052ED17-1D21-4CF0-8F50-FF0557A40248}" name="礼包内容">
      <calculatedColumnFormula>VLOOKUP(表1_3[[#This Row],[名称]],[1]!表1[#Data],19,FALSE)</calculatedColumnFormula>
    </tableColumn>
    <tableColumn id="7" xr3:uid="{759B7FE0-2915-473C-9A3A-D7B1F3535DFD}" name="礼包条件"/>
    <tableColumn id="8" xr3:uid="{2E375F7F-C031-4AD5-B46B-ACE8EEF0A338}" name="条件参数"/>
    <tableColumn id="9" xr3:uid="{3192B7E5-9B52-438E-99D7-EF97A417C037}" name="礼包开始时间" dataDxfId="3">
      <calculatedColumnFormula>YEAR(43159+ROW()-5)&amp;"/"&amp;IF(MONTH(43159+ROW()-5)&lt;10,"0","")&amp;MONTH(43159+ROW()-5)&amp;"/"&amp;IF(DAY(43159+ROW()-5)&lt;10,"0","")&amp;DAY(43159+ROW()-5)&amp;"&amp;00:00:00"</calculatedColumnFormula>
    </tableColumn>
    <tableColumn id="10" xr3:uid="{3BE8CB0D-6D6B-4D9A-AA3F-14B7D77F667B}" name="礼包截止时间" dataDxfId="2">
      <calculatedColumnFormula>YEAR(43159+ROW()-5)&amp;"/"&amp;IF(MONTH(43159+ROW()-5)&lt;10,"0","")&amp;MONTH(43159+ROW()-5)&amp;"/"&amp;IF(DAY(43159+ROW()-5)&lt;10,"0","")&amp;DAY(43159+ROW()-5)&amp;"&amp;23:59:59"</calculatedColumnFormula>
    </tableColumn>
    <tableColumn id="11" xr3:uid="{6F944763-08A6-4689-99E0-6F3B014B4502}" name="可购买次数"/>
    <tableColumn id="12" xr3:uid="{A9D58364-B789-49B7-8315-38244DE9BB98}" name="版本号"/>
    <tableColumn id="13" xr3:uid="{01031CFE-8C28-4995-A27F-F2A549F19582}" name="是否强制下架"/>
    <tableColumn id="14" xr3:uid="{46A18064-8404-47A5-BEE9-A699E3BB8D55}" name="折扣" dataDxfId="1">
      <calculatedColumnFormula>VLOOKUP(表1_3[[#This Row],[名称]],[1]!表1[#Data],18,FALSE)*10</calculatedColumnFormula>
    </tableColumn>
    <tableColumn id="3" xr3:uid="{84D1FAEA-BCAB-4D2B-BF3B-10CB7B8952C6}" name="名称"/>
    <tableColumn id="2" xr3:uid="{1A321602-51FB-4960-A0D8-B3B18777E561}" name="备注" dataDxfId="0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workbookViewId="0">
      <selection activeCell="H1" sqref="H1:H5"/>
    </sheetView>
  </sheetViews>
  <sheetFormatPr defaultColWidth="9" defaultRowHeight="13.5" x14ac:dyDescent="0.15"/>
  <cols>
    <col min="1" max="1" width="39.5" style="6" customWidth="1"/>
    <col min="2" max="2" width="85.125" style="6" customWidth="1"/>
    <col min="3" max="4" width="9" style="6"/>
    <col min="5" max="5" width="9" style="6" customWidth="1"/>
    <col min="6" max="7" width="9" style="6"/>
    <col min="8" max="8" width="12.625" style="6" customWidth="1"/>
    <col min="9" max="16384" width="9" style="6"/>
  </cols>
  <sheetData>
    <row r="1" spans="1:8" ht="16.5" x14ac:dyDescent="0.3">
      <c r="A1" s="7" t="s">
        <v>0</v>
      </c>
      <c r="B1" s="6" t="s">
        <v>1</v>
      </c>
      <c r="F1" s="6">
        <v>6</v>
      </c>
      <c r="G1" s="6" t="s">
        <v>77</v>
      </c>
      <c r="H1" s="6">
        <v>3901</v>
      </c>
    </row>
    <row r="2" spans="1:8" ht="16.5" x14ac:dyDescent="0.15">
      <c r="A2" s="8" t="s">
        <v>2</v>
      </c>
      <c r="B2" s="6" t="s">
        <v>3</v>
      </c>
      <c r="F2" s="6">
        <v>12</v>
      </c>
      <c r="G2" s="6" t="s">
        <v>78</v>
      </c>
      <c r="H2" s="6">
        <v>3902</v>
      </c>
    </row>
    <row r="3" spans="1:8" ht="16.5" x14ac:dyDescent="0.3">
      <c r="A3" s="9" t="s">
        <v>4</v>
      </c>
      <c r="B3" s="6" t="s">
        <v>5</v>
      </c>
      <c r="F3" s="6">
        <v>18</v>
      </c>
      <c r="G3" s="6" t="s">
        <v>79</v>
      </c>
      <c r="H3" s="6">
        <v>3903</v>
      </c>
    </row>
    <row r="4" spans="1:8" ht="16.5" x14ac:dyDescent="0.15">
      <c r="A4" s="10" t="s">
        <v>6</v>
      </c>
      <c r="B4" s="6" t="s">
        <v>7</v>
      </c>
      <c r="F4" s="6">
        <v>30</v>
      </c>
      <c r="G4" s="6" t="s">
        <v>80</v>
      </c>
      <c r="H4" s="6">
        <v>3904</v>
      </c>
    </row>
    <row r="5" spans="1:8" x14ac:dyDescent="0.15">
      <c r="F5" s="6">
        <v>45</v>
      </c>
      <c r="G5" s="6" t="s">
        <v>81</v>
      </c>
      <c r="H5" s="6">
        <v>3905</v>
      </c>
    </row>
    <row r="6" spans="1:8" x14ac:dyDescent="0.15">
      <c r="A6" s="28" t="s">
        <v>8</v>
      </c>
      <c r="B6" s="29"/>
    </row>
    <row r="7" spans="1:8" x14ac:dyDescent="0.15">
      <c r="A7" s="29"/>
      <c r="B7" s="29"/>
    </row>
    <row r="8" spans="1:8" x14ac:dyDescent="0.15">
      <c r="A8" s="29"/>
      <c r="B8" s="29"/>
    </row>
    <row r="9" spans="1:8" x14ac:dyDescent="0.15">
      <c r="A9" s="29"/>
      <c r="B9" s="29"/>
    </row>
    <row r="10" spans="1:8" x14ac:dyDescent="0.15">
      <c r="A10" s="29"/>
      <c r="B10" s="29"/>
    </row>
    <row r="11" spans="1:8" x14ac:dyDescent="0.15">
      <c r="A11" s="29"/>
      <c r="B11" s="29"/>
    </row>
    <row r="12" spans="1:8" x14ac:dyDescent="0.15">
      <c r="A12" s="29"/>
      <c r="B12" s="29"/>
    </row>
    <row r="13" spans="1:8" x14ac:dyDescent="0.15">
      <c r="A13" s="29"/>
      <c r="B13" s="29"/>
    </row>
    <row r="14" spans="1:8" x14ac:dyDescent="0.15">
      <c r="A14" s="29"/>
      <c r="B14" s="29"/>
    </row>
    <row r="15" spans="1:8" x14ac:dyDescent="0.15">
      <c r="A15" s="29"/>
      <c r="B15" s="29"/>
    </row>
    <row r="16" spans="1:8" ht="13.15" customHeight="1" x14ac:dyDescent="0.15">
      <c r="A16" s="29"/>
      <c r="B16" s="29"/>
    </row>
    <row r="17" spans="1:11" ht="4.1500000000000004" customHeight="1" x14ac:dyDescent="0.15">
      <c r="A17" s="29"/>
      <c r="B17" s="29"/>
    </row>
    <row r="18" spans="1:11" ht="13.5" hidden="1" customHeight="1" x14ac:dyDescent="0.15">
      <c r="A18" s="29"/>
      <c r="B18" s="29"/>
    </row>
    <row r="19" spans="1:11" ht="13.5" hidden="1" customHeight="1" x14ac:dyDescent="0.15">
      <c r="A19" s="29"/>
      <c r="B19" s="29"/>
    </row>
    <row r="20" spans="1:11" ht="13.5" hidden="1" customHeight="1" x14ac:dyDescent="0.15">
      <c r="A20" s="29"/>
      <c r="B20" s="29"/>
    </row>
    <row r="21" spans="1:11" ht="22.9" customHeight="1" x14ac:dyDescent="0.15">
      <c r="A21" s="29"/>
      <c r="B21" s="29"/>
    </row>
    <row r="22" spans="1:11" ht="45" customHeight="1" x14ac:dyDescent="0.15">
      <c r="A22" s="29"/>
      <c r="B22" s="29"/>
    </row>
    <row r="23" spans="1:11" ht="51" hidden="1" customHeight="1" x14ac:dyDescent="0.15">
      <c r="A23" s="29"/>
      <c r="B23" s="29"/>
    </row>
    <row r="24" spans="1:11" x14ac:dyDescent="0.15">
      <c r="A24" s="27" t="s">
        <v>9</v>
      </c>
      <c r="B24" s="27"/>
    </row>
    <row r="25" spans="1:11" x14ac:dyDescent="0.15">
      <c r="A25" s="27" t="s">
        <v>10</v>
      </c>
      <c r="B25" s="27"/>
    </row>
    <row r="26" spans="1:11" x14ac:dyDescent="0.15">
      <c r="A26" s="27" t="s">
        <v>11</v>
      </c>
      <c r="B26" s="27"/>
    </row>
    <row r="27" spans="1:11" x14ac:dyDescent="0.15">
      <c r="A27" s="27"/>
      <c r="B27" s="27"/>
    </row>
    <row r="28" spans="1:11" x14ac:dyDescent="0.15">
      <c r="A28" s="27"/>
      <c r="B28" s="27"/>
      <c r="C28" s="30" t="s">
        <v>94</v>
      </c>
      <c r="D28" s="30"/>
      <c r="E28" s="30"/>
      <c r="F28" s="30"/>
    </row>
    <row r="29" spans="1:11" x14ac:dyDescent="0.15">
      <c r="A29" s="27"/>
      <c r="B29" s="27"/>
      <c r="C29" s="6">
        <v>1</v>
      </c>
      <c r="D29" s="6">
        <v>60</v>
      </c>
      <c r="E29" s="6" t="s">
        <v>82</v>
      </c>
      <c r="F29" s="6">
        <v>9055</v>
      </c>
      <c r="I29" s="6">
        <v>6</v>
      </c>
      <c r="J29" s="6">
        <v>9055</v>
      </c>
      <c r="K29" s="6">
        <v>9476</v>
      </c>
    </row>
    <row r="30" spans="1:11" x14ac:dyDescent="0.15">
      <c r="A30" s="27"/>
      <c r="B30" s="27"/>
      <c r="C30" s="6">
        <v>1</v>
      </c>
      <c r="D30" s="6">
        <v>120</v>
      </c>
      <c r="E30" s="6" t="s">
        <v>83</v>
      </c>
      <c r="F30" s="6">
        <v>9056</v>
      </c>
      <c r="I30" s="6">
        <v>12</v>
      </c>
      <c r="J30" s="6">
        <v>9056</v>
      </c>
      <c r="K30" s="6">
        <v>9477</v>
      </c>
    </row>
    <row r="31" spans="1:11" x14ac:dyDescent="0.15">
      <c r="A31" s="27"/>
      <c r="B31" s="27"/>
      <c r="C31" s="6">
        <v>1</v>
      </c>
      <c r="D31" s="16">
        <v>190</v>
      </c>
      <c r="E31" s="6" t="s">
        <v>84</v>
      </c>
      <c r="F31" s="6">
        <v>9057</v>
      </c>
      <c r="I31" s="6">
        <v>18</v>
      </c>
      <c r="J31" s="6">
        <v>9072</v>
      </c>
      <c r="K31" s="6">
        <v>9493</v>
      </c>
    </row>
    <row r="32" spans="1:11" x14ac:dyDescent="0.15">
      <c r="A32" s="27"/>
      <c r="B32" s="27"/>
      <c r="C32" s="6">
        <v>1</v>
      </c>
      <c r="D32" s="17">
        <v>280</v>
      </c>
      <c r="E32" s="6" t="s">
        <v>85</v>
      </c>
      <c r="F32" s="6">
        <v>9058</v>
      </c>
      <c r="I32" s="6">
        <v>28</v>
      </c>
      <c r="J32" s="6">
        <v>9058</v>
      </c>
      <c r="K32" s="6">
        <v>9479</v>
      </c>
    </row>
    <row r="33" spans="1:11" x14ac:dyDescent="0.15">
      <c r="A33" s="27"/>
      <c r="B33" s="27"/>
      <c r="C33" s="6">
        <v>1</v>
      </c>
      <c r="D33" s="16">
        <v>480</v>
      </c>
      <c r="E33" s="6" t="s">
        <v>86</v>
      </c>
      <c r="F33" s="6">
        <v>9059</v>
      </c>
      <c r="I33" s="6">
        <v>45</v>
      </c>
      <c r="J33" s="6">
        <v>9075</v>
      </c>
      <c r="K33" s="6">
        <v>9496</v>
      </c>
    </row>
    <row r="34" spans="1:11" x14ac:dyDescent="0.15">
      <c r="A34" s="27"/>
      <c r="B34" s="27"/>
      <c r="C34" s="6">
        <v>1</v>
      </c>
      <c r="D34" s="6">
        <v>680</v>
      </c>
      <c r="E34" s="6" t="s">
        <v>87</v>
      </c>
      <c r="F34" s="6">
        <v>9060</v>
      </c>
      <c r="I34" s="6">
        <v>68</v>
      </c>
      <c r="J34" s="6">
        <v>9060</v>
      </c>
      <c r="K34" s="6">
        <v>9481</v>
      </c>
    </row>
    <row r="35" spans="1:11" x14ac:dyDescent="0.15">
      <c r="A35" s="27"/>
      <c r="B35" s="27"/>
      <c r="C35" s="6">
        <v>1</v>
      </c>
      <c r="D35" s="6">
        <v>980</v>
      </c>
      <c r="E35" s="6" t="s">
        <v>88</v>
      </c>
      <c r="F35" s="6">
        <v>9061</v>
      </c>
      <c r="I35" s="6">
        <v>98</v>
      </c>
      <c r="J35" s="6">
        <v>9061</v>
      </c>
      <c r="K35" s="6">
        <v>9482</v>
      </c>
    </row>
    <row r="36" spans="1:11" x14ac:dyDescent="0.15">
      <c r="A36" s="27"/>
      <c r="B36" s="27"/>
      <c r="C36" s="6">
        <v>1</v>
      </c>
      <c r="D36" s="6">
        <v>1680</v>
      </c>
      <c r="E36" s="6" t="s">
        <v>89</v>
      </c>
      <c r="F36" s="6">
        <v>9062</v>
      </c>
      <c r="I36" s="6">
        <v>168</v>
      </c>
      <c r="J36" s="6">
        <v>9062</v>
      </c>
      <c r="K36" s="6">
        <v>9483</v>
      </c>
    </row>
    <row r="37" spans="1:11" x14ac:dyDescent="0.15">
      <c r="A37" s="27"/>
      <c r="B37" s="27"/>
      <c r="C37" s="6">
        <v>1</v>
      </c>
      <c r="D37" s="6">
        <v>2680</v>
      </c>
      <c r="E37" s="6" t="s">
        <v>90</v>
      </c>
      <c r="F37" s="6">
        <v>9063</v>
      </c>
      <c r="I37" s="6">
        <v>268</v>
      </c>
      <c r="J37" s="6">
        <v>9063</v>
      </c>
      <c r="K37" s="6">
        <v>9484</v>
      </c>
    </row>
    <row r="38" spans="1:11" x14ac:dyDescent="0.15">
      <c r="A38" s="27"/>
      <c r="B38" s="27"/>
      <c r="C38" s="6">
        <v>1</v>
      </c>
      <c r="D38" s="16">
        <v>4680</v>
      </c>
      <c r="E38" s="6" t="s">
        <v>91</v>
      </c>
      <c r="F38" s="6">
        <v>9064</v>
      </c>
      <c r="I38" s="6">
        <v>698</v>
      </c>
      <c r="J38" s="6">
        <v>9065</v>
      </c>
      <c r="K38" s="6">
        <v>9486</v>
      </c>
    </row>
    <row r="39" spans="1:11" x14ac:dyDescent="0.15">
      <c r="A39" s="27"/>
      <c r="B39" s="27"/>
      <c r="C39" s="6">
        <v>1</v>
      </c>
      <c r="D39" s="6">
        <v>6980</v>
      </c>
      <c r="E39" s="6" t="s">
        <v>92</v>
      </c>
      <c r="F39" s="6">
        <v>9065</v>
      </c>
    </row>
    <row r="40" spans="1:11" x14ac:dyDescent="0.15">
      <c r="A40" s="27"/>
      <c r="B40" s="27"/>
      <c r="C40" s="6">
        <v>1</v>
      </c>
      <c r="D40" s="6">
        <v>9980</v>
      </c>
      <c r="E40" s="6" t="s">
        <v>93</v>
      </c>
      <c r="F40" s="6">
        <v>9066</v>
      </c>
    </row>
    <row r="41" spans="1:11" x14ac:dyDescent="0.15">
      <c r="A41" s="27"/>
      <c r="B41" s="27"/>
      <c r="C41" s="6">
        <v>1</v>
      </c>
      <c r="D41" s="6">
        <v>300</v>
      </c>
      <c r="E41" s="6" t="s">
        <v>46</v>
      </c>
      <c r="F41" s="6">
        <v>9067</v>
      </c>
    </row>
    <row r="42" spans="1:11" x14ac:dyDescent="0.15">
      <c r="A42" s="27"/>
      <c r="B42" s="27"/>
      <c r="C42" s="6">
        <v>1</v>
      </c>
      <c r="D42" s="6">
        <v>1200</v>
      </c>
      <c r="E42" s="6" t="s">
        <v>47</v>
      </c>
      <c r="F42" s="6">
        <v>9068</v>
      </c>
    </row>
    <row r="43" spans="1:11" x14ac:dyDescent="0.15">
      <c r="A43" s="27"/>
      <c r="B43" s="27"/>
      <c r="C43" s="6">
        <v>1</v>
      </c>
      <c r="D43" s="6">
        <v>10</v>
      </c>
      <c r="E43" s="6" t="s">
        <v>48</v>
      </c>
      <c r="F43" s="6">
        <v>9069</v>
      </c>
    </row>
    <row r="44" spans="1:11" x14ac:dyDescent="0.15">
      <c r="A44" s="27"/>
      <c r="B44" s="27"/>
      <c r="C44" s="6">
        <v>1</v>
      </c>
      <c r="D44" s="6">
        <v>100</v>
      </c>
      <c r="E44" s="6" t="s">
        <v>49</v>
      </c>
      <c r="F44" s="6">
        <v>9070</v>
      </c>
    </row>
    <row r="45" spans="1:11" x14ac:dyDescent="0.15">
      <c r="A45" s="27"/>
      <c r="B45" s="27"/>
      <c r="C45" s="6">
        <v>1</v>
      </c>
      <c r="D45" s="16">
        <v>90</v>
      </c>
      <c r="E45" s="6" t="s">
        <v>39</v>
      </c>
      <c r="F45" s="6">
        <v>9071</v>
      </c>
      <c r="I45" s="6">
        <v>6</v>
      </c>
      <c r="J45" s="6">
        <v>9055</v>
      </c>
      <c r="K45" s="6">
        <v>9476</v>
      </c>
    </row>
    <row r="46" spans="1:11" x14ac:dyDescent="0.15">
      <c r="C46" s="6">
        <v>1</v>
      </c>
      <c r="D46" s="17">
        <v>180</v>
      </c>
      <c r="E46" s="6" t="s">
        <v>41</v>
      </c>
      <c r="F46" s="6">
        <v>9072</v>
      </c>
      <c r="I46" s="6">
        <v>12</v>
      </c>
      <c r="J46" s="6">
        <v>9056</v>
      </c>
      <c r="K46" s="6">
        <v>9477</v>
      </c>
    </row>
    <row r="47" spans="1:11" x14ac:dyDescent="0.15">
      <c r="C47" s="6">
        <v>1</v>
      </c>
      <c r="D47" s="16">
        <v>270</v>
      </c>
      <c r="E47" s="6" t="s">
        <v>42</v>
      </c>
      <c r="F47" s="6">
        <v>9073</v>
      </c>
      <c r="I47" s="6">
        <v>18</v>
      </c>
      <c r="J47" s="6">
        <v>9072</v>
      </c>
      <c r="K47" s="6">
        <v>9493</v>
      </c>
    </row>
    <row r="48" spans="1:11" x14ac:dyDescent="0.15">
      <c r="C48" s="6">
        <v>1</v>
      </c>
      <c r="D48" s="16">
        <v>360</v>
      </c>
      <c r="E48" s="6" t="s">
        <v>43</v>
      </c>
      <c r="F48" s="6">
        <v>9074</v>
      </c>
      <c r="I48" s="6">
        <v>30</v>
      </c>
      <c r="J48" s="6">
        <v>9067</v>
      </c>
      <c r="K48" s="6">
        <v>9488</v>
      </c>
    </row>
    <row r="49" spans="3:11" x14ac:dyDescent="0.15">
      <c r="C49" s="6">
        <v>1</v>
      </c>
      <c r="D49" s="6">
        <v>450</v>
      </c>
      <c r="E49" s="6" t="s">
        <v>44</v>
      </c>
      <c r="F49" s="6">
        <v>9075</v>
      </c>
      <c r="I49" s="6">
        <v>45</v>
      </c>
      <c r="J49" s="6">
        <v>9075</v>
      </c>
      <c r="K49" s="6">
        <v>9496</v>
      </c>
    </row>
    <row r="50" spans="3:11" x14ac:dyDescent="0.15">
      <c r="C50" s="6">
        <v>2</v>
      </c>
      <c r="D50" s="6">
        <v>60</v>
      </c>
      <c r="E50" s="6" t="s">
        <v>82</v>
      </c>
      <c r="F50" s="6">
        <v>9476</v>
      </c>
    </row>
    <row r="51" spans="3:11" x14ac:dyDescent="0.15">
      <c r="C51" s="6">
        <v>2</v>
      </c>
      <c r="D51" s="6">
        <v>120</v>
      </c>
      <c r="E51" s="6" t="s">
        <v>83</v>
      </c>
      <c r="F51" s="6">
        <v>9477</v>
      </c>
    </row>
    <row r="52" spans="3:11" x14ac:dyDescent="0.15">
      <c r="C52" s="6">
        <v>2</v>
      </c>
      <c r="D52" s="6">
        <v>190</v>
      </c>
      <c r="E52" s="6" t="s">
        <v>84</v>
      </c>
      <c r="F52" s="6">
        <v>9478</v>
      </c>
    </row>
    <row r="53" spans="3:11" x14ac:dyDescent="0.15">
      <c r="C53" s="6">
        <v>2</v>
      </c>
      <c r="D53" s="6">
        <v>280</v>
      </c>
      <c r="E53" s="6" t="s">
        <v>85</v>
      </c>
      <c r="F53" s="6">
        <v>9479</v>
      </c>
    </row>
    <row r="54" spans="3:11" x14ac:dyDescent="0.15">
      <c r="C54" s="6">
        <v>2</v>
      </c>
      <c r="D54" s="6">
        <v>480</v>
      </c>
      <c r="E54" s="6" t="s">
        <v>86</v>
      </c>
      <c r="F54" s="6">
        <v>9480</v>
      </c>
    </row>
    <row r="55" spans="3:11" x14ac:dyDescent="0.15">
      <c r="C55" s="6">
        <v>2</v>
      </c>
      <c r="D55" s="6">
        <v>680</v>
      </c>
      <c r="E55" s="6" t="s">
        <v>87</v>
      </c>
      <c r="F55" s="6">
        <v>9481</v>
      </c>
    </row>
    <row r="56" spans="3:11" x14ac:dyDescent="0.15">
      <c r="C56" s="6">
        <v>2</v>
      </c>
      <c r="D56" s="6">
        <v>980</v>
      </c>
      <c r="E56" s="6" t="s">
        <v>88</v>
      </c>
      <c r="F56" s="6">
        <v>9482</v>
      </c>
    </row>
    <row r="57" spans="3:11" x14ac:dyDescent="0.15">
      <c r="C57" s="6">
        <v>2</v>
      </c>
      <c r="D57" s="6">
        <v>1680</v>
      </c>
      <c r="E57" s="6" t="s">
        <v>89</v>
      </c>
      <c r="F57" s="6">
        <v>9483</v>
      </c>
    </row>
    <row r="58" spans="3:11" x14ac:dyDescent="0.15">
      <c r="C58" s="6">
        <v>2</v>
      </c>
      <c r="D58" s="6">
        <v>2680</v>
      </c>
      <c r="E58" s="6" t="s">
        <v>90</v>
      </c>
      <c r="F58" s="6">
        <v>9484</v>
      </c>
    </row>
    <row r="59" spans="3:11" x14ac:dyDescent="0.15">
      <c r="C59" s="6">
        <v>2</v>
      </c>
      <c r="D59" s="6">
        <v>4680</v>
      </c>
      <c r="E59" s="6" t="s">
        <v>91</v>
      </c>
      <c r="F59" s="6">
        <v>9485</v>
      </c>
    </row>
    <row r="60" spans="3:11" x14ac:dyDescent="0.15">
      <c r="C60" s="6">
        <v>2</v>
      </c>
      <c r="D60" s="6">
        <v>6980</v>
      </c>
      <c r="E60" s="6" t="s">
        <v>92</v>
      </c>
      <c r="F60" s="6">
        <v>9486</v>
      </c>
    </row>
    <row r="61" spans="3:11" x14ac:dyDescent="0.15">
      <c r="C61" s="6">
        <v>2</v>
      </c>
      <c r="D61" s="6">
        <v>9980</v>
      </c>
      <c r="E61" s="6" t="s">
        <v>93</v>
      </c>
      <c r="F61" s="6">
        <v>9487</v>
      </c>
    </row>
    <row r="62" spans="3:11" x14ac:dyDescent="0.15">
      <c r="C62" s="6">
        <v>2</v>
      </c>
      <c r="D62" s="6">
        <v>300</v>
      </c>
      <c r="E62" s="6" t="s">
        <v>46</v>
      </c>
      <c r="F62" s="6">
        <v>9488</v>
      </c>
    </row>
    <row r="63" spans="3:11" x14ac:dyDescent="0.15">
      <c r="C63" s="6">
        <v>2</v>
      </c>
      <c r="D63" s="6">
        <v>1200</v>
      </c>
      <c r="E63" s="6" t="s">
        <v>47</v>
      </c>
      <c r="F63" s="6">
        <v>9489</v>
      </c>
    </row>
    <row r="64" spans="3:11" x14ac:dyDescent="0.15">
      <c r="C64" s="6">
        <v>2</v>
      </c>
      <c r="D64" s="6">
        <v>10</v>
      </c>
      <c r="E64" s="6" t="s">
        <v>48</v>
      </c>
      <c r="F64" s="6">
        <v>9490</v>
      </c>
    </row>
    <row r="65" spans="2:6" x14ac:dyDescent="0.15">
      <c r="C65" s="6">
        <v>2</v>
      </c>
      <c r="D65" s="6">
        <v>100</v>
      </c>
      <c r="E65" s="6" t="s">
        <v>49</v>
      </c>
      <c r="F65" s="6">
        <v>9491</v>
      </c>
    </row>
    <row r="66" spans="2:6" x14ac:dyDescent="0.15">
      <c r="B66" s="6">
        <f>83/117600*12</f>
        <v>8.4693877551020418E-3</v>
      </c>
      <c r="C66" s="6">
        <v>2</v>
      </c>
      <c r="D66" s="6">
        <v>90</v>
      </c>
      <c r="E66" s="6" t="s">
        <v>39</v>
      </c>
      <c r="F66" s="6">
        <v>9492</v>
      </c>
    </row>
    <row r="67" spans="2:6" x14ac:dyDescent="0.15">
      <c r="C67" s="6">
        <v>2</v>
      </c>
      <c r="D67" s="6">
        <v>180</v>
      </c>
      <c r="E67" s="6" t="s">
        <v>41</v>
      </c>
      <c r="F67" s="6">
        <v>9493</v>
      </c>
    </row>
    <row r="68" spans="2:6" x14ac:dyDescent="0.15">
      <c r="C68" s="6">
        <v>2</v>
      </c>
      <c r="D68" s="6">
        <v>270</v>
      </c>
      <c r="E68" s="6" t="s">
        <v>42</v>
      </c>
      <c r="F68" s="6">
        <v>9494</v>
      </c>
    </row>
    <row r="69" spans="2:6" x14ac:dyDescent="0.15">
      <c r="C69" s="6">
        <v>2</v>
      </c>
      <c r="D69" s="6">
        <v>360</v>
      </c>
      <c r="E69" s="6" t="s">
        <v>43</v>
      </c>
      <c r="F69" s="6">
        <v>9495</v>
      </c>
    </row>
    <row r="70" spans="2:6" x14ac:dyDescent="0.15">
      <c r="C70" s="6">
        <v>2</v>
      </c>
      <c r="D70" s="6">
        <v>450</v>
      </c>
      <c r="E70" s="6" t="s">
        <v>44</v>
      </c>
      <c r="F70" s="6">
        <v>9496</v>
      </c>
    </row>
  </sheetData>
  <mergeCells count="24">
    <mergeCell ref="C28:F28"/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7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28"/>
  <sheetViews>
    <sheetView tabSelected="1" workbookViewId="0">
      <selection activeCell="I18" sqref="I18"/>
    </sheetView>
  </sheetViews>
  <sheetFormatPr defaultColWidth="9" defaultRowHeight="13.5" x14ac:dyDescent="0.15"/>
  <cols>
    <col min="1" max="1" width="6.875" customWidth="1"/>
    <col min="2" max="2" width="10" bestFit="1" customWidth="1"/>
    <col min="3" max="5" width="9.25" customWidth="1"/>
    <col min="6" max="6" width="10.5" bestFit="1" customWidth="1"/>
    <col min="7" max="7" width="12.625" customWidth="1"/>
    <col min="8" max="8" width="10.5" customWidth="1"/>
    <col min="9" max="9" width="52" bestFit="1" customWidth="1"/>
    <col min="10" max="10" width="7" customWidth="1"/>
    <col min="11" max="11" width="10.5" bestFit="1" customWidth="1"/>
    <col min="12" max="12" width="17.25" customWidth="1"/>
    <col min="13" max="13" width="17.375" customWidth="1"/>
    <col min="14" max="14" width="10.75" customWidth="1"/>
    <col min="15" max="15" width="7.875" customWidth="1"/>
    <col min="16" max="16" width="11.875" customWidth="1"/>
    <col min="17" max="17" width="8.125" bestFit="1" customWidth="1"/>
    <col min="18" max="18" width="13.25" customWidth="1"/>
    <col min="19" max="19" width="21.875" customWidth="1"/>
  </cols>
  <sheetData>
    <row r="1" spans="1:27" s="19" customFormat="1" ht="12" customHeight="1" x14ac:dyDescent="0.15">
      <c r="A1" s="18"/>
      <c r="B1" s="19" t="s">
        <v>105</v>
      </c>
      <c r="C1" s="18"/>
      <c r="X1" s="20"/>
    </row>
    <row r="2" spans="1:27" s="23" customFormat="1" ht="12" customHeight="1" x14ac:dyDescent="0.15">
      <c r="A2" s="21" t="s">
        <v>15</v>
      </c>
      <c r="B2" s="22" t="s">
        <v>50</v>
      </c>
      <c r="C2" s="22" t="s">
        <v>52</v>
      </c>
      <c r="D2" s="22" t="s">
        <v>76</v>
      </c>
      <c r="E2" s="22" t="s">
        <v>100</v>
      </c>
      <c r="F2" s="22" t="s">
        <v>16</v>
      </c>
      <c r="G2" s="22" t="s">
        <v>98</v>
      </c>
      <c r="H2" s="22" t="s">
        <v>17</v>
      </c>
      <c r="I2" s="22" t="s">
        <v>18</v>
      </c>
      <c r="J2" s="22" t="s">
        <v>19</v>
      </c>
      <c r="K2" s="22" t="s">
        <v>12</v>
      </c>
      <c r="L2" s="22" t="s">
        <v>20</v>
      </c>
      <c r="M2" s="22" t="s">
        <v>21</v>
      </c>
      <c r="N2" s="22" t="s">
        <v>22</v>
      </c>
      <c r="O2" s="22" t="s">
        <v>23</v>
      </c>
      <c r="P2" s="22" t="s">
        <v>24</v>
      </c>
      <c r="Q2" s="22" t="s">
        <v>25</v>
      </c>
      <c r="R2" s="22" t="s">
        <v>95</v>
      </c>
      <c r="S2" s="22" t="s">
        <v>45</v>
      </c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102</v>
      </c>
      <c r="B3" s="25" t="s">
        <v>103</v>
      </c>
      <c r="C3" s="25" t="s">
        <v>26</v>
      </c>
      <c r="D3" s="25" t="s">
        <v>13</v>
      </c>
      <c r="E3" s="25" t="s">
        <v>13</v>
      </c>
      <c r="F3" s="25" t="s">
        <v>13</v>
      </c>
      <c r="G3" s="25" t="s">
        <v>27</v>
      </c>
      <c r="H3" s="25" t="s">
        <v>26</v>
      </c>
      <c r="I3" s="25" t="s">
        <v>27</v>
      </c>
      <c r="J3" s="25" t="s">
        <v>26</v>
      </c>
      <c r="K3" s="25" t="s">
        <v>26</v>
      </c>
      <c r="L3" s="25" t="s">
        <v>13</v>
      </c>
      <c r="M3" s="25" t="s">
        <v>13</v>
      </c>
      <c r="N3" s="25" t="s">
        <v>26</v>
      </c>
      <c r="O3" s="25" t="s">
        <v>26</v>
      </c>
      <c r="P3" s="25" t="s">
        <v>26</v>
      </c>
      <c r="Q3" s="25" t="s">
        <v>54</v>
      </c>
      <c r="R3" s="25" t="s">
        <v>96</v>
      </c>
      <c r="S3" s="25" t="s">
        <v>45</v>
      </c>
      <c r="T3" s="25"/>
      <c r="U3" s="25"/>
      <c r="V3" s="25"/>
      <c r="W3" s="25"/>
      <c r="X3" s="25"/>
      <c r="Y3" s="25"/>
      <c r="Z3" s="25"/>
      <c r="AA3" s="25"/>
    </row>
    <row r="4" spans="1:27" x14ac:dyDescent="0.15">
      <c r="A4" s="3" t="s">
        <v>15</v>
      </c>
      <c r="B4" s="1" t="s">
        <v>51</v>
      </c>
      <c r="C4" s="1" t="s">
        <v>53</v>
      </c>
      <c r="D4" s="1" t="s">
        <v>76</v>
      </c>
      <c r="E4" s="1" t="s">
        <v>101</v>
      </c>
      <c r="F4" s="3" t="s">
        <v>28</v>
      </c>
      <c r="G4" s="1" t="s">
        <v>99</v>
      </c>
      <c r="H4" s="3" t="s">
        <v>29</v>
      </c>
      <c r="I4" s="3" t="s">
        <v>30</v>
      </c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36</v>
      </c>
      <c r="P4" s="3" t="s">
        <v>37</v>
      </c>
      <c r="Q4" s="4" t="s">
        <v>38</v>
      </c>
      <c r="R4" s="3" t="s">
        <v>97</v>
      </c>
      <c r="S4" s="3" t="s">
        <v>14</v>
      </c>
    </row>
    <row r="5" spans="1:27" s="2" customFormat="1" x14ac:dyDescent="0.15">
      <c r="A5" s="3">
        <v>10000</v>
      </c>
      <c r="B5" s="5">
        <f>VLOOKUP(表1[[#This Row],[名称]],[1]!表1[#Data],3,FALSE)</f>
        <v>9055</v>
      </c>
      <c r="C5" s="5">
        <f>VLOOKUP(表1[[#This Row],[名称]],[1]!表1[#Data],4,FALSE)</f>
        <v>9476</v>
      </c>
      <c r="D5" s="5" t="str">
        <f>"gift_"&amp;表1[[#This Row],[价格]]</f>
        <v>gift_6</v>
      </c>
      <c r="E5" s="5">
        <f>VLOOKUP(表1[[#This Row],[iOS]],description!$G$1:$H$5,2,FALSE)</f>
        <v>3901</v>
      </c>
      <c r="F5" s="3" t="s">
        <v>40</v>
      </c>
      <c r="G5" s="3" t="str">
        <f>"[[""r000"","&amp;表1[[#This Row],[价格]]&amp;"]]"</f>
        <v>[["r000",6]]</v>
      </c>
      <c r="H5" s="3">
        <f>VLOOKUP(表1[[#This Row],[名称]],[1]!表1[#Data],5,FALSE)</f>
        <v>6</v>
      </c>
      <c r="I5" s="5" t="str">
        <f>VLOOKUP(表1[[#This Row],[名称]],[1]!表1[#Data],19,FALSE)</f>
        <v>[["i001",100000],["i002",100],["i400",1],["i220",5]]</v>
      </c>
      <c r="J5" s="3">
        <v>1</v>
      </c>
      <c r="K5" s="3">
        <v>1</v>
      </c>
      <c r="L5" s="3" t="str">
        <f t="shared" ref="L5:L68" si="0">YEAR(43159+ROW()-5)&amp;"/"&amp;IF(MONTH(43159+ROW()-5)&lt;10,"0","")&amp;MONTH(43159+ROW()-5)&amp;"/"&amp;IF(DAY(43159+ROW()-5)&lt;10,"0","")&amp;DAY(43159+ROW()-5)&amp;"&amp;00:00:00"</f>
        <v>2018/02/28&amp;00:00:00</v>
      </c>
      <c r="M5" s="3" t="str">
        <f t="shared" ref="M5:M68" si="1">YEAR(43159+ROW()-5)&amp;"/"&amp;IF(MONTH(43159+ROW()-5)&lt;10,"0","")&amp;MONTH(43159+ROW()-5)&amp;"/"&amp;IF(DAY(43159+ROW()-5)&lt;10,"0","")&amp;DAY(43159+ROW()-5)&amp;"&amp;23:59:59"</f>
        <v>2018/02/28&amp;23:59:59</v>
      </c>
      <c r="N5" s="3">
        <v>1</v>
      </c>
      <c r="O5" s="3">
        <v>1</v>
      </c>
      <c r="P5" s="3">
        <v>0</v>
      </c>
      <c r="Q5" s="5">
        <f>VLOOKUP(表1[[#This Row],[名称]],[1]!表1[#Data],18,FALSE)*10</f>
        <v>3.5999999999999996</v>
      </c>
      <c r="R5" s="3" t="s">
        <v>39</v>
      </c>
      <c r="S5" s="5" t="s">
        <v>63</v>
      </c>
    </row>
    <row r="6" spans="1:27" s="2" customFormat="1" ht="14.25" customHeight="1" x14ac:dyDescent="0.15">
      <c r="A6" s="3">
        <v>10001</v>
      </c>
      <c r="B6" s="5">
        <f>VLOOKUP(表1[[#This Row],[名称]],[1]!表1[#Data],3,FALSE)</f>
        <v>9056</v>
      </c>
      <c r="C6" s="5">
        <f>VLOOKUP(表1[[#This Row],[名称]],[1]!表1[#Data],4,FALSE)</f>
        <v>9477</v>
      </c>
      <c r="D6" s="5" t="str">
        <f>"gift_"&amp;表1[[#This Row],[价格]]</f>
        <v>gift_12</v>
      </c>
      <c r="E6" s="5">
        <f>VLOOKUP(表1[[#This Row],[iOS]],description!$G$1:$H$5,2,FALSE)</f>
        <v>3902</v>
      </c>
      <c r="F6" s="3" t="s">
        <v>40</v>
      </c>
      <c r="G6" s="3" t="str">
        <f>"[[""r000"","&amp;表1[[#This Row],[价格]]&amp;"]]"</f>
        <v>[["r000",12]]</v>
      </c>
      <c r="H6" s="3">
        <f>VLOOKUP(表1[[#This Row],[名称]],[1]!表1[#Data],5,FALSE)</f>
        <v>12</v>
      </c>
      <c r="I6" s="5" t="str">
        <f>VLOOKUP(表1[[#This Row],[名称]],[1]!表1[#Data],19,FALSE)</f>
        <v>[["i015",8],["i002",100],["i400",2],["i220",2]]</v>
      </c>
      <c r="J6" s="3">
        <v>1</v>
      </c>
      <c r="K6" s="3">
        <v>1</v>
      </c>
      <c r="L6" s="3" t="str">
        <f t="shared" si="0"/>
        <v>2018/03/01&amp;00:00:00</v>
      </c>
      <c r="M6" s="3" t="str">
        <f t="shared" si="1"/>
        <v>2018/03/01&amp;23:59:59</v>
      </c>
      <c r="N6" s="3">
        <v>1</v>
      </c>
      <c r="O6" s="3">
        <v>1</v>
      </c>
      <c r="P6" s="3">
        <v>0</v>
      </c>
      <c r="Q6" s="5">
        <f>VLOOKUP(表1[[#This Row],[名称]],[1]!表1[#Data],18,FALSE)*10</f>
        <v>3</v>
      </c>
      <c r="R6" s="11" t="s">
        <v>55</v>
      </c>
      <c r="S6" s="5" t="s">
        <v>64</v>
      </c>
    </row>
    <row r="7" spans="1:27" s="2" customFormat="1" ht="14.25" customHeight="1" x14ac:dyDescent="0.15">
      <c r="A7" s="3">
        <v>10002</v>
      </c>
      <c r="B7" s="5">
        <f>VLOOKUP(表1[[#This Row],[名称]],[1]!表1[#Data],3,FALSE)</f>
        <v>9055</v>
      </c>
      <c r="C7" s="5">
        <f>VLOOKUP(表1[[#This Row],[名称]],[1]!表1[#Data],4,FALSE)</f>
        <v>9476</v>
      </c>
      <c r="D7" s="5" t="str">
        <f>"gift_"&amp;表1[[#This Row],[价格]]</f>
        <v>gift_6</v>
      </c>
      <c r="E7" s="5">
        <f>VLOOKUP(表1[[#This Row],[iOS]],description!$G$1:$H$5,2,FALSE)</f>
        <v>3901</v>
      </c>
      <c r="F7" s="3" t="s">
        <v>40</v>
      </c>
      <c r="G7" s="3" t="str">
        <f>"[[""r000"","&amp;表1[[#This Row],[价格]]&amp;"]]"</f>
        <v>[["r000",6]]</v>
      </c>
      <c r="H7" s="3">
        <f>VLOOKUP(表1[[#This Row],[名称]],[1]!表1[#Data],5,FALSE)</f>
        <v>6</v>
      </c>
      <c r="I7" s="5" t="str">
        <f>VLOOKUP(表1[[#This Row],[名称]],[1]!表1[#Data],19,FALSE)</f>
        <v>[["i215",10],["i002",50],["i004",1],["i240",20]]</v>
      </c>
      <c r="J7" s="3">
        <v>1</v>
      </c>
      <c r="K7" s="3">
        <v>1</v>
      </c>
      <c r="L7" s="3" t="str">
        <f t="shared" si="0"/>
        <v>2018/03/02&amp;00:00:00</v>
      </c>
      <c r="M7" s="3" t="str">
        <f t="shared" si="1"/>
        <v>2018/03/02&amp;23:59:59</v>
      </c>
      <c r="N7" s="3">
        <v>1</v>
      </c>
      <c r="O7" s="3">
        <v>1</v>
      </c>
      <c r="P7" s="3">
        <v>0</v>
      </c>
      <c r="Q7" s="5">
        <f>VLOOKUP(表1[[#This Row],[名称]],[1]!表1[#Data],18,FALSE)*10</f>
        <v>2.7</v>
      </c>
      <c r="R7" s="11" t="s">
        <v>58</v>
      </c>
      <c r="S7" s="5" t="s">
        <v>65</v>
      </c>
    </row>
    <row r="8" spans="1:27" s="2" customFormat="1" x14ac:dyDescent="0.15">
      <c r="A8" s="3">
        <v>10003</v>
      </c>
      <c r="B8" s="5">
        <f>VLOOKUP(表1[[#This Row],[名称]],[1]!表1[#Data],3,FALSE)</f>
        <v>9056</v>
      </c>
      <c r="C8" s="5">
        <f>VLOOKUP(表1[[#This Row],[名称]],[1]!表1[#Data],4,FALSE)</f>
        <v>9477</v>
      </c>
      <c r="D8" s="5" t="str">
        <f>"gift_"&amp;表1[[#This Row],[价格]]</f>
        <v>gift_12</v>
      </c>
      <c r="E8" s="5">
        <f>VLOOKUP(表1[[#This Row],[iOS]],description!$G$1:$H$5,2,FALSE)</f>
        <v>3902</v>
      </c>
      <c r="F8" s="3" t="s">
        <v>40</v>
      </c>
      <c r="G8" s="3" t="str">
        <f>"[[""r000"","&amp;表1[[#This Row],[价格]]&amp;"]]"</f>
        <v>[["r000",12]]</v>
      </c>
      <c r="H8" s="3">
        <f>VLOOKUP(表1[[#This Row],[名称]],[1]!表1[#Data],5,FALSE)</f>
        <v>12</v>
      </c>
      <c r="I8" s="5" t="str">
        <f>VLOOKUP(表1[[#This Row],[名称]],[1]!表1[#Data],19,FALSE)</f>
        <v>[["i001",200000],["i002",200],["i400",2],["i220",10]]</v>
      </c>
      <c r="J8" s="3">
        <v>1</v>
      </c>
      <c r="K8" s="3">
        <v>1</v>
      </c>
      <c r="L8" s="3" t="str">
        <f t="shared" si="0"/>
        <v>2018/03/03&amp;00:00:00</v>
      </c>
      <c r="M8" s="3" t="str">
        <f t="shared" si="1"/>
        <v>2018/03/03&amp;23:59:59</v>
      </c>
      <c r="N8" s="3">
        <v>1</v>
      </c>
      <c r="O8" s="3">
        <v>1</v>
      </c>
      <c r="P8" s="3">
        <v>0</v>
      </c>
      <c r="Q8" s="5">
        <f>VLOOKUP(表1[[#This Row],[名称]],[1]!表1[#Data],18,FALSE)*10</f>
        <v>3.8</v>
      </c>
      <c r="R8" s="3" t="s">
        <v>41</v>
      </c>
      <c r="S8" s="5" t="s">
        <v>66</v>
      </c>
    </row>
    <row r="9" spans="1:27" s="2" customFormat="1" ht="14.25" customHeight="1" x14ac:dyDescent="0.15">
      <c r="A9" s="3">
        <v>10004</v>
      </c>
      <c r="B9" s="5">
        <f>VLOOKUP(表1[[#This Row],[名称]],[1]!表1[#Data],3,FALSE)</f>
        <v>9072</v>
      </c>
      <c r="C9" s="5">
        <f>VLOOKUP(表1[[#This Row],[名称]],[1]!表1[#Data],4,FALSE)</f>
        <v>9493</v>
      </c>
      <c r="D9" s="5" t="str">
        <f>"gift_"&amp;表1[[#This Row],[价格]]</f>
        <v>gift_18</v>
      </c>
      <c r="E9" s="5">
        <f>VLOOKUP(表1[[#This Row],[iOS]],description!$G$1:$H$5,2,FALSE)</f>
        <v>3903</v>
      </c>
      <c r="F9" s="3" t="s">
        <v>40</v>
      </c>
      <c r="G9" s="3" t="str">
        <f>"[[""r000"","&amp;表1[[#This Row],[价格]]&amp;"]]"</f>
        <v>[["r000",18]]</v>
      </c>
      <c r="H9" s="3">
        <f>VLOOKUP(表1[[#This Row],[名称]],[1]!表1[#Data],5,FALSE)</f>
        <v>18</v>
      </c>
      <c r="I9" s="5" t="str">
        <f>VLOOKUP(表1[[#This Row],[名称]],[1]!表1[#Data],19,FALSE)</f>
        <v>[["i016",10],["i001",50000],["i400",5],["i004",5]]</v>
      </c>
      <c r="J9" s="3">
        <v>1</v>
      </c>
      <c r="K9" s="3">
        <v>1</v>
      </c>
      <c r="L9" s="3" t="str">
        <f t="shared" si="0"/>
        <v>2018/03/04&amp;00:00:00</v>
      </c>
      <c r="M9" s="3" t="str">
        <f t="shared" si="1"/>
        <v>2018/03/04&amp;23:59:59</v>
      </c>
      <c r="N9" s="3">
        <v>1</v>
      </c>
      <c r="O9" s="3">
        <v>1</v>
      </c>
      <c r="P9" s="3">
        <v>0</v>
      </c>
      <c r="Q9" s="5">
        <f>VLOOKUP(表1[[#This Row],[名称]],[1]!表1[#Data],18,FALSE)*10</f>
        <v>1.5</v>
      </c>
      <c r="R9" s="11" t="s">
        <v>61</v>
      </c>
      <c r="S9" s="5" t="s">
        <v>67</v>
      </c>
    </row>
    <row r="10" spans="1:27" x14ac:dyDescent="0.15">
      <c r="A10" s="3">
        <v>10005</v>
      </c>
      <c r="B10" s="5">
        <f>VLOOKUP(表1[[#This Row],[名称]],[1]!表1[#Data],3,FALSE)</f>
        <v>9055</v>
      </c>
      <c r="C10" s="5">
        <f>VLOOKUP(表1[[#This Row],[名称]],[1]!表1[#Data],4,FALSE)</f>
        <v>9476</v>
      </c>
      <c r="D10" s="5" t="str">
        <f>"gift_"&amp;表1[[#This Row],[价格]]</f>
        <v>gift_6</v>
      </c>
      <c r="E10" s="5">
        <f>VLOOKUP(表1[[#This Row],[iOS]],description!$G$1:$H$5,2,FALSE)</f>
        <v>3901</v>
      </c>
      <c r="F10" s="3" t="s">
        <v>40</v>
      </c>
      <c r="G10" s="3" t="str">
        <f>"[[""r000"","&amp;表1[[#This Row],[价格]]&amp;"]]"</f>
        <v>[["r000",6]]</v>
      </c>
      <c r="H10" s="3">
        <f>VLOOKUP(表1[[#This Row],[名称]],[1]!表1[#Data],5,FALSE)</f>
        <v>6</v>
      </c>
      <c r="I10" s="5" t="str">
        <f>VLOOKUP(表1[[#This Row],[名称]],[1]!表1[#Data],19,FALSE)</f>
        <v>[["i011",50],["i001",100000],["i004",1],["i015",1]]</v>
      </c>
      <c r="J10" s="3">
        <v>1</v>
      </c>
      <c r="K10" s="3">
        <v>1</v>
      </c>
      <c r="L10" s="3" t="str">
        <f t="shared" si="0"/>
        <v>2018/03/05&amp;00:00:00</v>
      </c>
      <c r="M10" s="3" t="str">
        <f t="shared" si="1"/>
        <v>2018/03/05&amp;23:59:59</v>
      </c>
      <c r="N10" s="3">
        <v>1</v>
      </c>
      <c r="O10" s="3">
        <v>1</v>
      </c>
      <c r="P10" s="3">
        <v>0</v>
      </c>
      <c r="Q10" s="5">
        <f>VLOOKUP(表1[[#This Row],[名称]],[1]!表1[#Data],18,FALSE)*10</f>
        <v>2.4</v>
      </c>
      <c r="R10" s="11" t="s">
        <v>60</v>
      </c>
      <c r="S10" s="5" t="s">
        <v>68</v>
      </c>
    </row>
    <row r="11" spans="1:27" ht="13.5" customHeight="1" x14ac:dyDescent="0.15">
      <c r="A11" s="3">
        <v>10006</v>
      </c>
      <c r="B11" s="5">
        <f>VLOOKUP(表1[[#This Row],[名称]],[1]!表1[#Data],3,FALSE)</f>
        <v>9055</v>
      </c>
      <c r="C11" s="5">
        <f>VLOOKUP(表1[[#This Row],[名称]],[1]!表1[#Data],4,FALSE)</f>
        <v>9476</v>
      </c>
      <c r="D11" s="5" t="str">
        <f>"gift_"&amp;表1[[#This Row],[价格]]</f>
        <v>gift_6</v>
      </c>
      <c r="E11" s="5">
        <f>VLOOKUP(表1[[#This Row],[iOS]],description!$G$1:$H$5,2,FALSE)</f>
        <v>3901</v>
      </c>
      <c r="F11" s="3" t="s">
        <v>40</v>
      </c>
      <c r="G11" s="3" t="str">
        <f>"[[""r000"","&amp;表1[[#This Row],[价格]]&amp;"]]"</f>
        <v>[["r000",6]]</v>
      </c>
      <c r="H11" s="3">
        <f>VLOOKUP(表1[[#This Row],[名称]],[1]!表1[#Data],5,FALSE)</f>
        <v>6</v>
      </c>
      <c r="I11" s="5" t="str">
        <f>VLOOKUP(表1[[#This Row],[名称]],[1]!表1[#Data],19,FALSE)</f>
        <v>[["i006",25],["i001",50000],["i004",1],["i015",1]]</v>
      </c>
      <c r="J11" s="3">
        <v>1</v>
      </c>
      <c r="K11" s="3">
        <v>1</v>
      </c>
      <c r="L11" s="3" t="str">
        <f t="shared" si="0"/>
        <v>2018/03/06&amp;00:00:00</v>
      </c>
      <c r="M11" s="3" t="str">
        <f t="shared" si="1"/>
        <v>2018/03/06&amp;23:59:59</v>
      </c>
      <c r="N11" s="3">
        <v>1</v>
      </c>
      <c r="O11" s="3">
        <v>1</v>
      </c>
      <c r="P11" s="3">
        <v>0</v>
      </c>
      <c r="Q11" s="5">
        <f>VLOOKUP(表1[[#This Row],[名称]],[1]!表1[#Data],18,FALSE)*10</f>
        <v>1.9</v>
      </c>
      <c r="R11" s="11" t="s">
        <v>59</v>
      </c>
      <c r="S11" s="5" t="s">
        <v>69</v>
      </c>
    </row>
    <row r="12" spans="1:27" ht="13.5" customHeight="1" x14ac:dyDescent="0.15">
      <c r="A12" s="3">
        <v>10007</v>
      </c>
      <c r="B12" s="5">
        <f>VLOOKUP(表1[[#This Row],[名称]],[1]!表1[#Data],3,FALSE)</f>
        <v>9056</v>
      </c>
      <c r="C12" s="5">
        <f>VLOOKUP(表1[[#This Row],[名称]],[1]!表1[#Data],4,FALSE)</f>
        <v>9477</v>
      </c>
      <c r="D12" s="5" t="str">
        <f>"gift_"&amp;表1[[#This Row],[价格]]</f>
        <v>gift_12</v>
      </c>
      <c r="E12" s="5">
        <f>VLOOKUP(表1[[#This Row],[iOS]],description!$G$1:$H$5,2,FALSE)</f>
        <v>3902</v>
      </c>
      <c r="F12" s="3" t="s">
        <v>40</v>
      </c>
      <c r="G12" s="3" t="str">
        <f>"[[""r000"","&amp;表1[[#This Row],[价格]]&amp;"]]"</f>
        <v>[["r000",12]]</v>
      </c>
      <c r="H12" s="11">
        <f>VLOOKUP(表1[[#This Row],[名称]],[1]!表1[#Data],5,FALSE)</f>
        <v>12</v>
      </c>
      <c r="I12" s="5" t="str">
        <f>VLOOKUP(表1[[#This Row],[名称]],[1]!表1[#Data],19,FALSE)</f>
        <v>[["i240",180],["i002",150],["i001",50000],["i220",5]]</v>
      </c>
      <c r="J12" s="3">
        <v>1</v>
      </c>
      <c r="K12" s="3">
        <v>1</v>
      </c>
      <c r="L12" s="3" t="str">
        <f t="shared" si="0"/>
        <v>2018/03/07&amp;00:00:00</v>
      </c>
      <c r="M12" s="3" t="str">
        <f t="shared" si="1"/>
        <v>2018/03/07&amp;23:59:59</v>
      </c>
      <c r="N12" s="3">
        <v>1</v>
      </c>
      <c r="O12" s="3">
        <v>1</v>
      </c>
      <c r="P12" s="3">
        <v>0</v>
      </c>
      <c r="Q12" s="5">
        <f>VLOOKUP(表1[[#This Row],[名称]],[1]!表1[#Data],18,FALSE)*10</f>
        <v>2.5</v>
      </c>
      <c r="R12" s="11" t="s">
        <v>56</v>
      </c>
      <c r="S12" s="5" t="s">
        <v>70</v>
      </c>
    </row>
    <row r="13" spans="1:27" ht="13.5" customHeight="1" x14ac:dyDescent="0.15">
      <c r="A13" s="3">
        <v>10008</v>
      </c>
      <c r="B13" s="5">
        <f>VLOOKUP(表1[[#This Row],[名称]],[1]!表1[#Data],3,FALSE)</f>
        <v>9072</v>
      </c>
      <c r="C13" s="5">
        <f>VLOOKUP(表1[[#This Row],[名称]],[1]!表1[#Data],4,FALSE)</f>
        <v>9493</v>
      </c>
      <c r="D13" s="5" t="str">
        <f>"gift_"&amp;表1[[#This Row],[价格]]</f>
        <v>gift_18</v>
      </c>
      <c r="E13" s="5">
        <f>VLOOKUP(表1[[#This Row],[iOS]],description!$G$1:$H$5,2,FALSE)</f>
        <v>3903</v>
      </c>
      <c r="F13" s="3" t="s">
        <v>40</v>
      </c>
      <c r="G13" s="3" t="str">
        <f>"[[""r000"","&amp;表1[[#This Row],[价格]]&amp;"]]"</f>
        <v>[["r000",18]]</v>
      </c>
      <c r="H13" s="11">
        <f>VLOOKUP(表1[[#This Row],[名称]],[1]!表1[#Data],5,FALSE)</f>
        <v>18</v>
      </c>
      <c r="I13" s="5" t="str">
        <f>VLOOKUP(表1[[#This Row],[名称]],[1]!表1[#Data],19,FALSE)</f>
        <v>[["i001",300000],["i002",300],["i015",1],["i400",2]]</v>
      </c>
      <c r="J13" s="3">
        <v>1</v>
      </c>
      <c r="K13" s="3">
        <v>1</v>
      </c>
      <c r="L13" s="3" t="str">
        <f t="shared" si="0"/>
        <v>2018/03/08&amp;00:00:00</v>
      </c>
      <c r="M13" s="3" t="str">
        <f t="shared" si="1"/>
        <v>2018/03/08&amp;23:59:59</v>
      </c>
      <c r="N13" s="3">
        <v>1</v>
      </c>
      <c r="O13" s="3">
        <v>1</v>
      </c>
      <c r="P13" s="3">
        <v>0</v>
      </c>
      <c r="Q13" s="5">
        <f>VLOOKUP(表1[[#This Row],[名称]],[1]!表1[#Data],18,FALSE)*10</f>
        <v>4</v>
      </c>
      <c r="R13" s="3" t="s">
        <v>42</v>
      </c>
      <c r="S13" s="5" t="s">
        <v>71</v>
      </c>
    </row>
    <row r="14" spans="1:27" x14ac:dyDescent="0.15">
      <c r="A14" s="3">
        <v>10009</v>
      </c>
      <c r="B14" s="5">
        <f>VLOOKUP(表1[[#This Row],[名称]],[1]!表1[#Data],3,FALSE)</f>
        <v>9055</v>
      </c>
      <c r="C14" s="5">
        <f>VLOOKUP(表1[[#This Row],[名称]],[1]!表1[#Data],4,FALSE)</f>
        <v>9476</v>
      </c>
      <c r="D14" s="5" t="str">
        <f>"gift_"&amp;表1[[#This Row],[价格]]</f>
        <v>gift_6</v>
      </c>
      <c r="E14" s="5">
        <f>VLOOKUP(表1[[#This Row],[iOS]],description!$G$1:$H$5,2,FALSE)</f>
        <v>3901</v>
      </c>
      <c r="F14" s="3" t="s">
        <v>40</v>
      </c>
      <c r="G14" s="3" t="str">
        <f>"[[""r000"","&amp;表1[[#This Row],[价格]]&amp;"]]"</f>
        <v>[["r000",6]]</v>
      </c>
      <c r="H14" s="11">
        <f>VLOOKUP(表1[[#This Row],[名称]],[1]!表1[#Data],5,FALSE)</f>
        <v>6</v>
      </c>
      <c r="I14" s="5" t="str">
        <f>VLOOKUP(表1[[#This Row],[名称]],[1]!表1[#Data],19,FALSE)</f>
        <v>[["i400",20],["i002",50],["i015",1],["i220",2]]</v>
      </c>
      <c r="J14" s="3">
        <v>1</v>
      </c>
      <c r="K14" s="3">
        <v>1</v>
      </c>
      <c r="L14" s="3" t="str">
        <f t="shared" si="0"/>
        <v>2018/03/09&amp;00:00:00</v>
      </c>
      <c r="M14" s="3" t="str">
        <f t="shared" si="1"/>
        <v>2018/03/09&amp;23:59:59</v>
      </c>
      <c r="N14" s="3">
        <v>1</v>
      </c>
      <c r="O14" s="3">
        <v>1</v>
      </c>
      <c r="P14" s="3">
        <v>0</v>
      </c>
      <c r="Q14" s="5">
        <f>VLOOKUP(表1[[#This Row],[名称]],[1]!表1[#Data],18,FALSE)*10</f>
        <v>1.9</v>
      </c>
      <c r="R14" s="11" t="s">
        <v>57</v>
      </c>
      <c r="S14" s="5" t="s">
        <v>72</v>
      </c>
    </row>
    <row r="15" spans="1:27" x14ac:dyDescent="0.15">
      <c r="A15" s="3">
        <v>10010</v>
      </c>
      <c r="B15" s="5">
        <f>VLOOKUP(表1[[#This Row],[名称]],[1]!表1[#Data],3,FALSE)</f>
        <v>9067</v>
      </c>
      <c r="C15" s="5">
        <f>VLOOKUP(表1[[#This Row],[名称]],[1]!表1[#Data],4,FALSE)</f>
        <v>9488</v>
      </c>
      <c r="D15" s="5" t="str">
        <f>"gift_"&amp;表1[[#This Row],[价格]]</f>
        <v>gift_30</v>
      </c>
      <c r="E15" s="5">
        <f>VLOOKUP(表1[[#This Row],[iOS]],description!$G$1:$H$5,2,FALSE)</f>
        <v>3904</v>
      </c>
      <c r="F15" s="3" t="s">
        <v>40</v>
      </c>
      <c r="G15" s="3" t="str">
        <f>"[[""r000"","&amp;表1[[#This Row],[价格]]&amp;"]]"</f>
        <v>[["r000",30]]</v>
      </c>
      <c r="H15" s="11">
        <f>VLOOKUP(表1[[#This Row],[名称]],[1]!表1[#Data],5,FALSE)</f>
        <v>30</v>
      </c>
      <c r="I15" s="5" t="str">
        <f>VLOOKUP(表1[[#This Row],[名称]],[1]!表1[#Data],19,FALSE)</f>
        <v>[["i001",400000],["i002",400],["i015",1],["i006",5]]</v>
      </c>
      <c r="J15" s="3">
        <v>1</v>
      </c>
      <c r="K15" s="3">
        <v>1</v>
      </c>
      <c r="L15" s="3" t="str">
        <f t="shared" si="0"/>
        <v>2018/03/10&amp;00:00:00</v>
      </c>
      <c r="M15" s="3" t="str">
        <f t="shared" si="1"/>
        <v>2018/03/10&amp;23:59:59</v>
      </c>
      <c r="N15" s="3">
        <v>1</v>
      </c>
      <c r="O15" s="3">
        <v>1</v>
      </c>
      <c r="P15" s="3">
        <v>0</v>
      </c>
      <c r="Q15" s="5">
        <f>VLOOKUP(表1[[#This Row],[名称]],[1]!表1[#Data],18,FALSE)*10</f>
        <v>3.8</v>
      </c>
      <c r="R15" s="3" t="s">
        <v>43</v>
      </c>
      <c r="S15" s="5" t="s">
        <v>73</v>
      </c>
    </row>
    <row r="16" spans="1:27" x14ac:dyDescent="0.15">
      <c r="A16" s="3">
        <v>10011</v>
      </c>
      <c r="B16" s="5">
        <f>VLOOKUP(表1[[#This Row],[名称]],[1]!表1[#Data],3,FALSE)</f>
        <v>9075</v>
      </c>
      <c r="C16" s="5">
        <f>VLOOKUP(表1[[#This Row],[名称]],[1]!表1[#Data],4,FALSE)</f>
        <v>9496</v>
      </c>
      <c r="D16" s="5" t="str">
        <f>"gift_"&amp;表1[[#This Row],[价格]]</f>
        <v>gift_45</v>
      </c>
      <c r="E16" s="5">
        <f>VLOOKUP(表1[[#This Row],[iOS]],description!$G$1:$H$5,2,FALSE)</f>
        <v>3905</v>
      </c>
      <c r="F16" s="3" t="s">
        <v>40</v>
      </c>
      <c r="G16" s="3" t="str">
        <f>"[[""r000"","&amp;表1[[#This Row],[价格]]&amp;"]]"</f>
        <v>[["r000",45]]</v>
      </c>
      <c r="H16" s="11">
        <f>VLOOKUP(表1[[#This Row],[名称]],[1]!表1[#Data],5,FALSE)</f>
        <v>45</v>
      </c>
      <c r="I16" s="5" t="str">
        <f>VLOOKUP(表1[[#This Row],[名称]],[1]!表1[#Data],19,FALSE)</f>
        <v>[["i017",8],["i002",100],["i004",10],["i006",10]]</v>
      </c>
      <c r="J16" s="3">
        <v>1</v>
      </c>
      <c r="K16" s="3">
        <v>1</v>
      </c>
      <c r="L16" s="3" t="str">
        <f t="shared" si="0"/>
        <v>2018/03/11&amp;00:00:00</v>
      </c>
      <c r="M16" s="3" t="str">
        <f t="shared" si="1"/>
        <v>2018/03/11&amp;23:59:59</v>
      </c>
      <c r="N16" s="3">
        <v>1</v>
      </c>
      <c r="O16" s="3">
        <v>1</v>
      </c>
      <c r="P16" s="3">
        <v>0</v>
      </c>
      <c r="Q16" s="5">
        <f>VLOOKUP(表1[[#This Row],[名称]],[1]!表1[#Data],18,FALSE)*10</f>
        <v>1</v>
      </c>
      <c r="R16" s="11" t="s">
        <v>62</v>
      </c>
      <c r="S16" s="5" t="s">
        <v>74</v>
      </c>
    </row>
    <row r="17" spans="1:19" x14ac:dyDescent="0.15">
      <c r="A17" s="3">
        <v>10012</v>
      </c>
      <c r="B17" s="5">
        <f>VLOOKUP(表1[[#This Row],[名称]],[1]!表1[#Data],3,FALSE)</f>
        <v>9055</v>
      </c>
      <c r="C17" s="5">
        <f>VLOOKUP(表1[[#This Row],[名称]],[1]!表1[#Data],4,FALSE)</f>
        <v>9476</v>
      </c>
      <c r="D17" s="5" t="str">
        <f>"gift_"&amp;表1[[#This Row],[价格]]</f>
        <v>gift_6</v>
      </c>
      <c r="E17" s="5">
        <f>VLOOKUP(表1[[#This Row],[iOS]],description!$G$1:$H$5,2,FALSE)</f>
        <v>3901</v>
      </c>
      <c r="F17" s="3" t="s">
        <v>40</v>
      </c>
      <c r="G17" s="3" t="str">
        <f>"[[""r000"","&amp;表1[[#This Row],[价格]]&amp;"]]"</f>
        <v>[["r000",6]]</v>
      </c>
      <c r="H17" s="11">
        <f>VLOOKUP(表1[[#This Row],[名称]],[1]!表1[#Data],5,FALSE)</f>
        <v>6</v>
      </c>
      <c r="I17" s="5" t="str">
        <f>VLOOKUP(表1[[#This Row],[名称]],[1]!表1[#Data],19,FALSE)</f>
        <v>[["i215",10],["i002",50],["i004",1],["i240",20]]</v>
      </c>
      <c r="J17" s="3">
        <v>1</v>
      </c>
      <c r="K17" s="3">
        <v>1</v>
      </c>
      <c r="L17" s="3" t="str">
        <f t="shared" si="0"/>
        <v>2018/03/12&amp;00:00:00</v>
      </c>
      <c r="M17" s="3" t="str">
        <f t="shared" si="1"/>
        <v>2018/03/12&amp;23:59:59</v>
      </c>
      <c r="N17" s="3">
        <v>1</v>
      </c>
      <c r="O17" s="3">
        <v>1</v>
      </c>
      <c r="P17" s="3">
        <v>0</v>
      </c>
      <c r="Q17" s="5">
        <f>VLOOKUP(表1[[#This Row],[名称]],[1]!表1[#Data],18,FALSE)*10</f>
        <v>2.7</v>
      </c>
      <c r="R17" s="11" t="s">
        <v>58</v>
      </c>
      <c r="S17" s="5" t="s">
        <v>65</v>
      </c>
    </row>
    <row r="18" spans="1:19" x14ac:dyDescent="0.15">
      <c r="A18" s="3">
        <v>10013</v>
      </c>
      <c r="B18" s="5">
        <f>VLOOKUP(表1[[#This Row],[名称]],[1]!表1[#Data],3,FALSE)</f>
        <v>9075</v>
      </c>
      <c r="C18" s="5">
        <f>VLOOKUP(表1[[#This Row],[名称]],[1]!表1[#Data],4,FALSE)</f>
        <v>9496</v>
      </c>
      <c r="D18" s="5" t="str">
        <f>"gift_"&amp;表1[[#This Row],[价格]]</f>
        <v>gift_45</v>
      </c>
      <c r="E18" s="5">
        <f>VLOOKUP(表1[[#This Row],[iOS]],description!$G$1:$H$5,2,FALSE)</f>
        <v>3905</v>
      </c>
      <c r="F18" s="3" t="s">
        <v>40</v>
      </c>
      <c r="G18" s="3" t="str">
        <f>"[[""r000"","&amp;表1[[#This Row],[价格]]&amp;"]]"</f>
        <v>[["r000",45]]</v>
      </c>
      <c r="H18">
        <f>VLOOKUP(表1[[#This Row],[名称]],[1]!表1[#Data],5,FALSE)</f>
        <v>45</v>
      </c>
      <c r="I18" s="5" t="str">
        <f>VLOOKUP(表1[[#This Row],[名称]],[1]!表1[#Data],19,FALSE)</f>
        <v>[["i001",500000],["i002",500],["i015",1],["i004",4]]</v>
      </c>
      <c r="J18" s="3">
        <v>1</v>
      </c>
      <c r="K18" s="3">
        <v>1</v>
      </c>
      <c r="L18" s="3" t="str">
        <f t="shared" si="0"/>
        <v>2018/03/13&amp;00:00:00</v>
      </c>
      <c r="M18" s="3" t="str">
        <f t="shared" si="1"/>
        <v>2018/03/13&amp;23:59:59</v>
      </c>
      <c r="N18" s="3">
        <v>1</v>
      </c>
      <c r="O18" s="3">
        <v>1</v>
      </c>
      <c r="P18" s="3">
        <v>0</v>
      </c>
      <c r="Q18" s="5">
        <f>VLOOKUP(表1[[#This Row],[名称]],[1]!表1[#Data],18,FALSE)*10</f>
        <v>3.8</v>
      </c>
      <c r="R18" s="3" t="s">
        <v>44</v>
      </c>
      <c r="S18" s="5" t="s">
        <v>75</v>
      </c>
    </row>
    <row r="19" spans="1:19" x14ac:dyDescent="0.15">
      <c r="A19" s="3">
        <v>10014</v>
      </c>
      <c r="B19" s="5">
        <f>VLOOKUP(表1[[#This Row],[名称]],[1]!表1[#Data],3,FALSE)</f>
        <v>9055</v>
      </c>
      <c r="C19" s="5">
        <f>VLOOKUP(表1[[#This Row],[名称]],[1]!表1[#Data],4,FALSE)</f>
        <v>9476</v>
      </c>
      <c r="D19" s="5" t="str">
        <f>"gift_"&amp;表1[[#This Row],[价格]]</f>
        <v>gift_6</v>
      </c>
      <c r="E19" s="5">
        <f>VLOOKUP(表1[[#This Row],[iOS]],description!$G$1:$H$5,2,FALSE)</f>
        <v>3901</v>
      </c>
      <c r="F19" s="3" t="s">
        <v>40</v>
      </c>
      <c r="G19" s="3" t="str">
        <f>"[[""r000"","&amp;表1[[#This Row],[价格]]&amp;"]]"</f>
        <v>[["r000",6]]</v>
      </c>
      <c r="H19">
        <f>VLOOKUP(表1[[#This Row],[名称]],[1]!表1[#Data],5,FALSE)</f>
        <v>6</v>
      </c>
      <c r="I19" s="5" t="str">
        <f>VLOOKUP(表1[[#This Row],[名称]],[1]!表1[#Data],19,FALSE)</f>
        <v>[["i001",100000],["i002",100],["i400",1],["i220",5]]</v>
      </c>
      <c r="J19" s="3">
        <v>1</v>
      </c>
      <c r="K19" s="3">
        <v>1</v>
      </c>
      <c r="L19" s="3" t="str">
        <f t="shared" si="0"/>
        <v>2018/03/14&amp;00:00:00</v>
      </c>
      <c r="M19" s="3" t="str">
        <f t="shared" si="1"/>
        <v>2018/03/14&amp;23:59:59</v>
      </c>
      <c r="N19" s="3">
        <v>1</v>
      </c>
      <c r="O19" s="3">
        <v>1</v>
      </c>
      <c r="P19" s="3">
        <v>0</v>
      </c>
      <c r="Q19" s="5">
        <f>VLOOKUP(表1[[#This Row],[名称]],[1]!表1[#Data],18,FALSE)*10</f>
        <v>3.5999999999999996</v>
      </c>
      <c r="R19" s="3" t="s">
        <v>39</v>
      </c>
      <c r="S19" s="5" t="s">
        <v>63</v>
      </c>
    </row>
    <row r="20" spans="1:19" x14ac:dyDescent="0.15">
      <c r="A20" s="3">
        <v>10015</v>
      </c>
      <c r="B20" s="5">
        <f>VLOOKUP(表1[[#This Row],[名称]],[1]!表1[#Data],3,FALSE)</f>
        <v>9056</v>
      </c>
      <c r="C20" s="5">
        <f>VLOOKUP(表1[[#This Row],[名称]],[1]!表1[#Data],4,FALSE)</f>
        <v>9477</v>
      </c>
      <c r="D20" s="5" t="str">
        <f>"gift_"&amp;表1[[#This Row],[价格]]</f>
        <v>gift_12</v>
      </c>
      <c r="E20" s="5">
        <f>VLOOKUP(表1[[#This Row],[iOS]],description!$G$1:$H$5,2,FALSE)</f>
        <v>3902</v>
      </c>
      <c r="F20" s="3" t="s">
        <v>40</v>
      </c>
      <c r="G20" s="3" t="str">
        <f>"[[""r000"","&amp;表1[[#This Row],[价格]]&amp;"]]"</f>
        <v>[["r000",12]]</v>
      </c>
      <c r="H20">
        <f>VLOOKUP(表1[[#This Row],[名称]],[1]!表1[#Data],5,FALSE)</f>
        <v>12</v>
      </c>
      <c r="I20" s="5" t="str">
        <f>VLOOKUP(表1[[#This Row],[名称]],[1]!表1[#Data],19,FALSE)</f>
        <v>[["i015",8],["i002",100],["i400",2],["i220",2]]</v>
      </c>
      <c r="J20" s="3">
        <v>1</v>
      </c>
      <c r="K20" s="3">
        <v>1</v>
      </c>
      <c r="L20" s="3" t="str">
        <f t="shared" si="0"/>
        <v>2018/03/15&amp;00:00:00</v>
      </c>
      <c r="M20" s="3" t="str">
        <f t="shared" si="1"/>
        <v>2018/03/15&amp;23:59:59</v>
      </c>
      <c r="N20" s="3">
        <v>1</v>
      </c>
      <c r="O20" s="3">
        <v>1</v>
      </c>
      <c r="P20" s="3">
        <v>0</v>
      </c>
      <c r="Q20" s="5">
        <f>VLOOKUP(表1[[#This Row],[名称]],[1]!表1[#Data],18,FALSE)*10</f>
        <v>3</v>
      </c>
      <c r="R20" s="11" t="s">
        <v>55</v>
      </c>
      <c r="S20" s="5" t="s">
        <v>64</v>
      </c>
    </row>
    <row r="21" spans="1:19" x14ac:dyDescent="0.15">
      <c r="A21" s="3">
        <v>10016</v>
      </c>
      <c r="B21" s="5">
        <f>VLOOKUP(表1[[#This Row],[名称]],[1]!表1[#Data],3,FALSE)</f>
        <v>9055</v>
      </c>
      <c r="C21" s="5">
        <f>VLOOKUP(表1[[#This Row],[名称]],[1]!表1[#Data],4,FALSE)</f>
        <v>9476</v>
      </c>
      <c r="D21" s="5" t="str">
        <f>"gift_"&amp;表1[[#This Row],[价格]]</f>
        <v>gift_6</v>
      </c>
      <c r="E21" s="5">
        <f>VLOOKUP(表1[[#This Row],[iOS]],description!$G$1:$H$5,2,FALSE)</f>
        <v>3901</v>
      </c>
      <c r="F21" s="3" t="s">
        <v>40</v>
      </c>
      <c r="G21" s="3" t="str">
        <f>"[[""r000"","&amp;表1[[#This Row],[价格]]&amp;"]]"</f>
        <v>[["r000",6]]</v>
      </c>
      <c r="H21">
        <f>VLOOKUP(表1[[#This Row],[名称]],[1]!表1[#Data],5,FALSE)</f>
        <v>6</v>
      </c>
      <c r="I21" s="5" t="str">
        <f>VLOOKUP(表1[[#This Row],[名称]],[1]!表1[#Data],19,FALSE)</f>
        <v>[["i215",10],["i002",50],["i004",1],["i240",20]]</v>
      </c>
      <c r="J21" s="3">
        <v>1</v>
      </c>
      <c r="K21" s="3">
        <v>1</v>
      </c>
      <c r="L21" s="3" t="str">
        <f t="shared" si="0"/>
        <v>2018/03/16&amp;00:00:00</v>
      </c>
      <c r="M21" s="3" t="str">
        <f t="shared" si="1"/>
        <v>2018/03/16&amp;23:59:59</v>
      </c>
      <c r="N21" s="3">
        <v>1</v>
      </c>
      <c r="O21" s="3">
        <v>1</v>
      </c>
      <c r="P21" s="3">
        <v>0</v>
      </c>
      <c r="Q21" s="5">
        <f>VLOOKUP(表1[[#This Row],[名称]],[1]!表1[#Data],18,FALSE)*10</f>
        <v>2.7</v>
      </c>
      <c r="R21" s="11" t="s">
        <v>58</v>
      </c>
      <c r="S21" s="5" t="s">
        <v>65</v>
      </c>
    </row>
    <row r="22" spans="1:19" x14ac:dyDescent="0.15">
      <c r="A22" s="3">
        <v>10017</v>
      </c>
      <c r="B22" s="5">
        <f>VLOOKUP(表1[[#This Row],[名称]],[1]!表1[#Data],3,FALSE)</f>
        <v>9056</v>
      </c>
      <c r="C22" s="5">
        <f>VLOOKUP(表1[[#This Row],[名称]],[1]!表1[#Data],4,FALSE)</f>
        <v>9477</v>
      </c>
      <c r="D22" s="5" t="str">
        <f>"gift_"&amp;表1[[#This Row],[价格]]</f>
        <v>gift_12</v>
      </c>
      <c r="E22" s="5">
        <f>VLOOKUP(表1[[#This Row],[iOS]],description!$G$1:$H$5,2,FALSE)</f>
        <v>3902</v>
      </c>
      <c r="F22" s="3" t="s">
        <v>40</v>
      </c>
      <c r="G22" s="3" t="str">
        <f>"[[""r000"","&amp;表1[[#This Row],[价格]]&amp;"]]"</f>
        <v>[["r000",12]]</v>
      </c>
      <c r="H22">
        <f>VLOOKUP(表1[[#This Row],[名称]],[1]!表1[#Data],5,FALSE)</f>
        <v>12</v>
      </c>
      <c r="I22" s="5" t="str">
        <f>VLOOKUP(表1[[#This Row],[名称]],[1]!表1[#Data],19,FALSE)</f>
        <v>[["i001",200000],["i002",200],["i400",2],["i220",10]]</v>
      </c>
      <c r="J22" s="3">
        <v>1</v>
      </c>
      <c r="K22" s="3">
        <v>1</v>
      </c>
      <c r="L22" s="3" t="str">
        <f t="shared" si="0"/>
        <v>2018/03/17&amp;00:00:00</v>
      </c>
      <c r="M22" s="3" t="str">
        <f t="shared" si="1"/>
        <v>2018/03/17&amp;23:59:59</v>
      </c>
      <c r="N22" s="3">
        <v>1</v>
      </c>
      <c r="O22" s="3">
        <v>1</v>
      </c>
      <c r="P22" s="3">
        <v>0</v>
      </c>
      <c r="Q22" s="5">
        <f>VLOOKUP(表1[[#This Row],[名称]],[1]!表1[#Data],18,FALSE)*10</f>
        <v>3.8</v>
      </c>
      <c r="R22" s="3" t="s">
        <v>41</v>
      </c>
      <c r="S22" s="5" t="s">
        <v>66</v>
      </c>
    </row>
    <row r="23" spans="1:19" x14ac:dyDescent="0.15">
      <c r="A23" s="3">
        <v>10018</v>
      </c>
      <c r="B23" s="5">
        <f>VLOOKUP(表1[[#This Row],[名称]],[1]!表1[#Data],3,FALSE)</f>
        <v>9072</v>
      </c>
      <c r="C23" s="5">
        <f>VLOOKUP(表1[[#This Row],[名称]],[1]!表1[#Data],4,FALSE)</f>
        <v>9493</v>
      </c>
      <c r="D23" s="5" t="str">
        <f>"gift_"&amp;表1[[#This Row],[价格]]</f>
        <v>gift_18</v>
      </c>
      <c r="E23" s="5">
        <f>VLOOKUP(表1[[#This Row],[iOS]],description!$G$1:$H$5,2,FALSE)</f>
        <v>3903</v>
      </c>
      <c r="F23" s="3" t="s">
        <v>40</v>
      </c>
      <c r="G23" s="3" t="str">
        <f>"[[""r000"","&amp;表1[[#This Row],[价格]]&amp;"]]"</f>
        <v>[["r000",18]]</v>
      </c>
      <c r="H23">
        <f>VLOOKUP(表1[[#This Row],[名称]],[1]!表1[#Data],5,FALSE)</f>
        <v>18</v>
      </c>
      <c r="I23" s="5" t="str">
        <f>VLOOKUP(表1[[#This Row],[名称]],[1]!表1[#Data],19,FALSE)</f>
        <v>[["i016",10],["i001",50000],["i400",5],["i004",5]]</v>
      </c>
      <c r="J23" s="3">
        <v>1</v>
      </c>
      <c r="K23" s="3">
        <v>1</v>
      </c>
      <c r="L23" s="3" t="str">
        <f t="shared" si="0"/>
        <v>2018/03/18&amp;00:00:00</v>
      </c>
      <c r="M23" s="3" t="str">
        <f t="shared" si="1"/>
        <v>2018/03/18&amp;23:59:59</v>
      </c>
      <c r="N23" s="3">
        <v>1</v>
      </c>
      <c r="O23" s="3">
        <v>1</v>
      </c>
      <c r="P23" s="3">
        <v>0</v>
      </c>
      <c r="Q23" s="5">
        <f>VLOOKUP(表1[[#This Row],[名称]],[1]!表1[#Data],18,FALSE)*10</f>
        <v>1.5</v>
      </c>
      <c r="R23" s="11" t="s">
        <v>61</v>
      </c>
      <c r="S23" s="5" t="s">
        <v>67</v>
      </c>
    </row>
    <row r="24" spans="1:19" x14ac:dyDescent="0.15">
      <c r="A24" s="3">
        <v>10019</v>
      </c>
      <c r="B24" s="5">
        <f>VLOOKUP(表1[[#This Row],[名称]],[1]!表1[#Data],3,FALSE)</f>
        <v>9055</v>
      </c>
      <c r="C24" s="5">
        <f>VLOOKUP(表1[[#This Row],[名称]],[1]!表1[#Data],4,FALSE)</f>
        <v>9476</v>
      </c>
      <c r="D24" s="5" t="str">
        <f>"gift_"&amp;表1[[#This Row],[价格]]</f>
        <v>gift_6</v>
      </c>
      <c r="E24" s="5">
        <f>VLOOKUP(表1[[#This Row],[iOS]],description!$G$1:$H$5,2,FALSE)</f>
        <v>3901</v>
      </c>
      <c r="F24" s="3" t="s">
        <v>40</v>
      </c>
      <c r="G24" s="3" t="str">
        <f>"[[""r000"","&amp;表1[[#This Row],[价格]]&amp;"]]"</f>
        <v>[["r000",6]]</v>
      </c>
      <c r="H24">
        <f>VLOOKUP(表1[[#This Row],[名称]],[1]!表1[#Data],5,FALSE)</f>
        <v>6</v>
      </c>
      <c r="I24" s="5" t="str">
        <f>VLOOKUP(表1[[#This Row],[名称]],[1]!表1[#Data],19,FALSE)</f>
        <v>[["i011",50],["i001",100000],["i004",1],["i015",1]]</v>
      </c>
      <c r="J24" s="3">
        <v>1</v>
      </c>
      <c r="K24" s="3">
        <v>1</v>
      </c>
      <c r="L24" s="3" t="str">
        <f t="shared" si="0"/>
        <v>2018/03/19&amp;00:00:00</v>
      </c>
      <c r="M24" s="3" t="str">
        <f t="shared" si="1"/>
        <v>2018/03/19&amp;23:59:59</v>
      </c>
      <c r="N24" s="3">
        <v>1</v>
      </c>
      <c r="O24" s="3">
        <v>1</v>
      </c>
      <c r="P24" s="3">
        <v>0</v>
      </c>
      <c r="Q24" s="5">
        <f>VLOOKUP(表1[[#This Row],[名称]],[1]!表1[#Data],18,FALSE)*10</f>
        <v>2.4</v>
      </c>
      <c r="R24" s="11" t="s">
        <v>60</v>
      </c>
      <c r="S24" s="5" t="s">
        <v>68</v>
      </c>
    </row>
    <row r="25" spans="1:19" x14ac:dyDescent="0.15">
      <c r="A25" s="3">
        <v>10020</v>
      </c>
      <c r="B25" s="5">
        <f>VLOOKUP(表1[[#This Row],[名称]],[1]!表1[#Data],3,FALSE)</f>
        <v>9055</v>
      </c>
      <c r="C25" s="5">
        <f>VLOOKUP(表1[[#This Row],[名称]],[1]!表1[#Data],4,FALSE)</f>
        <v>9476</v>
      </c>
      <c r="D25" s="5" t="str">
        <f>"gift_"&amp;表1[[#This Row],[价格]]</f>
        <v>gift_6</v>
      </c>
      <c r="E25" s="5">
        <f>VLOOKUP(表1[[#This Row],[iOS]],description!$G$1:$H$5,2,FALSE)</f>
        <v>3901</v>
      </c>
      <c r="F25" s="3" t="s">
        <v>40</v>
      </c>
      <c r="G25" s="3" t="str">
        <f>"[[""r000"","&amp;表1[[#This Row],[价格]]&amp;"]]"</f>
        <v>[["r000",6]]</v>
      </c>
      <c r="H25">
        <f>VLOOKUP(表1[[#This Row],[名称]],[1]!表1[#Data],5,FALSE)</f>
        <v>6</v>
      </c>
      <c r="I25" s="5" t="str">
        <f>VLOOKUP(表1[[#This Row],[名称]],[1]!表1[#Data],19,FALSE)</f>
        <v>[["i006",25],["i001",50000],["i004",1],["i015",1]]</v>
      </c>
      <c r="J25" s="3">
        <v>1</v>
      </c>
      <c r="K25" s="3">
        <v>1</v>
      </c>
      <c r="L25" s="3" t="str">
        <f t="shared" si="0"/>
        <v>2018/03/20&amp;00:00:00</v>
      </c>
      <c r="M25" s="3" t="str">
        <f t="shared" si="1"/>
        <v>2018/03/20&amp;23:59:59</v>
      </c>
      <c r="N25" s="3">
        <v>1</v>
      </c>
      <c r="O25" s="3">
        <v>1</v>
      </c>
      <c r="P25" s="3">
        <v>0</v>
      </c>
      <c r="Q25" s="5">
        <f>VLOOKUP(表1[[#This Row],[名称]],[1]!表1[#Data],18,FALSE)*10</f>
        <v>1.9</v>
      </c>
      <c r="R25" s="11" t="s">
        <v>59</v>
      </c>
      <c r="S25" s="5" t="s">
        <v>69</v>
      </c>
    </row>
    <row r="26" spans="1:19" x14ac:dyDescent="0.15">
      <c r="A26" s="3">
        <v>10021</v>
      </c>
      <c r="B26" s="5">
        <f>VLOOKUP(表1[[#This Row],[名称]],[1]!表1[#Data],3,FALSE)</f>
        <v>9056</v>
      </c>
      <c r="C26" s="5">
        <f>VLOOKUP(表1[[#This Row],[名称]],[1]!表1[#Data],4,FALSE)</f>
        <v>9477</v>
      </c>
      <c r="D26" s="5" t="str">
        <f>"gift_"&amp;表1[[#This Row],[价格]]</f>
        <v>gift_12</v>
      </c>
      <c r="E26" s="5">
        <f>VLOOKUP(表1[[#This Row],[iOS]],description!$G$1:$H$5,2,FALSE)</f>
        <v>3902</v>
      </c>
      <c r="F26" s="3" t="s">
        <v>40</v>
      </c>
      <c r="G26" s="3" t="str">
        <f>"[[""r000"","&amp;表1[[#This Row],[价格]]&amp;"]]"</f>
        <v>[["r000",12]]</v>
      </c>
      <c r="H26">
        <f>VLOOKUP(表1[[#This Row],[名称]],[1]!表1[#Data],5,FALSE)</f>
        <v>12</v>
      </c>
      <c r="I26" s="5" t="str">
        <f>VLOOKUP(表1[[#This Row],[名称]],[1]!表1[#Data],19,FALSE)</f>
        <v>[["i240",180],["i002",150],["i001",50000],["i220",5]]</v>
      </c>
      <c r="J26" s="3">
        <v>1</v>
      </c>
      <c r="K26" s="3">
        <v>1</v>
      </c>
      <c r="L26" s="3" t="str">
        <f t="shared" si="0"/>
        <v>2018/03/21&amp;00:00:00</v>
      </c>
      <c r="M26" s="3" t="str">
        <f t="shared" si="1"/>
        <v>2018/03/21&amp;23:59:59</v>
      </c>
      <c r="N26" s="3">
        <v>1</v>
      </c>
      <c r="O26" s="3">
        <v>1</v>
      </c>
      <c r="P26" s="3">
        <v>0</v>
      </c>
      <c r="Q26" s="5">
        <f>VLOOKUP(表1[[#This Row],[名称]],[1]!表1[#Data],18,FALSE)*10</f>
        <v>2.5</v>
      </c>
      <c r="R26" s="11" t="s">
        <v>56</v>
      </c>
      <c r="S26" s="5" t="s">
        <v>70</v>
      </c>
    </row>
    <row r="27" spans="1:19" x14ac:dyDescent="0.15">
      <c r="A27" s="3">
        <v>10022</v>
      </c>
      <c r="B27" s="5">
        <f>VLOOKUP(表1[[#This Row],[名称]],[1]!表1[#Data],3,FALSE)</f>
        <v>9072</v>
      </c>
      <c r="C27" s="5">
        <f>VLOOKUP(表1[[#This Row],[名称]],[1]!表1[#Data],4,FALSE)</f>
        <v>9493</v>
      </c>
      <c r="D27" s="5" t="str">
        <f>"gift_"&amp;表1[[#This Row],[价格]]</f>
        <v>gift_18</v>
      </c>
      <c r="E27" s="5">
        <f>VLOOKUP(表1[[#This Row],[iOS]],description!$G$1:$H$5,2,FALSE)</f>
        <v>3903</v>
      </c>
      <c r="F27" s="3" t="s">
        <v>40</v>
      </c>
      <c r="G27" s="3" t="str">
        <f>"[[""r000"","&amp;表1[[#This Row],[价格]]&amp;"]]"</f>
        <v>[["r000",18]]</v>
      </c>
      <c r="H27">
        <f>VLOOKUP(表1[[#This Row],[名称]],[1]!表1[#Data],5,FALSE)</f>
        <v>18</v>
      </c>
      <c r="I27" s="5" t="str">
        <f>VLOOKUP(表1[[#This Row],[名称]],[1]!表1[#Data],19,FALSE)</f>
        <v>[["i001",300000],["i002",300],["i015",1],["i400",2]]</v>
      </c>
      <c r="J27" s="3">
        <v>1</v>
      </c>
      <c r="K27" s="3">
        <v>1</v>
      </c>
      <c r="L27" s="3" t="str">
        <f t="shared" si="0"/>
        <v>2018/03/22&amp;00:00:00</v>
      </c>
      <c r="M27" s="3" t="str">
        <f t="shared" si="1"/>
        <v>2018/03/22&amp;23:59:59</v>
      </c>
      <c r="N27" s="3">
        <v>1</v>
      </c>
      <c r="O27" s="3">
        <v>1</v>
      </c>
      <c r="P27" s="3">
        <v>0</v>
      </c>
      <c r="Q27" s="5">
        <f>VLOOKUP(表1[[#This Row],[名称]],[1]!表1[#Data],18,FALSE)*10</f>
        <v>4</v>
      </c>
      <c r="R27" s="3" t="s">
        <v>42</v>
      </c>
      <c r="S27" s="5" t="s">
        <v>71</v>
      </c>
    </row>
    <row r="28" spans="1:19" x14ac:dyDescent="0.15">
      <c r="A28" s="3">
        <v>10023</v>
      </c>
      <c r="B28" s="5">
        <f>VLOOKUP(表1[[#This Row],[名称]],[1]!表1[#Data],3,FALSE)</f>
        <v>9055</v>
      </c>
      <c r="C28" s="5">
        <f>VLOOKUP(表1[[#This Row],[名称]],[1]!表1[#Data],4,FALSE)</f>
        <v>9476</v>
      </c>
      <c r="D28" s="5" t="str">
        <f>"gift_"&amp;表1[[#This Row],[价格]]</f>
        <v>gift_6</v>
      </c>
      <c r="E28" s="5">
        <f>VLOOKUP(表1[[#This Row],[iOS]],description!$G$1:$H$5,2,FALSE)</f>
        <v>3901</v>
      </c>
      <c r="F28" s="3" t="s">
        <v>40</v>
      </c>
      <c r="G28" s="3" t="str">
        <f>"[[""r000"","&amp;表1[[#This Row],[价格]]&amp;"]]"</f>
        <v>[["r000",6]]</v>
      </c>
      <c r="H28">
        <f>VLOOKUP(表1[[#This Row],[名称]],[1]!表1[#Data],5,FALSE)</f>
        <v>6</v>
      </c>
      <c r="I28" s="5" t="str">
        <f>VLOOKUP(表1[[#This Row],[名称]],[1]!表1[#Data],19,FALSE)</f>
        <v>[["i400",20],["i002",50],["i015",1],["i220",2]]</v>
      </c>
      <c r="J28" s="3">
        <v>1</v>
      </c>
      <c r="K28" s="3">
        <v>1</v>
      </c>
      <c r="L28" s="3" t="str">
        <f t="shared" si="0"/>
        <v>2018/03/23&amp;00:00:00</v>
      </c>
      <c r="M28" s="3" t="str">
        <f t="shared" si="1"/>
        <v>2018/03/23&amp;23:59:59</v>
      </c>
      <c r="N28" s="3">
        <v>1</v>
      </c>
      <c r="O28" s="3">
        <v>1</v>
      </c>
      <c r="P28" s="3">
        <v>0</v>
      </c>
      <c r="Q28" s="5">
        <f>VLOOKUP(表1[[#This Row],[名称]],[1]!表1[#Data],18,FALSE)*10</f>
        <v>1.9</v>
      </c>
      <c r="R28" s="11" t="s">
        <v>57</v>
      </c>
      <c r="S28" s="5" t="s">
        <v>72</v>
      </c>
    </row>
    <row r="29" spans="1:19" x14ac:dyDescent="0.15">
      <c r="A29" s="3">
        <v>10024</v>
      </c>
      <c r="B29" s="5">
        <f>VLOOKUP(表1[[#This Row],[名称]],[1]!表1[#Data],3,FALSE)</f>
        <v>9067</v>
      </c>
      <c r="C29" s="5">
        <f>VLOOKUP(表1[[#This Row],[名称]],[1]!表1[#Data],4,FALSE)</f>
        <v>9488</v>
      </c>
      <c r="D29" s="5" t="str">
        <f>"gift_"&amp;表1[[#This Row],[价格]]</f>
        <v>gift_30</v>
      </c>
      <c r="E29" s="5">
        <f>VLOOKUP(表1[[#This Row],[iOS]],description!$G$1:$H$5,2,FALSE)</f>
        <v>3904</v>
      </c>
      <c r="F29" s="3" t="s">
        <v>40</v>
      </c>
      <c r="G29" s="3" t="str">
        <f>"[[""r000"","&amp;表1[[#This Row],[价格]]&amp;"]]"</f>
        <v>[["r000",30]]</v>
      </c>
      <c r="H29">
        <f>VLOOKUP(表1[[#This Row],[名称]],[1]!表1[#Data],5,FALSE)</f>
        <v>30</v>
      </c>
      <c r="I29" s="5" t="str">
        <f>VLOOKUP(表1[[#This Row],[名称]],[1]!表1[#Data],19,FALSE)</f>
        <v>[["i001",400000],["i002",400],["i015",1],["i006",5]]</v>
      </c>
      <c r="J29" s="3">
        <v>1</v>
      </c>
      <c r="K29" s="3">
        <v>1</v>
      </c>
      <c r="L29" s="3" t="str">
        <f t="shared" si="0"/>
        <v>2018/03/24&amp;00:00:00</v>
      </c>
      <c r="M29" s="3" t="str">
        <f t="shared" si="1"/>
        <v>2018/03/24&amp;23:59:59</v>
      </c>
      <c r="N29" s="3">
        <v>1</v>
      </c>
      <c r="O29" s="3">
        <v>1</v>
      </c>
      <c r="P29" s="3">
        <v>0</v>
      </c>
      <c r="Q29" s="5">
        <f>VLOOKUP(表1[[#This Row],[名称]],[1]!表1[#Data],18,FALSE)*10</f>
        <v>3.8</v>
      </c>
      <c r="R29" s="3" t="s">
        <v>43</v>
      </c>
      <c r="S29" s="5" t="s">
        <v>73</v>
      </c>
    </row>
    <row r="30" spans="1:19" x14ac:dyDescent="0.15">
      <c r="A30" s="3">
        <v>10025</v>
      </c>
      <c r="B30" s="5">
        <f>VLOOKUP(表1[[#This Row],[名称]],[1]!表1[#Data],3,FALSE)</f>
        <v>9075</v>
      </c>
      <c r="C30" s="5">
        <f>VLOOKUP(表1[[#This Row],[名称]],[1]!表1[#Data],4,FALSE)</f>
        <v>9496</v>
      </c>
      <c r="D30" s="5" t="str">
        <f>"gift_"&amp;表1[[#This Row],[价格]]</f>
        <v>gift_45</v>
      </c>
      <c r="E30" s="5">
        <f>VLOOKUP(表1[[#This Row],[iOS]],description!$G$1:$H$5,2,FALSE)</f>
        <v>3905</v>
      </c>
      <c r="F30" s="3" t="s">
        <v>40</v>
      </c>
      <c r="G30" s="3" t="str">
        <f>"[[""r000"","&amp;表1[[#This Row],[价格]]&amp;"]]"</f>
        <v>[["r000",45]]</v>
      </c>
      <c r="H30">
        <f>VLOOKUP(表1[[#This Row],[名称]],[1]!表1[#Data],5,FALSE)</f>
        <v>45</v>
      </c>
      <c r="I30" s="5" t="str">
        <f>VLOOKUP(表1[[#This Row],[名称]],[1]!表1[#Data],19,FALSE)</f>
        <v>[["i017",8],["i002",100],["i004",10],["i006",10]]</v>
      </c>
      <c r="J30" s="3">
        <v>1</v>
      </c>
      <c r="K30" s="3">
        <v>1</v>
      </c>
      <c r="L30" s="3" t="str">
        <f t="shared" si="0"/>
        <v>2018/03/25&amp;00:00:00</v>
      </c>
      <c r="M30" s="3" t="str">
        <f t="shared" si="1"/>
        <v>2018/03/25&amp;23:59:59</v>
      </c>
      <c r="N30" s="3">
        <v>1</v>
      </c>
      <c r="O30" s="3">
        <v>1</v>
      </c>
      <c r="P30" s="3">
        <v>0</v>
      </c>
      <c r="Q30" s="5">
        <f>VLOOKUP(表1[[#This Row],[名称]],[1]!表1[#Data],18,FALSE)*10</f>
        <v>1</v>
      </c>
      <c r="R30" s="11" t="s">
        <v>62</v>
      </c>
      <c r="S30" s="5" t="s">
        <v>74</v>
      </c>
    </row>
    <row r="31" spans="1:19" x14ac:dyDescent="0.15">
      <c r="A31" s="3">
        <v>10026</v>
      </c>
      <c r="B31" s="5">
        <f>VLOOKUP(表1[[#This Row],[名称]],[1]!表1[#Data],3,FALSE)</f>
        <v>9055</v>
      </c>
      <c r="C31" s="5">
        <f>VLOOKUP(表1[[#This Row],[名称]],[1]!表1[#Data],4,FALSE)</f>
        <v>9476</v>
      </c>
      <c r="D31" s="5" t="str">
        <f>"gift_"&amp;表1[[#This Row],[价格]]</f>
        <v>gift_6</v>
      </c>
      <c r="E31" s="5">
        <f>VLOOKUP(表1[[#This Row],[iOS]],description!$G$1:$H$5,2,FALSE)</f>
        <v>3901</v>
      </c>
      <c r="F31" s="3" t="s">
        <v>40</v>
      </c>
      <c r="G31" s="3" t="str">
        <f>"[[""r000"","&amp;表1[[#This Row],[价格]]&amp;"]]"</f>
        <v>[["r000",6]]</v>
      </c>
      <c r="H31">
        <f>VLOOKUP(表1[[#This Row],[名称]],[1]!表1[#Data],5,FALSE)</f>
        <v>6</v>
      </c>
      <c r="I31" s="5" t="str">
        <f>VLOOKUP(表1[[#This Row],[名称]],[1]!表1[#Data],19,FALSE)</f>
        <v>[["i215",10],["i002",50],["i004",1],["i240",20]]</v>
      </c>
      <c r="J31" s="3">
        <v>1</v>
      </c>
      <c r="K31" s="3">
        <v>1</v>
      </c>
      <c r="L31" s="3" t="str">
        <f t="shared" si="0"/>
        <v>2018/03/26&amp;00:00:00</v>
      </c>
      <c r="M31" s="3" t="str">
        <f t="shared" si="1"/>
        <v>2018/03/26&amp;23:59:59</v>
      </c>
      <c r="N31" s="3">
        <v>1</v>
      </c>
      <c r="O31" s="3">
        <v>1</v>
      </c>
      <c r="P31" s="3">
        <v>0</v>
      </c>
      <c r="Q31" s="5">
        <f>VLOOKUP(表1[[#This Row],[名称]],[1]!表1[#Data],18,FALSE)*10</f>
        <v>2.7</v>
      </c>
      <c r="R31" s="11" t="s">
        <v>58</v>
      </c>
      <c r="S31" s="5" t="s">
        <v>65</v>
      </c>
    </row>
    <row r="32" spans="1:19" x14ac:dyDescent="0.15">
      <c r="A32" s="3">
        <v>10027</v>
      </c>
      <c r="B32" s="5">
        <f>VLOOKUP(表1[[#This Row],[名称]],[1]!表1[#Data],3,FALSE)</f>
        <v>9055</v>
      </c>
      <c r="C32" s="5">
        <f>VLOOKUP(表1[[#This Row],[名称]],[1]!表1[#Data],4,FALSE)</f>
        <v>9476</v>
      </c>
      <c r="D32" s="5" t="str">
        <f>"gift_"&amp;表1[[#This Row],[价格]]</f>
        <v>gift_6</v>
      </c>
      <c r="E32" s="5">
        <f>VLOOKUP(表1[[#This Row],[iOS]],description!$G$1:$H$5,2,FALSE)</f>
        <v>3901</v>
      </c>
      <c r="F32" s="3" t="s">
        <v>40</v>
      </c>
      <c r="G32" s="3" t="str">
        <f>"[[""r000"","&amp;表1[[#This Row],[价格]]&amp;"]]"</f>
        <v>[["r000",6]]</v>
      </c>
      <c r="H32">
        <f>VLOOKUP(表1[[#This Row],[名称]],[1]!表1[#Data],5,FALSE)</f>
        <v>6</v>
      </c>
      <c r="I32" s="5" t="str">
        <f>VLOOKUP(表1[[#This Row],[名称]],[1]!表1[#Data],19,FALSE)</f>
        <v>[["i006",25],["i001",50000],["i004",1],["i015",1]]</v>
      </c>
      <c r="J32" s="3">
        <v>1</v>
      </c>
      <c r="K32" s="3">
        <v>1</v>
      </c>
      <c r="L32" s="3" t="str">
        <f t="shared" si="0"/>
        <v>2018/03/27&amp;00:00:00</v>
      </c>
      <c r="M32" s="3" t="str">
        <f t="shared" si="1"/>
        <v>2018/03/27&amp;23:59:59</v>
      </c>
      <c r="N32" s="3">
        <v>1</v>
      </c>
      <c r="O32" s="3">
        <v>1</v>
      </c>
      <c r="P32" s="3">
        <v>0</v>
      </c>
      <c r="Q32" s="5">
        <f>VLOOKUP(表1[[#This Row],[名称]],[1]!表1[#Data],18,FALSE)*10</f>
        <v>1.9</v>
      </c>
      <c r="R32" s="11" t="s">
        <v>59</v>
      </c>
      <c r="S32" s="5" t="s">
        <v>69</v>
      </c>
    </row>
    <row r="33" spans="1:19" x14ac:dyDescent="0.15">
      <c r="A33" s="3">
        <v>10028</v>
      </c>
      <c r="B33" s="5">
        <f>VLOOKUP(表1[[#This Row],[名称]],[1]!表1[#Data],3,FALSE)</f>
        <v>9055</v>
      </c>
      <c r="C33" s="5">
        <f>VLOOKUP(表1[[#This Row],[名称]],[1]!表1[#Data],4,FALSE)</f>
        <v>9476</v>
      </c>
      <c r="D33" s="5" t="str">
        <f>"gift_"&amp;表1[[#This Row],[价格]]</f>
        <v>gift_6</v>
      </c>
      <c r="E33" s="5">
        <f>VLOOKUP(表1[[#This Row],[iOS]],description!$G$1:$H$5,2,FALSE)</f>
        <v>3901</v>
      </c>
      <c r="F33" s="3" t="s">
        <v>40</v>
      </c>
      <c r="G33" s="3" t="str">
        <f>"[[""r000"","&amp;表1[[#This Row],[价格]]&amp;"]]"</f>
        <v>[["r000",6]]</v>
      </c>
      <c r="H33" s="12">
        <f>VLOOKUP(表1[[#This Row],[名称]],[1]!表1[#Data],5,FALSE)</f>
        <v>6</v>
      </c>
      <c r="I33" s="5" t="str">
        <f>VLOOKUP(表1[[#This Row],[名称]],[1]!表1[#Data],19,FALSE)</f>
        <v>[["i006",25],["i001",50000],["i004",1],["i015",1]]</v>
      </c>
      <c r="J33" s="3">
        <v>1</v>
      </c>
      <c r="K33" s="3">
        <v>1</v>
      </c>
      <c r="L33" s="3" t="str">
        <f t="shared" si="0"/>
        <v>2018/03/28&amp;00:00:00</v>
      </c>
      <c r="M33" s="13" t="str">
        <f t="shared" si="1"/>
        <v>2018/03/28&amp;23:59:59</v>
      </c>
      <c r="N33" s="3">
        <v>1</v>
      </c>
      <c r="O33" s="3">
        <v>1</v>
      </c>
      <c r="P33" s="3">
        <v>0</v>
      </c>
      <c r="Q33" s="5">
        <f>VLOOKUP(表1[[#This Row],[名称]],[1]!表1[#Data],18,FALSE)*10</f>
        <v>1.9</v>
      </c>
      <c r="R33" s="11" t="s">
        <v>59</v>
      </c>
      <c r="S33" s="15" t="s">
        <v>69</v>
      </c>
    </row>
    <row r="34" spans="1:19" x14ac:dyDescent="0.15">
      <c r="A34" s="3">
        <v>10029</v>
      </c>
      <c r="B34" s="5">
        <f>VLOOKUP(表1[[#This Row],[名称]],[1]!表1[#Data],3,FALSE)</f>
        <v>9055</v>
      </c>
      <c r="C34" s="5">
        <f>VLOOKUP(表1[[#This Row],[名称]],[1]!表1[#Data],4,FALSE)</f>
        <v>9476</v>
      </c>
      <c r="D34" s="5" t="str">
        <f>"gift_"&amp;表1[[#This Row],[价格]]</f>
        <v>gift_6</v>
      </c>
      <c r="E34" s="5">
        <f>VLOOKUP(表1[[#This Row],[iOS]],description!$G$1:$H$5,2,FALSE)</f>
        <v>3901</v>
      </c>
      <c r="F34" s="3" t="s">
        <v>40</v>
      </c>
      <c r="G34" s="3" t="str">
        <f>"[[""r000"","&amp;表1[[#This Row],[价格]]&amp;"]]"</f>
        <v>[["r000",6]]</v>
      </c>
      <c r="H34" s="12">
        <f>VLOOKUP(表1[[#This Row],[名称]],[1]!表1[#Data],5,FALSE)</f>
        <v>6</v>
      </c>
      <c r="I34" s="5" t="str">
        <f>VLOOKUP(表1[[#This Row],[名称]],[1]!表1[#Data],19,FALSE)</f>
        <v>[["i215",10],["i002",50],["i004",1],["i240",20]]</v>
      </c>
      <c r="J34" s="3">
        <v>1</v>
      </c>
      <c r="K34" s="3">
        <v>1</v>
      </c>
      <c r="L34" s="3" t="str">
        <f t="shared" si="0"/>
        <v>2018/03/29&amp;00:00:00</v>
      </c>
      <c r="M34" s="13" t="str">
        <f t="shared" si="1"/>
        <v>2018/03/29&amp;23:59:59</v>
      </c>
      <c r="N34" s="3">
        <v>1</v>
      </c>
      <c r="O34" s="3">
        <v>1</v>
      </c>
      <c r="P34" s="3">
        <v>0</v>
      </c>
      <c r="Q34" s="5">
        <f>VLOOKUP(表1[[#This Row],[名称]],[1]!表1[#Data],18,FALSE)*10</f>
        <v>2.7</v>
      </c>
      <c r="R34" s="11" t="s">
        <v>58</v>
      </c>
      <c r="S34" s="15" t="s">
        <v>65</v>
      </c>
    </row>
    <row r="35" spans="1:19" x14ac:dyDescent="0.15">
      <c r="A35" s="3">
        <v>10030</v>
      </c>
      <c r="B35" s="5">
        <f>VLOOKUP(表1[[#This Row],[名称]],[1]!表1[#Data],3,FALSE)</f>
        <v>9075</v>
      </c>
      <c r="C35" s="5">
        <f>VLOOKUP(表1[[#This Row],[名称]],[1]!表1[#Data],4,FALSE)</f>
        <v>9496</v>
      </c>
      <c r="D35" s="5" t="str">
        <f>"gift_"&amp;表1[[#This Row],[价格]]</f>
        <v>gift_45</v>
      </c>
      <c r="E35" s="5">
        <f>VLOOKUP(表1[[#This Row],[iOS]],description!$G$1:$H$5,2,FALSE)</f>
        <v>3905</v>
      </c>
      <c r="F35" s="3" t="s">
        <v>40</v>
      </c>
      <c r="G35" s="3" t="str">
        <f>"[[""r000"","&amp;表1[[#This Row],[价格]]&amp;"]]"</f>
        <v>[["r000",45]]</v>
      </c>
      <c r="H35" s="12">
        <f>VLOOKUP(表1[[#This Row],[名称]],[1]!表1[#Data],5,FALSE)</f>
        <v>45</v>
      </c>
      <c r="I35" s="5" t="str">
        <f>VLOOKUP(表1[[#This Row],[名称]],[1]!表1[#Data],19,FALSE)</f>
        <v>[["i017",8],["i002",100],["i004",10],["i006",10]]</v>
      </c>
      <c r="J35" s="3">
        <v>1</v>
      </c>
      <c r="K35" s="3">
        <v>1</v>
      </c>
      <c r="L35" s="3" t="str">
        <f t="shared" si="0"/>
        <v>2018/03/30&amp;00:00:00</v>
      </c>
      <c r="M35" s="13" t="str">
        <f t="shared" si="1"/>
        <v>2018/03/30&amp;23:59:59</v>
      </c>
      <c r="N35" s="3">
        <v>1</v>
      </c>
      <c r="O35" s="3">
        <v>1</v>
      </c>
      <c r="P35" s="3">
        <v>0</v>
      </c>
      <c r="Q35" s="5">
        <f>VLOOKUP(表1[[#This Row],[名称]],[1]!表1[#Data],18,FALSE)*10</f>
        <v>1</v>
      </c>
      <c r="R35" s="11" t="s">
        <v>62</v>
      </c>
      <c r="S35" s="15" t="s">
        <v>74</v>
      </c>
    </row>
    <row r="36" spans="1:19" x14ac:dyDescent="0.15">
      <c r="A36" s="3">
        <v>10031</v>
      </c>
      <c r="B36" s="5">
        <f>VLOOKUP(表1[[#This Row],[名称]],[1]!表1[#Data],3,FALSE)</f>
        <v>9067</v>
      </c>
      <c r="C36" s="5">
        <f>VLOOKUP(表1[[#This Row],[名称]],[1]!表1[#Data],4,FALSE)</f>
        <v>9488</v>
      </c>
      <c r="D36" s="5" t="str">
        <f>"gift_"&amp;表1[[#This Row],[价格]]</f>
        <v>gift_30</v>
      </c>
      <c r="E36" s="5">
        <f>VLOOKUP(表1[[#This Row],[iOS]],description!$G$1:$H$5,2,FALSE)</f>
        <v>3904</v>
      </c>
      <c r="F36" s="3" t="s">
        <v>40</v>
      </c>
      <c r="G36" s="3" t="str">
        <f>"[[""r000"","&amp;表1[[#This Row],[价格]]&amp;"]]"</f>
        <v>[["r000",30]]</v>
      </c>
      <c r="H36" s="12">
        <f>VLOOKUP(表1[[#This Row],[名称]],[1]!表1[#Data],5,FALSE)</f>
        <v>30</v>
      </c>
      <c r="I36" s="5" t="str">
        <f>VLOOKUP(表1[[#This Row],[名称]],[1]!表1[#Data],19,FALSE)</f>
        <v>[["i001",400000],["i002",400],["i015",1],["i006",5]]</v>
      </c>
      <c r="J36" s="3">
        <v>1</v>
      </c>
      <c r="K36" s="3">
        <v>1</v>
      </c>
      <c r="L36" s="3" t="str">
        <f t="shared" si="0"/>
        <v>2018/03/31&amp;00:00:00</v>
      </c>
      <c r="M36" s="13" t="str">
        <f t="shared" si="1"/>
        <v>2018/03/31&amp;23:59:59</v>
      </c>
      <c r="N36" s="3">
        <v>1</v>
      </c>
      <c r="O36" s="3">
        <v>1</v>
      </c>
      <c r="P36" s="3">
        <v>0</v>
      </c>
      <c r="Q36" s="5">
        <f>VLOOKUP(表1[[#This Row],[名称]],[1]!表1[#Data],18,FALSE)*10</f>
        <v>3.8</v>
      </c>
      <c r="R36" s="3" t="s">
        <v>43</v>
      </c>
      <c r="S36" s="15" t="s">
        <v>73</v>
      </c>
    </row>
    <row r="37" spans="1:19" x14ac:dyDescent="0.15">
      <c r="A37" s="3">
        <v>10032</v>
      </c>
      <c r="B37" s="5">
        <f>VLOOKUP(表1[[#This Row],[名称]],[1]!表1[#Data],3,FALSE)</f>
        <v>9055</v>
      </c>
      <c r="C37" s="5">
        <f>VLOOKUP(表1[[#This Row],[名称]],[1]!表1[#Data],4,FALSE)</f>
        <v>9476</v>
      </c>
      <c r="D37" s="5" t="str">
        <f>"gift_"&amp;表1[[#This Row],[价格]]</f>
        <v>gift_6</v>
      </c>
      <c r="E37" s="5">
        <f>VLOOKUP(表1[[#This Row],[iOS]],description!$G$1:$H$5,2,FALSE)</f>
        <v>3901</v>
      </c>
      <c r="F37" s="3" t="s">
        <v>40</v>
      </c>
      <c r="G37" s="3" t="str">
        <f>"[[""r000"","&amp;表1[[#This Row],[价格]]&amp;"]]"</f>
        <v>[["r000",6]]</v>
      </c>
      <c r="H37" s="12">
        <f>VLOOKUP(表1[[#This Row],[名称]],[1]!表1[#Data],5,FALSE)</f>
        <v>6</v>
      </c>
      <c r="I37" s="5" t="str">
        <f>VLOOKUP(表1[[#This Row],[名称]],[1]!表1[#Data],19,FALSE)</f>
        <v>[["i400",20],["i002",50],["i015",1],["i220",2]]</v>
      </c>
      <c r="J37" s="3">
        <v>1</v>
      </c>
      <c r="K37" s="3">
        <v>1</v>
      </c>
      <c r="L37" s="3" t="str">
        <f t="shared" si="0"/>
        <v>2018/04/01&amp;00:00:00</v>
      </c>
      <c r="M37" s="13" t="str">
        <f t="shared" si="1"/>
        <v>2018/04/01&amp;23:59:59</v>
      </c>
      <c r="N37" s="3">
        <v>1</v>
      </c>
      <c r="O37" s="3">
        <v>1</v>
      </c>
      <c r="P37" s="3">
        <v>0</v>
      </c>
      <c r="Q37" s="5">
        <f>VLOOKUP(表1[[#This Row],[名称]],[1]!表1[#Data],18,FALSE)*10</f>
        <v>1.9</v>
      </c>
      <c r="R37" s="11" t="s">
        <v>57</v>
      </c>
      <c r="S37" s="15" t="s">
        <v>72</v>
      </c>
    </row>
    <row r="38" spans="1:19" x14ac:dyDescent="0.15">
      <c r="A38" s="3">
        <v>10033</v>
      </c>
      <c r="B38" s="5">
        <f>VLOOKUP(表1[[#This Row],[名称]],[1]!表1[#Data],3,FALSE)</f>
        <v>9072</v>
      </c>
      <c r="C38" s="5">
        <f>VLOOKUP(表1[[#This Row],[名称]],[1]!表1[#Data],4,FALSE)</f>
        <v>9493</v>
      </c>
      <c r="D38" s="5" t="str">
        <f>"gift_"&amp;表1[[#This Row],[价格]]</f>
        <v>gift_18</v>
      </c>
      <c r="E38" s="5">
        <f>VLOOKUP(表1[[#This Row],[iOS]],description!$G$1:$H$5,2,FALSE)</f>
        <v>3903</v>
      </c>
      <c r="F38" s="3" t="s">
        <v>40</v>
      </c>
      <c r="G38" s="3" t="str">
        <f>"[[""r000"","&amp;表1[[#This Row],[价格]]&amp;"]]"</f>
        <v>[["r000",18]]</v>
      </c>
      <c r="H38" s="12">
        <f>VLOOKUP(表1[[#This Row],[名称]],[1]!表1[#Data],5,FALSE)</f>
        <v>18</v>
      </c>
      <c r="I38" s="5" t="str">
        <f>VLOOKUP(表1[[#This Row],[名称]],[1]!表1[#Data],19,FALSE)</f>
        <v>[["i001",300000],["i002",300],["i015",1],["i400",2]]</v>
      </c>
      <c r="J38" s="3">
        <v>1</v>
      </c>
      <c r="K38" s="3">
        <v>1</v>
      </c>
      <c r="L38" s="3" t="str">
        <f t="shared" si="0"/>
        <v>2018/04/02&amp;00:00:00</v>
      </c>
      <c r="M38" s="13" t="str">
        <f t="shared" si="1"/>
        <v>2018/04/02&amp;23:59:59</v>
      </c>
      <c r="N38" s="3">
        <v>1</v>
      </c>
      <c r="O38" s="3">
        <v>1</v>
      </c>
      <c r="P38" s="3">
        <v>0</v>
      </c>
      <c r="Q38" s="5">
        <f>VLOOKUP(表1[[#This Row],[名称]],[1]!表1[#Data],18,FALSE)*10</f>
        <v>4</v>
      </c>
      <c r="R38" s="3" t="s">
        <v>42</v>
      </c>
      <c r="S38" s="15" t="s">
        <v>71</v>
      </c>
    </row>
    <row r="39" spans="1:19" x14ac:dyDescent="0.15">
      <c r="A39" s="3">
        <v>10034</v>
      </c>
      <c r="B39" s="5">
        <f>VLOOKUP(表1[[#This Row],[名称]],[1]!表1[#Data],3,FALSE)</f>
        <v>9056</v>
      </c>
      <c r="C39" s="5">
        <f>VLOOKUP(表1[[#This Row],[名称]],[1]!表1[#Data],4,FALSE)</f>
        <v>9477</v>
      </c>
      <c r="D39" s="5" t="str">
        <f>"gift_"&amp;表1[[#This Row],[价格]]</f>
        <v>gift_12</v>
      </c>
      <c r="E39" s="5">
        <f>VLOOKUP(表1[[#This Row],[iOS]],description!$G$1:$H$5,2,FALSE)</f>
        <v>3902</v>
      </c>
      <c r="F39" s="3" t="s">
        <v>40</v>
      </c>
      <c r="G39" s="3" t="str">
        <f>"[[""r000"","&amp;表1[[#This Row],[价格]]&amp;"]]"</f>
        <v>[["r000",12]]</v>
      </c>
      <c r="H39" s="12">
        <f>VLOOKUP(表1[[#This Row],[名称]],[1]!表1[#Data],5,FALSE)</f>
        <v>12</v>
      </c>
      <c r="I39" s="5" t="str">
        <f>VLOOKUP(表1[[#This Row],[名称]],[1]!表1[#Data],19,FALSE)</f>
        <v>[["i240",180],["i002",150],["i001",50000],["i220",5]]</v>
      </c>
      <c r="J39" s="3">
        <v>1</v>
      </c>
      <c r="K39" s="3">
        <v>1</v>
      </c>
      <c r="L39" s="3" t="str">
        <f t="shared" si="0"/>
        <v>2018/04/03&amp;00:00:00</v>
      </c>
      <c r="M39" s="13" t="str">
        <f t="shared" si="1"/>
        <v>2018/04/03&amp;23:59:59</v>
      </c>
      <c r="N39" s="3">
        <v>1</v>
      </c>
      <c r="O39" s="3">
        <v>1</v>
      </c>
      <c r="P39" s="3">
        <v>0</v>
      </c>
      <c r="Q39" s="5">
        <f>VLOOKUP(表1[[#This Row],[名称]],[1]!表1[#Data],18,FALSE)*10</f>
        <v>2.5</v>
      </c>
      <c r="R39" s="11" t="s">
        <v>56</v>
      </c>
      <c r="S39" s="15" t="s">
        <v>70</v>
      </c>
    </row>
    <row r="40" spans="1:19" x14ac:dyDescent="0.15">
      <c r="A40" s="3">
        <v>10035</v>
      </c>
      <c r="B40" s="5">
        <f>VLOOKUP(表1[[#This Row],[名称]],[1]!表1[#Data],3,FALSE)</f>
        <v>9055</v>
      </c>
      <c r="C40" s="5">
        <f>VLOOKUP(表1[[#This Row],[名称]],[1]!表1[#Data],4,FALSE)</f>
        <v>9476</v>
      </c>
      <c r="D40" s="5" t="str">
        <f>"gift_"&amp;表1[[#This Row],[价格]]</f>
        <v>gift_6</v>
      </c>
      <c r="E40" s="5">
        <f>VLOOKUP(表1[[#This Row],[iOS]],description!$G$1:$H$5,2,FALSE)</f>
        <v>3901</v>
      </c>
      <c r="F40" s="3" t="s">
        <v>40</v>
      </c>
      <c r="G40" s="3" t="str">
        <f>"[[""r000"","&amp;表1[[#This Row],[价格]]&amp;"]]"</f>
        <v>[["r000",6]]</v>
      </c>
      <c r="H40" s="12">
        <f>VLOOKUP(表1[[#This Row],[名称]],[1]!表1[#Data],5,FALSE)</f>
        <v>6</v>
      </c>
      <c r="I40" s="5" t="str">
        <f>VLOOKUP(表1[[#This Row],[名称]],[1]!表1[#Data],19,FALSE)</f>
        <v>[["i006",25],["i001",50000],["i004",1],["i015",1]]</v>
      </c>
      <c r="J40" s="3">
        <v>1</v>
      </c>
      <c r="K40" s="3">
        <v>1</v>
      </c>
      <c r="L40" s="3" t="str">
        <f t="shared" si="0"/>
        <v>2018/04/04&amp;00:00:00</v>
      </c>
      <c r="M40" s="13" t="str">
        <f t="shared" si="1"/>
        <v>2018/04/04&amp;23:59:59</v>
      </c>
      <c r="N40" s="3">
        <v>1</v>
      </c>
      <c r="O40" s="3">
        <v>1</v>
      </c>
      <c r="P40" s="3">
        <v>0</v>
      </c>
      <c r="Q40" s="5">
        <f>VLOOKUP(表1[[#This Row],[名称]],[1]!表1[#Data],18,FALSE)*10</f>
        <v>1.9</v>
      </c>
      <c r="R40" s="11" t="s">
        <v>59</v>
      </c>
      <c r="S40" s="15" t="s">
        <v>69</v>
      </c>
    </row>
    <row r="41" spans="1:19" x14ac:dyDescent="0.15">
      <c r="A41" s="3">
        <v>10036</v>
      </c>
      <c r="B41" s="5">
        <f>VLOOKUP(表1[[#This Row],[名称]],[1]!表1[#Data],3,FALSE)</f>
        <v>9055</v>
      </c>
      <c r="C41" s="5">
        <f>VLOOKUP(表1[[#This Row],[名称]],[1]!表1[#Data],4,FALSE)</f>
        <v>9476</v>
      </c>
      <c r="D41" s="5" t="str">
        <f>"gift_"&amp;表1[[#This Row],[价格]]</f>
        <v>gift_6</v>
      </c>
      <c r="E41" s="5">
        <f>VLOOKUP(表1[[#This Row],[iOS]],description!$G$1:$H$5,2,FALSE)</f>
        <v>3901</v>
      </c>
      <c r="F41" s="3" t="s">
        <v>40</v>
      </c>
      <c r="G41" s="3" t="str">
        <f>"[[""r000"","&amp;表1[[#This Row],[价格]]&amp;"]]"</f>
        <v>[["r000",6]]</v>
      </c>
      <c r="H41" s="12">
        <f>VLOOKUP(表1[[#This Row],[名称]],[1]!表1[#Data],5,FALSE)</f>
        <v>6</v>
      </c>
      <c r="I41" s="5" t="str">
        <f>VLOOKUP(表1[[#This Row],[名称]],[1]!表1[#Data],19,FALSE)</f>
        <v>[["i011",50],["i001",100000],["i004",1],["i015",1]]</v>
      </c>
      <c r="J41" s="3">
        <v>1</v>
      </c>
      <c r="K41" s="3">
        <v>1</v>
      </c>
      <c r="L41" s="3" t="str">
        <f t="shared" si="0"/>
        <v>2018/04/05&amp;00:00:00</v>
      </c>
      <c r="M41" s="13" t="str">
        <f t="shared" si="1"/>
        <v>2018/04/05&amp;23:59:59</v>
      </c>
      <c r="N41" s="3">
        <v>1</v>
      </c>
      <c r="O41" s="3">
        <v>1</v>
      </c>
      <c r="P41" s="3">
        <v>0</v>
      </c>
      <c r="Q41" s="5">
        <f>VLOOKUP(表1[[#This Row],[名称]],[1]!表1[#Data],18,FALSE)*10</f>
        <v>2.4</v>
      </c>
      <c r="R41" s="11" t="s">
        <v>60</v>
      </c>
      <c r="S41" s="15" t="s">
        <v>68</v>
      </c>
    </row>
    <row r="42" spans="1:19" x14ac:dyDescent="0.15">
      <c r="A42" s="3">
        <v>10037</v>
      </c>
      <c r="B42" s="5">
        <f>VLOOKUP(表1[[#This Row],[名称]],[1]!表1[#Data],3,FALSE)</f>
        <v>9072</v>
      </c>
      <c r="C42" s="5">
        <f>VLOOKUP(表1[[#This Row],[名称]],[1]!表1[#Data],4,FALSE)</f>
        <v>9493</v>
      </c>
      <c r="D42" s="5" t="str">
        <f>"gift_"&amp;表1[[#This Row],[价格]]</f>
        <v>gift_18</v>
      </c>
      <c r="E42" s="5">
        <f>VLOOKUP(表1[[#This Row],[iOS]],description!$G$1:$H$5,2,FALSE)</f>
        <v>3903</v>
      </c>
      <c r="F42" s="3" t="s">
        <v>40</v>
      </c>
      <c r="G42" s="3" t="str">
        <f>"[[""r000"","&amp;表1[[#This Row],[价格]]&amp;"]]"</f>
        <v>[["r000",18]]</v>
      </c>
      <c r="H42" s="12">
        <f>VLOOKUP(表1[[#This Row],[名称]],[1]!表1[#Data],5,FALSE)</f>
        <v>18</v>
      </c>
      <c r="I42" s="5" t="str">
        <f>VLOOKUP(表1[[#This Row],[名称]],[1]!表1[#Data],19,FALSE)</f>
        <v>[["i016",10],["i001",50000],["i400",5],["i004",5]]</v>
      </c>
      <c r="J42" s="3">
        <v>1</v>
      </c>
      <c r="K42" s="3">
        <v>1</v>
      </c>
      <c r="L42" s="3" t="str">
        <f t="shared" si="0"/>
        <v>2018/04/06&amp;00:00:00</v>
      </c>
      <c r="M42" s="13" t="str">
        <f t="shared" si="1"/>
        <v>2018/04/06&amp;23:59:59</v>
      </c>
      <c r="N42" s="3">
        <v>1</v>
      </c>
      <c r="O42" s="3">
        <v>1</v>
      </c>
      <c r="P42" s="3">
        <v>0</v>
      </c>
      <c r="Q42" s="5">
        <f>VLOOKUP(表1[[#This Row],[名称]],[1]!表1[#Data],18,FALSE)*10</f>
        <v>1.5</v>
      </c>
      <c r="R42" s="11" t="s">
        <v>61</v>
      </c>
      <c r="S42" s="15" t="s">
        <v>67</v>
      </c>
    </row>
    <row r="43" spans="1:19" x14ac:dyDescent="0.15">
      <c r="A43" s="3">
        <v>10038</v>
      </c>
      <c r="B43" s="5">
        <f>VLOOKUP(表1[[#This Row],[名称]],[1]!表1[#Data],3,FALSE)</f>
        <v>9056</v>
      </c>
      <c r="C43" s="5">
        <f>VLOOKUP(表1[[#This Row],[名称]],[1]!表1[#Data],4,FALSE)</f>
        <v>9477</v>
      </c>
      <c r="D43" s="5" t="str">
        <f>"gift_"&amp;表1[[#This Row],[价格]]</f>
        <v>gift_12</v>
      </c>
      <c r="E43" s="5">
        <f>VLOOKUP(表1[[#This Row],[iOS]],description!$G$1:$H$5,2,FALSE)</f>
        <v>3902</v>
      </c>
      <c r="F43" s="3" t="s">
        <v>40</v>
      </c>
      <c r="G43" s="3" t="str">
        <f>"[[""r000"","&amp;表1[[#This Row],[价格]]&amp;"]]"</f>
        <v>[["r000",12]]</v>
      </c>
      <c r="H43" s="12">
        <f>VLOOKUP(表1[[#This Row],[名称]],[1]!表1[#Data],5,FALSE)</f>
        <v>12</v>
      </c>
      <c r="I43" s="5" t="str">
        <f>VLOOKUP(表1[[#This Row],[名称]],[1]!表1[#Data],19,FALSE)</f>
        <v>[["i001",200000],["i002",200],["i400",2],["i220",10]]</v>
      </c>
      <c r="J43" s="3">
        <v>1</v>
      </c>
      <c r="K43" s="3">
        <v>1</v>
      </c>
      <c r="L43" s="3" t="str">
        <f t="shared" si="0"/>
        <v>2018/04/07&amp;00:00:00</v>
      </c>
      <c r="M43" s="13" t="str">
        <f t="shared" si="1"/>
        <v>2018/04/07&amp;23:59:59</v>
      </c>
      <c r="N43" s="3">
        <v>1</v>
      </c>
      <c r="O43" s="3">
        <v>1</v>
      </c>
      <c r="P43" s="3">
        <v>0</v>
      </c>
      <c r="Q43" s="5">
        <f>VLOOKUP(表1[[#This Row],[名称]],[1]!表1[#Data],18,FALSE)*10</f>
        <v>3.8</v>
      </c>
      <c r="R43" s="3" t="s">
        <v>41</v>
      </c>
      <c r="S43" s="15" t="s">
        <v>66</v>
      </c>
    </row>
    <row r="44" spans="1:19" x14ac:dyDescent="0.15">
      <c r="A44" s="3">
        <v>10039</v>
      </c>
      <c r="B44" s="5">
        <f>VLOOKUP(表1[[#This Row],[名称]],[1]!表1[#Data],3,FALSE)</f>
        <v>9055</v>
      </c>
      <c r="C44" s="5">
        <f>VLOOKUP(表1[[#This Row],[名称]],[1]!表1[#Data],4,FALSE)</f>
        <v>9476</v>
      </c>
      <c r="D44" s="5" t="str">
        <f>"gift_"&amp;表1[[#This Row],[价格]]</f>
        <v>gift_6</v>
      </c>
      <c r="E44" s="5">
        <f>VLOOKUP(表1[[#This Row],[iOS]],description!$G$1:$H$5,2,FALSE)</f>
        <v>3901</v>
      </c>
      <c r="F44" s="3" t="s">
        <v>40</v>
      </c>
      <c r="G44" s="3" t="str">
        <f>"[[""r000"","&amp;表1[[#This Row],[价格]]&amp;"]]"</f>
        <v>[["r000",6]]</v>
      </c>
      <c r="H44" s="12">
        <f>VLOOKUP(表1[[#This Row],[名称]],[1]!表1[#Data],5,FALSE)</f>
        <v>6</v>
      </c>
      <c r="I44" s="5" t="str">
        <f>VLOOKUP(表1[[#This Row],[名称]],[1]!表1[#Data],19,FALSE)</f>
        <v>[["i215",10],["i002",50],["i004",1],["i240",20]]</v>
      </c>
      <c r="J44" s="3">
        <v>1</v>
      </c>
      <c r="K44" s="3">
        <v>1</v>
      </c>
      <c r="L44" s="3" t="str">
        <f t="shared" si="0"/>
        <v>2018/04/08&amp;00:00:00</v>
      </c>
      <c r="M44" s="13" t="str">
        <f t="shared" si="1"/>
        <v>2018/04/08&amp;23:59:59</v>
      </c>
      <c r="N44" s="3">
        <v>1</v>
      </c>
      <c r="O44" s="3">
        <v>1</v>
      </c>
      <c r="P44" s="3">
        <v>0</v>
      </c>
      <c r="Q44" s="5">
        <f>VLOOKUP(表1[[#This Row],[名称]],[1]!表1[#Data],18,FALSE)*10</f>
        <v>2.7</v>
      </c>
      <c r="R44" s="11" t="s">
        <v>58</v>
      </c>
      <c r="S44" s="15" t="s">
        <v>65</v>
      </c>
    </row>
    <row r="45" spans="1:19" x14ac:dyDescent="0.15">
      <c r="A45" s="3">
        <v>10040</v>
      </c>
      <c r="B45" s="5">
        <f>VLOOKUP(表1[[#This Row],[名称]],[1]!表1[#Data],3,FALSE)</f>
        <v>9056</v>
      </c>
      <c r="C45" s="5">
        <f>VLOOKUP(表1[[#This Row],[名称]],[1]!表1[#Data],4,FALSE)</f>
        <v>9477</v>
      </c>
      <c r="D45" s="5" t="str">
        <f>"gift_"&amp;表1[[#This Row],[价格]]</f>
        <v>gift_12</v>
      </c>
      <c r="E45" s="5">
        <f>VLOOKUP(表1[[#This Row],[iOS]],description!$G$1:$H$5,2,FALSE)</f>
        <v>3902</v>
      </c>
      <c r="F45" s="3" t="s">
        <v>40</v>
      </c>
      <c r="G45" s="3" t="str">
        <f>"[[""r000"","&amp;表1[[#This Row],[价格]]&amp;"]]"</f>
        <v>[["r000",12]]</v>
      </c>
      <c r="H45" s="12">
        <f>VLOOKUP(表1[[#This Row],[名称]],[1]!表1[#Data],5,FALSE)</f>
        <v>12</v>
      </c>
      <c r="I45" s="5" t="str">
        <f>VLOOKUP(表1[[#This Row],[名称]],[1]!表1[#Data],19,FALSE)</f>
        <v>[["i015",8],["i002",100],["i400",2],["i220",2]]</v>
      </c>
      <c r="J45" s="3">
        <v>1</v>
      </c>
      <c r="K45" s="3">
        <v>1</v>
      </c>
      <c r="L45" s="3" t="str">
        <f t="shared" si="0"/>
        <v>2018/04/09&amp;00:00:00</v>
      </c>
      <c r="M45" s="13" t="str">
        <f t="shared" si="1"/>
        <v>2018/04/09&amp;23:59:59</v>
      </c>
      <c r="N45" s="3">
        <v>1</v>
      </c>
      <c r="O45" s="3">
        <v>1</v>
      </c>
      <c r="P45" s="3">
        <v>0</v>
      </c>
      <c r="Q45" s="5">
        <f>VLOOKUP(表1[[#This Row],[名称]],[1]!表1[#Data],18,FALSE)*10</f>
        <v>3</v>
      </c>
      <c r="R45" s="11" t="s">
        <v>55</v>
      </c>
      <c r="S45" s="15" t="s">
        <v>64</v>
      </c>
    </row>
    <row r="46" spans="1:19" x14ac:dyDescent="0.15">
      <c r="A46" s="3">
        <v>10041</v>
      </c>
      <c r="B46" s="5">
        <f>VLOOKUP(表1[[#This Row],[名称]],[1]!表1[#Data],3,FALSE)</f>
        <v>9055</v>
      </c>
      <c r="C46" s="5">
        <f>VLOOKUP(表1[[#This Row],[名称]],[1]!表1[#Data],4,FALSE)</f>
        <v>9476</v>
      </c>
      <c r="D46" s="5" t="str">
        <f>"gift_"&amp;表1[[#This Row],[价格]]</f>
        <v>gift_6</v>
      </c>
      <c r="E46" s="5">
        <f>VLOOKUP(表1[[#This Row],[iOS]],description!$G$1:$H$5,2,FALSE)</f>
        <v>3901</v>
      </c>
      <c r="F46" s="3" t="s">
        <v>40</v>
      </c>
      <c r="G46" s="3" t="str">
        <f>"[[""r000"","&amp;表1[[#This Row],[价格]]&amp;"]]"</f>
        <v>[["r000",6]]</v>
      </c>
      <c r="H46" s="12">
        <f>VLOOKUP(表1[[#This Row],[名称]],[1]!表1[#Data],5,FALSE)</f>
        <v>6</v>
      </c>
      <c r="I46" s="5" t="str">
        <f>VLOOKUP(表1[[#This Row],[名称]],[1]!表1[#Data],19,FALSE)</f>
        <v>[["i001",100000],["i002",100],["i400",1],["i220",5]]</v>
      </c>
      <c r="J46" s="3">
        <v>1</v>
      </c>
      <c r="K46" s="3">
        <v>1</v>
      </c>
      <c r="L46" s="3" t="str">
        <f t="shared" si="0"/>
        <v>2018/04/10&amp;00:00:00</v>
      </c>
      <c r="M46" s="13" t="str">
        <f t="shared" si="1"/>
        <v>2018/04/10&amp;23:59:59</v>
      </c>
      <c r="N46" s="3">
        <v>1</v>
      </c>
      <c r="O46" s="3">
        <v>1</v>
      </c>
      <c r="P46" s="3">
        <v>0</v>
      </c>
      <c r="Q46" s="5">
        <f>VLOOKUP(表1[[#This Row],[名称]],[1]!表1[#Data],18,FALSE)*10</f>
        <v>3.5999999999999996</v>
      </c>
      <c r="R46" s="3" t="s">
        <v>39</v>
      </c>
      <c r="S46" s="15" t="s">
        <v>63</v>
      </c>
    </row>
    <row r="47" spans="1:19" x14ac:dyDescent="0.15">
      <c r="A47" s="3">
        <v>10042</v>
      </c>
      <c r="B47" s="5">
        <f>VLOOKUP(表1[[#This Row],[名称]],[1]!表1[#Data],3,FALSE)</f>
        <v>9075</v>
      </c>
      <c r="C47" s="5">
        <f>VLOOKUP(表1[[#This Row],[名称]],[1]!表1[#Data],4,FALSE)</f>
        <v>9496</v>
      </c>
      <c r="D47" s="5" t="str">
        <f>"gift_"&amp;表1[[#This Row],[价格]]</f>
        <v>gift_45</v>
      </c>
      <c r="E47" s="5">
        <f>VLOOKUP(表1[[#This Row],[iOS]],description!$G$1:$H$5,2,FALSE)</f>
        <v>3905</v>
      </c>
      <c r="F47" s="3" t="s">
        <v>40</v>
      </c>
      <c r="G47" s="3" t="str">
        <f>"[[""r000"","&amp;表1[[#This Row],[价格]]&amp;"]]"</f>
        <v>[["r000",45]]</v>
      </c>
      <c r="H47" s="12">
        <f>VLOOKUP(表1[[#This Row],[名称]],[1]!表1[#Data],5,FALSE)</f>
        <v>45</v>
      </c>
      <c r="I47" s="5" t="str">
        <f>VLOOKUP(表1[[#This Row],[名称]],[1]!表1[#Data],19,FALSE)</f>
        <v>[["i001",500000],["i002",500],["i015",1],["i004",4]]</v>
      </c>
      <c r="J47" s="3">
        <v>1</v>
      </c>
      <c r="K47" s="3">
        <v>1</v>
      </c>
      <c r="L47" s="3" t="str">
        <f t="shared" si="0"/>
        <v>2018/04/11&amp;00:00:00</v>
      </c>
      <c r="M47" s="13" t="str">
        <f t="shared" si="1"/>
        <v>2018/04/11&amp;23:59:59</v>
      </c>
      <c r="N47" s="3">
        <v>1</v>
      </c>
      <c r="O47" s="3">
        <v>1</v>
      </c>
      <c r="P47" s="3">
        <v>0</v>
      </c>
      <c r="Q47" s="5">
        <f>VLOOKUP(表1[[#This Row],[名称]],[1]!表1[#Data],18,FALSE)*10</f>
        <v>3.8</v>
      </c>
      <c r="R47" s="3" t="s">
        <v>44</v>
      </c>
      <c r="S47" s="15" t="s">
        <v>75</v>
      </c>
    </row>
    <row r="48" spans="1:19" x14ac:dyDescent="0.15">
      <c r="A48" s="3">
        <v>10043</v>
      </c>
      <c r="B48" s="5">
        <f>VLOOKUP(表1[[#This Row],[名称]],[1]!表1[#Data],3,FALSE)</f>
        <v>9055</v>
      </c>
      <c r="C48" s="5">
        <f>VLOOKUP(表1[[#This Row],[名称]],[1]!表1[#Data],4,FALSE)</f>
        <v>9476</v>
      </c>
      <c r="D48" s="5" t="str">
        <f>"gift_"&amp;表1[[#This Row],[价格]]</f>
        <v>gift_6</v>
      </c>
      <c r="E48" s="5">
        <f>VLOOKUP(表1[[#This Row],[iOS]],description!$G$1:$H$5,2,FALSE)</f>
        <v>3901</v>
      </c>
      <c r="F48" s="3" t="s">
        <v>40</v>
      </c>
      <c r="G48" s="3" t="str">
        <f>"[[""r000"","&amp;表1[[#This Row],[价格]]&amp;"]]"</f>
        <v>[["r000",6]]</v>
      </c>
      <c r="H48" s="14">
        <f>VLOOKUP(表1[[#This Row],[名称]],[1]!表1[#Data],5,FALSE)</f>
        <v>6</v>
      </c>
      <c r="I48" s="5" t="str">
        <f>VLOOKUP(表1[[#This Row],[名称]],[1]!表1[#Data],19,FALSE)</f>
        <v>[["i215",10],["i002",50],["i004",1],["i240",20]]</v>
      </c>
      <c r="J48" s="3">
        <v>1</v>
      </c>
      <c r="K48" s="3">
        <v>1</v>
      </c>
      <c r="L48" s="3" t="str">
        <f t="shared" si="0"/>
        <v>2018/04/12&amp;00:00:00</v>
      </c>
      <c r="M48" s="13" t="str">
        <f t="shared" si="1"/>
        <v>2018/04/12&amp;23:59:59</v>
      </c>
      <c r="N48" s="3">
        <v>1</v>
      </c>
      <c r="O48" s="3">
        <v>1</v>
      </c>
      <c r="P48" s="3">
        <v>0</v>
      </c>
      <c r="Q48" s="5">
        <f>VLOOKUP(表1[[#This Row],[名称]],[1]!表1[#Data],18,FALSE)*10</f>
        <v>2.7</v>
      </c>
      <c r="R48" s="11" t="s">
        <v>58</v>
      </c>
      <c r="S48" s="15" t="s">
        <v>65</v>
      </c>
    </row>
    <row r="49" spans="1:19" x14ac:dyDescent="0.15">
      <c r="A49" s="3">
        <v>10044</v>
      </c>
      <c r="B49" s="5">
        <f>VLOOKUP(表1[[#This Row],[名称]],[1]!表1[#Data],3,FALSE)</f>
        <v>9075</v>
      </c>
      <c r="C49" s="5">
        <f>VLOOKUP(表1[[#This Row],[名称]],[1]!表1[#Data],4,FALSE)</f>
        <v>9496</v>
      </c>
      <c r="D49" s="5" t="str">
        <f>"gift_"&amp;表1[[#This Row],[价格]]</f>
        <v>gift_45</v>
      </c>
      <c r="E49" s="5">
        <f>VLOOKUP(表1[[#This Row],[iOS]],description!$G$1:$H$5,2,FALSE)</f>
        <v>3905</v>
      </c>
      <c r="F49" s="3" t="s">
        <v>40</v>
      </c>
      <c r="G49" s="3" t="str">
        <f>"[[""r000"","&amp;表1[[#This Row],[价格]]&amp;"]]"</f>
        <v>[["r000",45]]</v>
      </c>
      <c r="H49" s="14">
        <f>VLOOKUP(表1[[#This Row],[名称]],[1]!表1[#Data],5,FALSE)</f>
        <v>45</v>
      </c>
      <c r="I49" s="5" t="str">
        <f>VLOOKUP(表1[[#This Row],[名称]],[1]!表1[#Data],19,FALSE)</f>
        <v>[["i017",8],["i002",100],["i004",10],["i006",10]]</v>
      </c>
      <c r="J49" s="3">
        <v>1</v>
      </c>
      <c r="K49" s="3">
        <v>1</v>
      </c>
      <c r="L49" s="3" t="str">
        <f t="shared" si="0"/>
        <v>2018/04/13&amp;00:00:00</v>
      </c>
      <c r="M49" s="13" t="str">
        <f t="shared" si="1"/>
        <v>2018/04/13&amp;23:59:59</v>
      </c>
      <c r="N49" s="3">
        <v>1</v>
      </c>
      <c r="O49" s="3">
        <v>1</v>
      </c>
      <c r="P49" s="3">
        <v>0</v>
      </c>
      <c r="Q49" s="5">
        <f>VLOOKUP(表1[[#This Row],[名称]],[1]!表1[#Data],18,FALSE)*10</f>
        <v>1</v>
      </c>
      <c r="R49" s="11" t="s">
        <v>62</v>
      </c>
      <c r="S49" s="15" t="s">
        <v>74</v>
      </c>
    </row>
    <row r="50" spans="1:19" x14ac:dyDescent="0.15">
      <c r="A50" s="3">
        <v>10045</v>
      </c>
      <c r="B50" s="5">
        <f>VLOOKUP(表1[[#This Row],[名称]],[1]!表1[#Data],3,FALSE)</f>
        <v>9067</v>
      </c>
      <c r="C50" s="5">
        <f>VLOOKUP(表1[[#This Row],[名称]],[1]!表1[#Data],4,FALSE)</f>
        <v>9488</v>
      </c>
      <c r="D50" s="5" t="str">
        <f>"gift_"&amp;表1[[#This Row],[价格]]</f>
        <v>gift_30</v>
      </c>
      <c r="E50" s="5">
        <f>VLOOKUP(表1[[#This Row],[iOS]],description!$G$1:$H$5,2,FALSE)</f>
        <v>3904</v>
      </c>
      <c r="F50" s="3" t="s">
        <v>40</v>
      </c>
      <c r="G50" s="3" t="str">
        <f>"[[""r000"","&amp;表1[[#This Row],[价格]]&amp;"]]"</f>
        <v>[["r000",30]]</v>
      </c>
      <c r="H50" s="14">
        <f>VLOOKUP(表1[[#This Row],[名称]],[1]!表1[#Data],5,FALSE)</f>
        <v>30</v>
      </c>
      <c r="I50" s="5" t="str">
        <f>VLOOKUP(表1[[#This Row],[名称]],[1]!表1[#Data],19,FALSE)</f>
        <v>[["i001",400000],["i002",400],["i015",1],["i006",5]]</v>
      </c>
      <c r="J50" s="3">
        <v>1</v>
      </c>
      <c r="K50" s="3">
        <v>1</v>
      </c>
      <c r="L50" s="3" t="str">
        <f t="shared" si="0"/>
        <v>2018/04/14&amp;00:00:00</v>
      </c>
      <c r="M50" s="13" t="str">
        <f t="shared" si="1"/>
        <v>2018/04/14&amp;23:59:59</v>
      </c>
      <c r="N50" s="3">
        <v>1</v>
      </c>
      <c r="O50" s="3">
        <v>1</v>
      </c>
      <c r="P50" s="3">
        <v>0</v>
      </c>
      <c r="Q50" s="5">
        <f>VLOOKUP(表1[[#This Row],[名称]],[1]!表1[#Data],18,FALSE)*10</f>
        <v>3.8</v>
      </c>
      <c r="R50" s="3" t="s">
        <v>43</v>
      </c>
      <c r="S50" s="15" t="s">
        <v>73</v>
      </c>
    </row>
    <row r="51" spans="1:19" x14ac:dyDescent="0.15">
      <c r="A51" s="3">
        <v>10046</v>
      </c>
      <c r="B51" s="5">
        <f>VLOOKUP(表1[[#This Row],[名称]],[1]!表1[#Data],3,FALSE)</f>
        <v>9055</v>
      </c>
      <c r="C51" s="5">
        <f>VLOOKUP(表1[[#This Row],[名称]],[1]!表1[#Data],4,FALSE)</f>
        <v>9476</v>
      </c>
      <c r="D51" s="5" t="str">
        <f>"gift_"&amp;表1[[#This Row],[价格]]</f>
        <v>gift_6</v>
      </c>
      <c r="E51" s="5">
        <f>VLOOKUP(表1[[#This Row],[iOS]],description!$G$1:$H$5,2,FALSE)</f>
        <v>3901</v>
      </c>
      <c r="F51" s="3" t="s">
        <v>40</v>
      </c>
      <c r="G51" s="3" t="str">
        <f>"[[""r000"","&amp;表1[[#This Row],[价格]]&amp;"]]"</f>
        <v>[["r000",6]]</v>
      </c>
      <c r="H51" s="14">
        <f>VLOOKUP(表1[[#This Row],[名称]],[1]!表1[#Data],5,FALSE)</f>
        <v>6</v>
      </c>
      <c r="I51" s="5" t="str">
        <f>VLOOKUP(表1[[#This Row],[名称]],[1]!表1[#Data],19,FALSE)</f>
        <v>[["i400",20],["i002",50],["i015",1],["i220",2]]</v>
      </c>
      <c r="J51" s="3">
        <v>1</v>
      </c>
      <c r="K51" s="3">
        <v>1</v>
      </c>
      <c r="L51" s="3" t="str">
        <f t="shared" si="0"/>
        <v>2018/04/15&amp;00:00:00</v>
      </c>
      <c r="M51" s="13" t="str">
        <f t="shared" si="1"/>
        <v>2018/04/15&amp;23:59:59</v>
      </c>
      <c r="N51" s="3">
        <v>1</v>
      </c>
      <c r="O51" s="3">
        <v>1</v>
      </c>
      <c r="P51" s="3">
        <v>0</v>
      </c>
      <c r="Q51" s="5">
        <f>VLOOKUP(表1[[#This Row],[名称]],[1]!表1[#Data],18,FALSE)*10</f>
        <v>1.9</v>
      </c>
      <c r="R51" s="11" t="s">
        <v>57</v>
      </c>
      <c r="S51" s="15" t="s">
        <v>72</v>
      </c>
    </row>
    <row r="52" spans="1:19" x14ac:dyDescent="0.15">
      <c r="A52" s="3">
        <v>10047</v>
      </c>
      <c r="B52" s="5">
        <f>VLOOKUP(表1[[#This Row],[名称]],[1]!表1[#Data],3,FALSE)</f>
        <v>9072</v>
      </c>
      <c r="C52" s="5">
        <f>VLOOKUP(表1[[#This Row],[名称]],[1]!表1[#Data],4,FALSE)</f>
        <v>9493</v>
      </c>
      <c r="D52" s="5" t="str">
        <f>"gift_"&amp;表1[[#This Row],[价格]]</f>
        <v>gift_18</v>
      </c>
      <c r="E52" s="5">
        <f>VLOOKUP(表1[[#This Row],[iOS]],description!$G$1:$H$5,2,FALSE)</f>
        <v>3903</v>
      </c>
      <c r="F52" s="3" t="s">
        <v>40</v>
      </c>
      <c r="G52" s="3" t="str">
        <f>"[[""r000"","&amp;表1[[#This Row],[价格]]&amp;"]]"</f>
        <v>[["r000",18]]</v>
      </c>
      <c r="H52" s="14">
        <f>VLOOKUP(表1[[#This Row],[名称]],[1]!表1[#Data],5,FALSE)</f>
        <v>18</v>
      </c>
      <c r="I52" s="5" t="str">
        <f>VLOOKUP(表1[[#This Row],[名称]],[1]!表1[#Data],19,FALSE)</f>
        <v>[["i001",300000],["i002",300],["i015",1],["i400",2]]</v>
      </c>
      <c r="J52" s="3">
        <v>1</v>
      </c>
      <c r="K52" s="3">
        <v>1</v>
      </c>
      <c r="L52" s="3" t="str">
        <f t="shared" si="0"/>
        <v>2018/04/16&amp;00:00:00</v>
      </c>
      <c r="M52" s="13" t="str">
        <f t="shared" si="1"/>
        <v>2018/04/16&amp;23:59:59</v>
      </c>
      <c r="N52" s="3">
        <v>1</v>
      </c>
      <c r="O52" s="3">
        <v>1</v>
      </c>
      <c r="P52" s="3">
        <v>0</v>
      </c>
      <c r="Q52" s="5">
        <f>VLOOKUP(表1[[#This Row],[名称]],[1]!表1[#Data],18,FALSE)*10</f>
        <v>4</v>
      </c>
      <c r="R52" s="3" t="s">
        <v>42</v>
      </c>
      <c r="S52" s="15" t="s">
        <v>71</v>
      </c>
    </row>
    <row r="53" spans="1:19" x14ac:dyDescent="0.15">
      <c r="A53" s="3">
        <v>10048</v>
      </c>
      <c r="B53" s="5">
        <f>VLOOKUP(表1[[#This Row],[名称]],[1]!表1[#Data],3,FALSE)</f>
        <v>9056</v>
      </c>
      <c r="C53" s="5">
        <f>VLOOKUP(表1[[#This Row],[名称]],[1]!表1[#Data],4,FALSE)</f>
        <v>9477</v>
      </c>
      <c r="D53" s="5" t="str">
        <f>"gift_"&amp;表1[[#This Row],[价格]]</f>
        <v>gift_12</v>
      </c>
      <c r="E53" s="5">
        <f>VLOOKUP(表1[[#This Row],[iOS]],description!$G$1:$H$5,2,FALSE)</f>
        <v>3902</v>
      </c>
      <c r="F53" s="3" t="s">
        <v>40</v>
      </c>
      <c r="G53" s="3" t="str">
        <f>"[[""r000"","&amp;表1[[#This Row],[价格]]&amp;"]]"</f>
        <v>[["r000",12]]</v>
      </c>
      <c r="H53" s="14">
        <f>VLOOKUP(表1[[#This Row],[名称]],[1]!表1[#Data],5,FALSE)</f>
        <v>12</v>
      </c>
      <c r="I53" s="5" t="str">
        <f>VLOOKUP(表1[[#This Row],[名称]],[1]!表1[#Data],19,FALSE)</f>
        <v>[["i240",180],["i002",150],["i001",50000],["i220",5]]</v>
      </c>
      <c r="J53" s="3">
        <v>1</v>
      </c>
      <c r="K53" s="3">
        <v>1</v>
      </c>
      <c r="L53" s="3" t="str">
        <f t="shared" si="0"/>
        <v>2018/04/17&amp;00:00:00</v>
      </c>
      <c r="M53" s="13" t="str">
        <f t="shared" si="1"/>
        <v>2018/04/17&amp;23:59:59</v>
      </c>
      <c r="N53" s="3">
        <v>1</v>
      </c>
      <c r="O53" s="3">
        <v>1</v>
      </c>
      <c r="P53" s="3">
        <v>0</v>
      </c>
      <c r="Q53" s="5">
        <f>VLOOKUP(表1[[#This Row],[名称]],[1]!表1[#Data],18,FALSE)*10</f>
        <v>2.5</v>
      </c>
      <c r="R53" s="11" t="s">
        <v>56</v>
      </c>
      <c r="S53" s="15" t="s">
        <v>70</v>
      </c>
    </row>
    <row r="54" spans="1:19" x14ac:dyDescent="0.15">
      <c r="A54" s="3">
        <v>10049</v>
      </c>
      <c r="B54" s="5">
        <f>VLOOKUP(表1[[#This Row],[名称]],[1]!表1[#Data],3,FALSE)</f>
        <v>9055</v>
      </c>
      <c r="C54" s="5">
        <f>VLOOKUP(表1[[#This Row],[名称]],[1]!表1[#Data],4,FALSE)</f>
        <v>9476</v>
      </c>
      <c r="D54" s="5" t="str">
        <f>"gift_"&amp;表1[[#This Row],[价格]]</f>
        <v>gift_6</v>
      </c>
      <c r="E54" s="5">
        <f>VLOOKUP(表1[[#This Row],[iOS]],description!$G$1:$H$5,2,FALSE)</f>
        <v>3901</v>
      </c>
      <c r="F54" s="3" t="s">
        <v>40</v>
      </c>
      <c r="G54" s="3" t="str">
        <f>"[[""r000"","&amp;表1[[#This Row],[价格]]&amp;"]]"</f>
        <v>[["r000",6]]</v>
      </c>
      <c r="H54" s="13">
        <f>VLOOKUP(表1[[#This Row],[名称]],[1]!表1[#Data],5,FALSE)</f>
        <v>6</v>
      </c>
      <c r="I54" s="5" t="str">
        <f>VLOOKUP(表1[[#This Row],[名称]],[1]!表1[#Data],19,FALSE)</f>
        <v>[["i006",25],["i001",50000],["i004",1],["i015",1]]</v>
      </c>
      <c r="J54" s="3">
        <v>1</v>
      </c>
      <c r="K54" s="3">
        <v>1</v>
      </c>
      <c r="L54" s="3" t="str">
        <f t="shared" si="0"/>
        <v>2018/04/18&amp;00:00:00</v>
      </c>
      <c r="M54" s="13" t="str">
        <f t="shared" si="1"/>
        <v>2018/04/18&amp;23:59:59</v>
      </c>
      <c r="N54" s="3">
        <v>1</v>
      </c>
      <c r="O54" s="3">
        <v>1</v>
      </c>
      <c r="P54" s="3">
        <v>0</v>
      </c>
      <c r="Q54" s="5">
        <f>VLOOKUP(表1[[#This Row],[名称]],[1]!表1[#Data],18,FALSE)*10</f>
        <v>1.9</v>
      </c>
      <c r="R54" s="11" t="s">
        <v>59</v>
      </c>
      <c r="S54" s="15" t="s">
        <v>69</v>
      </c>
    </row>
    <row r="55" spans="1:19" x14ac:dyDescent="0.15">
      <c r="A55" s="3">
        <v>10050</v>
      </c>
      <c r="B55" s="5">
        <f>VLOOKUP(表1[[#This Row],[名称]],[1]!表1[#Data],3,FALSE)</f>
        <v>9055</v>
      </c>
      <c r="C55" s="5">
        <f>VLOOKUP(表1[[#This Row],[名称]],[1]!表1[#Data],4,FALSE)</f>
        <v>9476</v>
      </c>
      <c r="D55" s="5" t="str">
        <f>"gift_"&amp;表1[[#This Row],[价格]]</f>
        <v>gift_6</v>
      </c>
      <c r="E55" s="5">
        <f>VLOOKUP(表1[[#This Row],[iOS]],description!$G$1:$H$5,2,FALSE)</f>
        <v>3901</v>
      </c>
      <c r="F55" s="3" t="s">
        <v>40</v>
      </c>
      <c r="G55" s="3" t="str">
        <f>"[[""r000"","&amp;表1[[#This Row],[价格]]&amp;"]]"</f>
        <v>[["r000",6]]</v>
      </c>
      <c r="H55" s="13">
        <f>VLOOKUP(表1[[#This Row],[名称]],[1]!表1[#Data],5,FALSE)</f>
        <v>6</v>
      </c>
      <c r="I55" s="5" t="str">
        <f>VLOOKUP(表1[[#This Row],[名称]],[1]!表1[#Data],19,FALSE)</f>
        <v>[["i011",50],["i001",100000],["i004",1],["i015",1]]</v>
      </c>
      <c r="J55" s="3">
        <v>1</v>
      </c>
      <c r="K55" s="3">
        <v>1</v>
      </c>
      <c r="L55" s="3" t="str">
        <f t="shared" si="0"/>
        <v>2018/04/19&amp;00:00:00</v>
      </c>
      <c r="M55" s="13" t="str">
        <f t="shared" si="1"/>
        <v>2018/04/19&amp;23:59:59</v>
      </c>
      <c r="N55" s="3">
        <v>1</v>
      </c>
      <c r="O55" s="3">
        <v>1</v>
      </c>
      <c r="P55" s="3">
        <v>0</v>
      </c>
      <c r="Q55" s="5">
        <f>VLOOKUP(表1[[#This Row],[名称]],[1]!表1[#Data],18,FALSE)*10</f>
        <v>2.4</v>
      </c>
      <c r="R55" s="11" t="s">
        <v>60</v>
      </c>
      <c r="S55" s="15" t="s">
        <v>68</v>
      </c>
    </row>
    <row r="56" spans="1:19" x14ac:dyDescent="0.15">
      <c r="A56" s="3">
        <v>10051</v>
      </c>
      <c r="B56" s="5">
        <f>VLOOKUP(表1[[#This Row],[名称]],[1]!表1[#Data],3,FALSE)</f>
        <v>9072</v>
      </c>
      <c r="C56" s="5">
        <f>VLOOKUP(表1[[#This Row],[名称]],[1]!表1[#Data],4,FALSE)</f>
        <v>9493</v>
      </c>
      <c r="D56" s="5" t="str">
        <f>"gift_"&amp;表1[[#This Row],[价格]]</f>
        <v>gift_18</v>
      </c>
      <c r="E56" s="5">
        <f>VLOOKUP(表1[[#This Row],[iOS]],description!$G$1:$H$5,2,FALSE)</f>
        <v>3903</v>
      </c>
      <c r="F56" s="3" t="s">
        <v>40</v>
      </c>
      <c r="G56" s="3" t="str">
        <f>"[[""r000"","&amp;表1[[#This Row],[价格]]&amp;"]]"</f>
        <v>[["r000",18]]</v>
      </c>
      <c r="H56" s="13">
        <f>VLOOKUP(表1[[#This Row],[名称]],[1]!表1[#Data],5,FALSE)</f>
        <v>18</v>
      </c>
      <c r="I56" s="5" t="str">
        <f>VLOOKUP(表1[[#This Row],[名称]],[1]!表1[#Data],19,FALSE)</f>
        <v>[["i016",10],["i001",50000],["i400",5],["i004",5]]</v>
      </c>
      <c r="J56" s="3">
        <v>1</v>
      </c>
      <c r="K56" s="3">
        <v>1</v>
      </c>
      <c r="L56" s="3" t="str">
        <f t="shared" si="0"/>
        <v>2018/04/20&amp;00:00:00</v>
      </c>
      <c r="M56" s="13" t="str">
        <f t="shared" si="1"/>
        <v>2018/04/20&amp;23:59:59</v>
      </c>
      <c r="N56" s="3">
        <v>1</v>
      </c>
      <c r="O56" s="3">
        <v>1</v>
      </c>
      <c r="P56" s="3">
        <v>0</v>
      </c>
      <c r="Q56" s="5">
        <f>VLOOKUP(表1[[#This Row],[名称]],[1]!表1[#Data],18,FALSE)*10</f>
        <v>1.5</v>
      </c>
      <c r="R56" s="11" t="s">
        <v>61</v>
      </c>
      <c r="S56" s="15" t="s">
        <v>67</v>
      </c>
    </row>
    <row r="57" spans="1:19" x14ac:dyDescent="0.15">
      <c r="A57" s="3">
        <v>10052</v>
      </c>
      <c r="B57" s="5">
        <f>VLOOKUP(表1[[#This Row],[名称]],[1]!表1[#Data],3,FALSE)</f>
        <v>9056</v>
      </c>
      <c r="C57" s="5">
        <f>VLOOKUP(表1[[#This Row],[名称]],[1]!表1[#Data],4,FALSE)</f>
        <v>9477</v>
      </c>
      <c r="D57" s="5" t="str">
        <f>"gift_"&amp;表1[[#This Row],[价格]]</f>
        <v>gift_12</v>
      </c>
      <c r="E57" s="5">
        <f>VLOOKUP(表1[[#This Row],[iOS]],description!$G$1:$H$5,2,FALSE)</f>
        <v>3902</v>
      </c>
      <c r="F57" s="3" t="s">
        <v>40</v>
      </c>
      <c r="G57" s="3" t="str">
        <f>"[[""r000"","&amp;表1[[#This Row],[价格]]&amp;"]]"</f>
        <v>[["r000",12]]</v>
      </c>
      <c r="H57" s="13">
        <f>VLOOKUP(表1[[#This Row],[名称]],[1]!表1[#Data],5,FALSE)</f>
        <v>12</v>
      </c>
      <c r="I57" s="5" t="str">
        <f>VLOOKUP(表1[[#This Row],[名称]],[1]!表1[#Data],19,FALSE)</f>
        <v>[["i001",200000],["i002",200],["i400",2],["i220",10]]</v>
      </c>
      <c r="J57" s="3">
        <v>1</v>
      </c>
      <c r="K57" s="3">
        <v>1</v>
      </c>
      <c r="L57" s="3" t="str">
        <f t="shared" si="0"/>
        <v>2018/04/21&amp;00:00:00</v>
      </c>
      <c r="M57" s="13" t="str">
        <f t="shared" si="1"/>
        <v>2018/04/21&amp;23:59:59</v>
      </c>
      <c r="N57" s="3">
        <v>1</v>
      </c>
      <c r="O57" s="3">
        <v>1</v>
      </c>
      <c r="P57" s="3">
        <v>0</v>
      </c>
      <c r="Q57" s="5">
        <f>VLOOKUP(表1[[#This Row],[名称]],[1]!表1[#Data],18,FALSE)*10</f>
        <v>3.8</v>
      </c>
      <c r="R57" s="3" t="s">
        <v>41</v>
      </c>
      <c r="S57" s="15" t="s">
        <v>66</v>
      </c>
    </row>
    <row r="58" spans="1:19" x14ac:dyDescent="0.15">
      <c r="A58" s="3">
        <v>10053</v>
      </c>
      <c r="B58" s="5">
        <f>VLOOKUP(表1[[#This Row],[名称]],[1]!表1[#Data],3,FALSE)</f>
        <v>9055</v>
      </c>
      <c r="C58" s="5">
        <f>VLOOKUP(表1[[#This Row],[名称]],[1]!表1[#Data],4,FALSE)</f>
        <v>9476</v>
      </c>
      <c r="D58" s="5" t="str">
        <f>"gift_"&amp;表1[[#This Row],[价格]]</f>
        <v>gift_6</v>
      </c>
      <c r="E58" s="5">
        <f>VLOOKUP(表1[[#This Row],[iOS]],description!$G$1:$H$5,2,FALSE)</f>
        <v>3901</v>
      </c>
      <c r="F58" s="3" t="s">
        <v>40</v>
      </c>
      <c r="G58" s="3" t="str">
        <f>"[[""r000"","&amp;表1[[#This Row],[价格]]&amp;"]]"</f>
        <v>[["r000",6]]</v>
      </c>
      <c r="H58" s="13">
        <f>VLOOKUP(表1[[#This Row],[名称]],[1]!表1[#Data],5,FALSE)</f>
        <v>6</v>
      </c>
      <c r="I58" s="5" t="str">
        <f>VLOOKUP(表1[[#This Row],[名称]],[1]!表1[#Data],19,FALSE)</f>
        <v>[["i215",10],["i002",50],["i004",1],["i240",20]]</v>
      </c>
      <c r="J58" s="3">
        <v>1</v>
      </c>
      <c r="K58" s="3">
        <v>1</v>
      </c>
      <c r="L58" s="3" t="str">
        <f t="shared" si="0"/>
        <v>2018/04/22&amp;00:00:00</v>
      </c>
      <c r="M58" s="13" t="str">
        <f t="shared" si="1"/>
        <v>2018/04/22&amp;23:59:59</v>
      </c>
      <c r="N58" s="3">
        <v>1</v>
      </c>
      <c r="O58" s="3">
        <v>1</v>
      </c>
      <c r="P58" s="3">
        <v>0</v>
      </c>
      <c r="Q58" s="5">
        <f>VLOOKUP(表1[[#This Row],[名称]],[1]!表1[#Data],18,FALSE)*10</f>
        <v>2.7</v>
      </c>
      <c r="R58" s="11" t="s">
        <v>58</v>
      </c>
      <c r="S58" s="15" t="s">
        <v>65</v>
      </c>
    </row>
    <row r="59" spans="1:19" x14ac:dyDescent="0.15">
      <c r="A59" s="3">
        <v>10054</v>
      </c>
      <c r="B59" s="5">
        <f>VLOOKUP(表1[[#This Row],[名称]],[1]!表1[#Data],3,FALSE)</f>
        <v>9056</v>
      </c>
      <c r="C59" s="5">
        <f>VLOOKUP(表1[[#This Row],[名称]],[1]!表1[#Data],4,FALSE)</f>
        <v>9477</v>
      </c>
      <c r="D59" s="5" t="str">
        <f>"gift_"&amp;表1[[#This Row],[价格]]</f>
        <v>gift_12</v>
      </c>
      <c r="E59" s="5">
        <f>VLOOKUP(表1[[#This Row],[iOS]],description!$G$1:$H$5,2,FALSE)</f>
        <v>3902</v>
      </c>
      <c r="F59" s="3" t="s">
        <v>40</v>
      </c>
      <c r="G59" s="3" t="str">
        <f>"[[""r000"","&amp;表1[[#This Row],[价格]]&amp;"]]"</f>
        <v>[["r000",12]]</v>
      </c>
      <c r="H59" s="13">
        <f>VLOOKUP(表1[[#This Row],[名称]],[1]!表1[#Data],5,FALSE)</f>
        <v>12</v>
      </c>
      <c r="I59" s="5" t="str">
        <f>VLOOKUP(表1[[#This Row],[名称]],[1]!表1[#Data],19,FALSE)</f>
        <v>[["i015",8],["i002",100],["i400",2],["i220",2]]</v>
      </c>
      <c r="J59" s="3">
        <v>1</v>
      </c>
      <c r="K59" s="3">
        <v>1</v>
      </c>
      <c r="L59" s="3" t="str">
        <f t="shared" si="0"/>
        <v>2018/04/23&amp;00:00:00</v>
      </c>
      <c r="M59" s="13" t="str">
        <f t="shared" si="1"/>
        <v>2018/04/23&amp;23:59:59</v>
      </c>
      <c r="N59" s="3">
        <v>1</v>
      </c>
      <c r="O59" s="3">
        <v>1</v>
      </c>
      <c r="P59" s="3">
        <v>0</v>
      </c>
      <c r="Q59" s="5">
        <f>VLOOKUP(表1[[#This Row],[名称]],[1]!表1[#Data],18,FALSE)*10</f>
        <v>3</v>
      </c>
      <c r="R59" s="11" t="s">
        <v>55</v>
      </c>
      <c r="S59" s="15" t="s">
        <v>64</v>
      </c>
    </row>
    <row r="60" spans="1:19" x14ac:dyDescent="0.15">
      <c r="A60" s="3">
        <v>10055</v>
      </c>
      <c r="B60" s="5">
        <f>VLOOKUP(表1[[#This Row],[名称]],[1]!表1[#Data],3,FALSE)</f>
        <v>9055</v>
      </c>
      <c r="C60" s="5">
        <f>VLOOKUP(表1[[#This Row],[名称]],[1]!表1[#Data],4,FALSE)</f>
        <v>9476</v>
      </c>
      <c r="D60" s="5" t="str">
        <f>"gift_"&amp;表1[[#This Row],[价格]]</f>
        <v>gift_6</v>
      </c>
      <c r="E60" s="5">
        <f>VLOOKUP(表1[[#This Row],[iOS]],description!$G$1:$H$5,2,FALSE)</f>
        <v>3901</v>
      </c>
      <c r="F60" s="3" t="s">
        <v>40</v>
      </c>
      <c r="G60" s="3" t="str">
        <f>"[[""r000"","&amp;表1[[#This Row],[价格]]&amp;"]]"</f>
        <v>[["r000",6]]</v>
      </c>
      <c r="H60" s="13">
        <f>VLOOKUP(表1[[#This Row],[名称]],[1]!表1[#Data],5,FALSE)</f>
        <v>6</v>
      </c>
      <c r="I60" s="5" t="str">
        <f>VLOOKUP(表1[[#This Row],[名称]],[1]!表1[#Data],19,FALSE)</f>
        <v>[["i001",100000],["i002",100],["i400",1],["i220",5]]</v>
      </c>
      <c r="J60" s="3">
        <v>1</v>
      </c>
      <c r="K60" s="3">
        <v>1</v>
      </c>
      <c r="L60" s="3" t="str">
        <f t="shared" si="0"/>
        <v>2018/04/24&amp;00:00:00</v>
      </c>
      <c r="M60" s="13" t="str">
        <f t="shared" si="1"/>
        <v>2018/04/24&amp;23:59:59</v>
      </c>
      <c r="N60" s="3">
        <v>1</v>
      </c>
      <c r="O60" s="3">
        <v>1</v>
      </c>
      <c r="P60" s="3">
        <v>0</v>
      </c>
      <c r="Q60" s="5">
        <f>VLOOKUP(表1[[#This Row],[名称]],[1]!表1[#Data],18,FALSE)*10</f>
        <v>3.5999999999999996</v>
      </c>
      <c r="R60" s="3" t="s">
        <v>39</v>
      </c>
      <c r="S60" s="15" t="s">
        <v>63</v>
      </c>
    </row>
    <row r="61" spans="1:19" x14ac:dyDescent="0.15">
      <c r="A61" s="3">
        <v>10056</v>
      </c>
      <c r="B61" s="5">
        <f>VLOOKUP(表1[[#This Row],[名称]],[1]!表1[#Data],3,FALSE)</f>
        <v>9055</v>
      </c>
      <c r="C61" s="5">
        <f>VLOOKUP(表1[[#This Row],[名称]],[1]!表1[#Data],4,FALSE)</f>
        <v>9476</v>
      </c>
      <c r="D61" s="5" t="str">
        <f>"gift_"&amp;表1[[#This Row],[价格]]</f>
        <v>gift_6</v>
      </c>
      <c r="E61" s="5">
        <f>VLOOKUP(表1[[#This Row],[iOS]],description!$G$1:$H$5,2,FALSE)</f>
        <v>3901</v>
      </c>
      <c r="F61" s="3" t="s">
        <v>40</v>
      </c>
      <c r="G61" s="3" t="str">
        <f>"[[""r000"","&amp;表1[[#This Row],[价格]]&amp;"]]"</f>
        <v>[["r000",6]]</v>
      </c>
      <c r="H61" s="13">
        <f>VLOOKUP(表1[[#This Row],[名称]],[1]!表1[#Data],5,FALSE)</f>
        <v>6</v>
      </c>
      <c r="I61" s="5" t="str">
        <f>VLOOKUP(表1[[#This Row],[名称]],[1]!表1[#Data],19,FALSE)</f>
        <v>[["i001",100000],["i002",100],["i400",1],["i220",5]]</v>
      </c>
      <c r="J61" s="3">
        <v>1</v>
      </c>
      <c r="K61" s="3">
        <v>1</v>
      </c>
      <c r="L61" s="3" t="str">
        <f t="shared" si="0"/>
        <v>2018/04/25&amp;00:00:00</v>
      </c>
      <c r="M61" s="13" t="str">
        <f t="shared" si="1"/>
        <v>2018/04/25&amp;23:59:59</v>
      </c>
      <c r="N61" s="3">
        <v>1</v>
      </c>
      <c r="O61" s="3">
        <v>1</v>
      </c>
      <c r="P61" s="3">
        <v>0</v>
      </c>
      <c r="Q61" s="5">
        <f>VLOOKUP(表1[[#This Row],[名称]],[1]!表1[#Data],18,FALSE)*10</f>
        <v>3.5999999999999996</v>
      </c>
      <c r="R61" s="3" t="s">
        <v>39</v>
      </c>
      <c r="S61" s="15" t="s">
        <v>63</v>
      </c>
    </row>
    <row r="62" spans="1:19" x14ac:dyDescent="0.15">
      <c r="A62" s="3">
        <v>10057</v>
      </c>
      <c r="B62" s="5">
        <f>VLOOKUP(表1[[#This Row],[名称]],[1]!表1[#Data],3,FALSE)</f>
        <v>9056</v>
      </c>
      <c r="C62" s="5">
        <f>VLOOKUP(表1[[#This Row],[名称]],[1]!表1[#Data],4,FALSE)</f>
        <v>9477</v>
      </c>
      <c r="D62" s="5" t="str">
        <f>"gift_"&amp;表1[[#This Row],[价格]]</f>
        <v>gift_12</v>
      </c>
      <c r="E62" s="5">
        <f>VLOOKUP(表1[[#This Row],[iOS]],description!$G$1:$H$5,2,FALSE)</f>
        <v>3902</v>
      </c>
      <c r="F62" s="3" t="s">
        <v>40</v>
      </c>
      <c r="G62" s="3" t="str">
        <f>"[[""r000"","&amp;表1[[#This Row],[价格]]&amp;"]]"</f>
        <v>[["r000",12]]</v>
      </c>
      <c r="H62" s="13">
        <f>VLOOKUP(表1[[#This Row],[名称]],[1]!表1[#Data],5,FALSE)</f>
        <v>12</v>
      </c>
      <c r="I62" s="5" t="str">
        <f>VLOOKUP(表1[[#This Row],[名称]],[1]!表1[#Data],19,FALSE)</f>
        <v>[["i015",8],["i002",100],["i400",2],["i220",2]]</v>
      </c>
      <c r="J62" s="3">
        <v>1</v>
      </c>
      <c r="K62" s="3">
        <v>1</v>
      </c>
      <c r="L62" s="3" t="str">
        <f t="shared" si="0"/>
        <v>2018/04/26&amp;00:00:00</v>
      </c>
      <c r="M62" s="13" t="str">
        <f t="shared" si="1"/>
        <v>2018/04/26&amp;23:59:59</v>
      </c>
      <c r="N62" s="3">
        <v>1</v>
      </c>
      <c r="O62" s="3">
        <v>1</v>
      </c>
      <c r="P62" s="3">
        <v>0</v>
      </c>
      <c r="Q62" s="5">
        <f>VLOOKUP(表1[[#This Row],[名称]],[1]!表1[#Data],18,FALSE)*10</f>
        <v>3</v>
      </c>
      <c r="R62" s="11" t="s">
        <v>55</v>
      </c>
      <c r="S62" s="15" t="s">
        <v>64</v>
      </c>
    </row>
    <row r="63" spans="1:19" x14ac:dyDescent="0.15">
      <c r="A63" s="3">
        <v>10058</v>
      </c>
      <c r="B63" s="5">
        <f>VLOOKUP(表1[[#This Row],[名称]],[1]!表1[#Data],3,FALSE)</f>
        <v>9055</v>
      </c>
      <c r="C63" s="5">
        <f>VLOOKUP(表1[[#This Row],[名称]],[1]!表1[#Data],4,FALSE)</f>
        <v>9476</v>
      </c>
      <c r="D63" s="5" t="str">
        <f>"gift_"&amp;表1[[#This Row],[价格]]</f>
        <v>gift_6</v>
      </c>
      <c r="E63" s="5">
        <f>VLOOKUP(表1[[#This Row],[iOS]],description!$G$1:$H$5,2,FALSE)</f>
        <v>3901</v>
      </c>
      <c r="F63" s="3" t="s">
        <v>40</v>
      </c>
      <c r="G63" s="3" t="str">
        <f>"[[""r000"","&amp;表1[[#This Row],[价格]]&amp;"]]"</f>
        <v>[["r000",6]]</v>
      </c>
      <c r="H63" s="13">
        <f>VLOOKUP(表1[[#This Row],[名称]],[1]!表1[#Data],5,FALSE)</f>
        <v>6</v>
      </c>
      <c r="I63" s="5" t="str">
        <f>VLOOKUP(表1[[#This Row],[名称]],[1]!表1[#Data],19,FALSE)</f>
        <v>[["i215",10],["i002",50],["i004",1],["i240",20]]</v>
      </c>
      <c r="J63" s="3">
        <v>1</v>
      </c>
      <c r="K63" s="3">
        <v>1</v>
      </c>
      <c r="L63" s="3" t="str">
        <f t="shared" si="0"/>
        <v>2018/04/27&amp;00:00:00</v>
      </c>
      <c r="M63" s="13" t="str">
        <f t="shared" si="1"/>
        <v>2018/04/27&amp;23:59:59</v>
      </c>
      <c r="N63" s="3">
        <v>1</v>
      </c>
      <c r="O63" s="3">
        <v>1</v>
      </c>
      <c r="P63" s="3">
        <v>0</v>
      </c>
      <c r="Q63" s="5">
        <f>VLOOKUP(表1[[#This Row],[名称]],[1]!表1[#Data],18,FALSE)*10</f>
        <v>2.7</v>
      </c>
      <c r="R63" s="11" t="s">
        <v>58</v>
      </c>
      <c r="S63" s="15" t="s">
        <v>65</v>
      </c>
    </row>
    <row r="64" spans="1:19" x14ac:dyDescent="0.15">
      <c r="A64" s="3">
        <v>10059</v>
      </c>
      <c r="B64" s="5">
        <f>VLOOKUP(表1[[#This Row],[名称]],[1]!表1[#Data],3,FALSE)</f>
        <v>9056</v>
      </c>
      <c r="C64" s="5">
        <f>VLOOKUP(表1[[#This Row],[名称]],[1]!表1[#Data],4,FALSE)</f>
        <v>9477</v>
      </c>
      <c r="D64" s="5" t="str">
        <f>"gift_"&amp;表1[[#This Row],[价格]]</f>
        <v>gift_12</v>
      </c>
      <c r="E64" s="5">
        <f>VLOOKUP(表1[[#This Row],[iOS]],description!$G$1:$H$5,2,FALSE)</f>
        <v>3902</v>
      </c>
      <c r="F64" s="3" t="s">
        <v>40</v>
      </c>
      <c r="G64" s="3" t="str">
        <f>"[[""r000"","&amp;表1[[#This Row],[价格]]&amp;"]]"</f>
        <v>[["r000",12]]</v>
      </c>
      <c r="H64" s="13">
        <f>VLOOKUP(表1[[#This Row],[名称]],[1]!表1[#Data],5,FALSE)</f>
        <v>12</v>
      </c>
      <c r="I64" s="5" t="str">
        <f>VLOOKUP(表1[[#This Row],[名称]],[1]!表1[#Data],19,FALSE)</f>
        <v>[["i001",200000],["i002",200],["i400",2],["i220",10]]</v>
      </c>
      <c r="J64" s="3">
        <v>1</v>
      </c>
      <c r="K64" s="3">
        <v>1</v>
      </c>
      <c r="L64" s="3" t="str">
        <f t="shared" si="0"/>
        <v>2018/04/28&amp;00:00:00</v>
      </c>
      <c r="M64" s="13" t="str">
        <f t="shared" si="1"/>
        <v>2018/04/28&amp;23:59:59</v>
      </c>
      <c r="N64" s="3">
        <v>1</v>
      </c>
      <c r="O64" s="3">
        <v>1</v>
      </c>
      <c r="P64" s="3">
        <v>0</v>
      </c>
      <c r="Q64" s="5">
        <f>VLOOKUP(表1[[#This Row],[名称]],[1]!表1[#Data],18,FALSE)*10</f>
        <v>3.8</v>
      </c>
      <c r="R64" s="3" t="s">
        <v>41</v>
      </c>
      <c r="S64" s="15" t="s">
        <v>66</v>
      </c>
    </row>
    <row r="65" spans="1:19" x14ac:dyDescent="0.15">
      <c r="A65" s="3">
        <v>10060</v>
      </c>
      <c r="B65" s="5">
        <f>VLOOKUP(表1[[#This Row],[名称]],[1]!表1[#Data],3,FALSE)</f>
        <v>9072</v>
      </c>
      <c r="C65" s="5">
        <f>VLOOKUP(表1[[#This Row],[名称]],[1]!表1[#Data],4,FALSE)</f>
        <v>9493</v>
      </c>
      <c r="D65" s="5" t="str">
        <f>"gift_"&amp;表1[[#This Row],[价格]]</f>
        <v>gift_18</v>
      </c>
      <c r="E65" s="5">
        <f>VLOOKUP(表1[[#This Row],[iOS]],description!$G$1:$H$5,2,FALSE)</f>
        <v>3903</v>
      </c>
      <c r="F65" s="3" t="s">
        <v>40</v>
      </c>
      <c r="G65" s="3" t="str">
        <f>"[[""r000"","&amp;表1[[#This Row],[价格]]&amp;"]]"</f>
        <v>[["r000",18]]</v>
      </c>
      <c r="H65" s="13">
        <f>VLOOKUP(表1[[#This Row],[名称]],[1]!表1[#Data],5,FALSE)</f>
        <v>18</v>
      </c>
      <c r="I65" s="5" t="str">
        <f>VLOOKUP(表1[[#This Row],[名称]],[1]!表1[#Data],19,FALSE)</f>
        <v>[["i016",10],["i001",50000],["i400",5],["i004",5]]</v>
      </c>
      <c r="J65" s="3">
        <v>1</v>
      </c>
      <c r="K65" s="3">
        <v>1</v>
      </c>
      <c r="L65" s="3" t="str">
        <f t="shared" si="0"/>
        <v>2018/04/29&amp;00:00:00</v>
      </c>
      <c r="M65" s="13" t="str">
        <f t="shared" si="1"/>
        <v>2018/04/29&amp;23:59:59</v>
      </c>
      <c r="N65" s="3">
        <v>1</v>
      </c>
      <c r="O65" s="3">
        <v>1</v>
      </c>
      <c r="P65" s="3">
        <v>0</v>
      </c>
      <c r="Q65" s="5">
        <f>VLOOKUP(表1[[#This Row],[名称]],[1]!表1[#Data],18,FALSE)*10</f>
        <v>1.5</v>
      </c>
      <c r="R65" s="11" t="s">
        <v>61</v>
      </c>
      <c r="S65" s="15" t="s">
        <v>67</v>
      </c>
    </row>
    <row r="66" spans="1:19" x14ac:dyDescent="0.15">
      <c r="A66" s="3">
        <v>10061</v>
      </c>
      <c r="B66" s="5">
        <f>VLOOKUP(表1[[#This Row],[名称]],[1]!表1[#Data],3,FALSE)</f>
        <v>9055</v>
      </c>
      <c r="C66" s="5">
        <f>VLOOKUP(表1[[#This Row],[名称]],[1]!表1[#Data],4,FALSE)</f>
        <v>9476</v>
      </c>
      <c r="D66" s="5" t="str">
        <f>"gift_"&amp;表1[[#This Row],[价格]]</f>
        <v>gift_6</v>
      </c>
      <c r="E66" s="5">
        <f>VLOOKUP(表1[[#This Row],[iOS]],description!$G$1:$H$5,2,FALSE)</f>
        <v>3901</v>
      </c>
      <c r="F66" s="3" t="s">
        <v>40</v>
      </c>
      <c r="G66" s="3" t="str">
        <f>"[[""r000"","&amp;表1[[#This Row],[价格]]&amp;"]]"</f>
        <v>[["r000",6]]</v>
      </c>
      <c r="H66" s="13">
        <f>VLOOKUP(表1[[#This Row],[名称]],[1]!表1[#Data],5,FALSE)</f>
        <v>6</v>
      </c>
      <c r="I66" s="5" t="str">
        <f>VLOOKUP(表1[[#This Row],[名称]],[1]!表1[#Data],19,FALSE)</f>
        <v>[["i011",50],["i001",100000],["i004",1],["i015",1]]</v>
      </c>
      <c r="J66" s="3">
        <v>1</v>
      </c>
      <c r="K66" s="3">
        <v>1</v>
      </c>
      <c r="L66" s="3" t="str">
        <f t="shared" si="0"/>
        <v>2018/04/30&amp;00:00:00</v>
      </c>
      <c r="M66" s="13" t="str">
        <f t="shared" si="1"/>
        <v>2018/04/30&amp;23:59:59</v>
      </c>
      <c r="N66" s="3">
        <v>1</v>
      </c>
      <c r="O66" s="3">
        <v>1</v>
      </c>
      <c r="P66" s="3">
        <v>0</v>
      </c>
      <c r="Q66" s="5">
        <f>VLOOKUP(表1[[#This Row],[名称]],[1]!表1[#Data],18,FALSE)*10</f>
        <v>2.4</v>
      </c>
      <c r="R66" s="11" t="s">
        <v>60</v>
      </c>
      <c r="S66" s="15" t="s">
        <v>68</v>
      </c>
    </row>
    <row r="67" spans="1:19" x14ac:dyDescent="0.15">
      <c r="A67" s="3">
        <v>10062</v>
      </c>
      <c r="B67" s="5">
        <f>VLOOKUP(表1[[#This Row],[名称]],[1]!表1[#Data],3,FALSE)</f>
        <v>9055</v>
      </c>
      <c r="C67" s="5">
        <f>VLOOKUP(表1[[#This Row],[名称]],[1]!表1[#Data],4,FALSE)</f>
        <v>9476</v>
      </c>
      <c r="D67" s="5" t="str">
        <f>"gift_"&amp;表1[[#This Row],[价格]]</f>
        <v>gift_6</v>
      </c>
      <c r="E67" s="5">
        <f>VLOOKUP(表1[[#This Row],[iOS]],description!$G$1:$H$5,2,FALSE)</f>
        <v>3901</v>
      </c>
      <c r="F67" s="3" t="s">
        <v>40</v>
      </c>
      <c r="G67" s="3" t="str">
        <f>"[[""r000"","&amp;表1[[#This Row],[价格]]&amp;"]]"</f>
        <v>[["r000",6]]</v>
      </c>
      <c r="H67" s="13">
        <f>VLOOKUP(表1[[#This Row],[名称]],[1]!表1[#Data],5,FALSE)</f>
        <v>6</v>
      </c>
      <c r="I67" s="5" t="str">
        <f>VLOOKUP(表1[[#This Row],[名称]],[1]!表1[#Data],19,FALSE)</f>
        <v>[["i006",25],["i001",50000],["i004",1],["i015",1]]</v>
      </c>
      <c r="J67" s="3">
        <v>1</v>
      </c>
      <c r="K67" s="3">
        <v>1</v>
      </c>
      <c r="L67" s="3" t="str">
        <f t="shared" si="0"/>
        <v>2018/05/01&amp;00:00:00</v>
      </c>
      <c r="M67" s="13" t="str">
        <f t="shared" si="1"/>
        <v>2018/05/01&amp;23:59:59</v>
      </c>
      <c r="N67" s="3">
        <v>1</v>
      </c>
      <c r="O67" s="3">
        <v>1</v>
      </c>
      <c r="P67" s="3">
        <v>0</v>
      </c>
      <c r="Q67" s="5">
        <f>VLOOKUP(表1[[#This Row],[名称]],[1]!表1[#Data],18,FALSE)*10</f>
        <v>1.9</v>
      </c>
      <c r="R67" s="11" t="s">
        <v>59</v>
      </c>
      <c r="S67" s="15" t="s">
        <v>69</v>
      </c>
    </row>
    <row r="68" spans="1:19" x14ac:dyDescent="0.15">
      <c r="A68" s="3">
        <v>10063</v>
      </c>
      <c r="B68" s="5">
        <f>VLOOKUP(表1[[#This Row],[名称]],[1]!表1[#Data],3,FALSE)</f>
        <v>9056</v>
      </c>
      <c r="C68" s="5">
        <f>VLOOKUP(表1[[#This Row],[名称]],[1]!表1[#Data],4,FALSE)</f>
        <v>9477</v>
      </c>
      <c r="D68" s="5" t="str">
        <f>"gift_"&amp;表1[[#This Row],[价格]]</f>
        <v>gift_12</v>
      </c>
      <c r="E68" s="5">
        <f>VLOOKUP(表1[[#This Row],[iOS]],description!$G$1:$H$5,2,FALSE)</f>
        <v>3902</v>
      </c>
      <c r="F68" s="3" t="s">
        <v>40</v>
      </c>
      <c r="G68" s="3" t="str">
        <f>"[[""r000"","&amp;表1[[#This Row],[价格]]&amp;"]]"</f>
        <v>[["r000",12]]</v>
      </c>
      <c r="H68" s="14">
        <f>VLOOKUP(表1[[#This Row],[名称]],[1]!表1[#Data],5,FALSE)</f>
        <v>12</v>
      </c>
      <c r="I68" s="5" t="str">
        <f>VLOOKUP(表1[[#This Row],[名称]],[1]!表1[#Data],19,FALSE)</f>
        <v>[["i240",180],["i002",150],["i001",50000],["i220",5]]</v>
      </c>
      <c r="J68" s="3">
        <v>1</v>
      </c>
      <c r="K68" s="3">
        <v>1</v>
      </c>
      <c r="L68" s="3" t="str">
        <f t="shared" si="0"/>
        <v>2018/05/02&amp;00:00:00</v>
      </c>
      <c r="M68" s="13" t="str">
        <f t="shared" si="1"/>
        <v>2018/05/02&amp;23:59:59</v>
      </c>
      <c r="N68" s="3">
        <v>1</v>
      </c>
      <c r="O68" s="3">
        <v>1</v>
      </c>
      <c r="P68" s="3">
        <v>0</v>
      </c>
      <c r="Q68" s="5">
        <f>VLOOKUP(表1[[#This Row],[名称]],[1]!表1[#Data],18,FALSE)*10</f>
        <v>2.5</v>
      </c>
      <c r="R68" s="11" t="s">
        <v>56</v>
      </c>
      <c r="S68" s="15" t="s">
        <v>70</v>
      </c>
    </row>
    <row r="69" spans="1:19" x14ac:dyDescent="0.15">
      <c r="A69" s="3">
        <v>10064</v>
      </c>
      <c r="B69" s="5">
        <f>VLOOKUP(表1[[#This Row],[名称]],[1]!表1[#Data],3,FALSE)</f>
        <v>9072</v>
      </c>
      <c r="C69" s="5">
        <f>VLOOKUP(表1[[#This Row],[名称]],[1]!表1[#Data],4,FALSE)</f>
        <v>9493</v>
      </c>
      <c r="D69" s="5" t="str">
        <f>"gift_"&amp;表1[[#This Row],[价格]]</f>
        <v>gift_18</v>
      </c>
      <c r="E69" s="5">
        <f>VLOOKUP(表1[[#This Row],[iOS]],description!$G$1:$H$5,2,FALSE)</f>
        <v>3903</v>
      </c>
      <c r="F69" s="3" t="s">
        <v>40</v>
      </c>
      <c r="G69" s="3" t="str">
        <f>"[[""r000"","&amp;表1[[#This Row],[价格]]&amp;"]]"</f>
        <v>[["r000",18]]</v>
      </c>
      <c r="H69" s="14">
        <f>VLOOKUP(表1[[#This Row],[名称]],[1]!表1[#Data],5,FALSE)</f>
        <v>18</v>
      </c>
      <c r="I69" s="5" t="str">
        <f>VLOOKUP(表1[[#This Row],[名称]],[1]!表1[#Data],19,FALSE)</f>
        <v>[["i001",300000],["i002",300],["i015",1],["i400",2]]</v>
      </c>
      <c r="J69" s="3">
        <v>1</v>
      </c>
      <c r="K69" s="3">
        <v>1</v>
      </c>
      <c r="L69" s="3" t="str">
        <f t="shared" ref="L69:L132" si="2">YEAR(43159+ROW()-5)&amp;"/"&amp;IF(MONTH(43159+ROW()-5)&lt;10,"0","")&amp;MONTH(43159+ROW()-5)&amp;"/"&amp;IF(DAY(43159+ROW()-5)&lt;10,"0","")&amp;DAY(43159+ROW()-5)&amp;"&amp;00:00:00"</f>
        <v>2018/05/03&amp;00:00:00</v>
      </c>
      <c r="M69" s="13" t="str">
        <f t="shared" ref="M69:M132" si="3">YEAR(43159+ROW()-5)&amp;"/"&amp;IF(MONTH(43159+ROW()-5)&lt;10,"0","")&amp;MONTH(43159+ROW()-5)&amp;"/"&amp;IF(DAY(43159+ROW()-5)&lt;10,"0","")&amp;DAY(43159+ROW()-5)&amp;"&amp;23:59:59"</f>
        <v>2018/05/03&amp;23:59:59</v>
      </c>
      <c r="N69" s="3">
        <v>1</v>
      </c>
      <c r="O69" s="3">
        <v>1</v>
      </c>
      <c r="P69" s="3">
        <v>0</v>
      </c>
      <c r="Q69" s="5">
        <f>VLOOKUP(表1[[#This Row],[名称]],[1]!表1[#Data],18,FALSE)*10</f>
        <v>4</v>
      </c>
      <c r="R69" s="3" t="s">
        <v>42</v>
      </c>
      <c r="S69" s="15" t="s">
        <v>71</v>
      </c>
    </row>
    <row r="70" spans="1:19" x14ac:dyDescent="0.15">
      <c r="A70" s="3">
        <v>10065</v>
      </c>
      <c r="B70" s="5">
        <f>VLOOKUP(表1[[#This Row],[名称]],[1]!表1[#Data],3,FALSE)</f>
        <v>9055</v>
      </c>
      <c r="C70" s="5">
        <f>VLOOKUP(表1[[#This Row],[名称]],[1]!表1[#Data],4,FALSE)</f>
        <v>9476</v>
      </c>
      <c r="D70" s="5" t="str">
        <f>"gift_"&amp;表1[[#This Row],[价格]]</f>
        <v>gift_6</v>
      </c>
      <c r="E70" s="5">
        <f>VLOOKUP(表1[[#This Row],[iOS]],description!$G$1:$H$5,2,FALSE)</f>
        <v>3901</v>
      </c>
      <c r="F70" s="3" t="s">
        <v>40</v>
      </c>
      <c r="G70" s="3" t="str">
        <f>"[[""r000"","&amp;表1[[#This Row],[价格]]&amp;"]]"</f>
        <v>[["r000",6]]</v>
      </c>
      <c r="H70" s="14">
        <f>VLOOKUP(表1[[#This Row],[名称]],[1]!表1[#Data],5,FALSE)</f>
        <v>6</v>
      </c>
      <c r="I70" s="5" t="str">
        <f>VLOOKUP(表1[[#This Row],[名称]],[1]!表1[#Data],19,FALSE)</f>
        <v>[["i400",20],["i002",50],["i015",1],["i220",2]]</v>
      </c>
      <c r="J70" s="3">
        <v>1</v>
      </c>
      <c r="K70" s="3">
        <v>1</v>
      </c>
      <c r="L70" s="3" t="str">
        <f t="shared" si="2"/>
        <v>2018/05/04&amp;00:00:00</v>
      </c>
      <c r="M70" s="13" t="str">
        <f t="shared" si="3"/>
        <v>2018/05/04&amp;23:59:59</v>
      </c>
      <c r="N70" s="3">
        <v>1</v>
      </c>
      <c r="O70" s="3">
        <v>1</v>
      </c>
      <c r="P70" s="3">
        <v>0</v>
      </c>
      <c r="Q70" s="5">
        <f>VLOOKUP(表1[[#This Row],[名称]],[1]!表1[#Data],18,FALSE)*10</f>
        <v>1.9</v>
      </c>
      <c r="R70" s="11" t="s">
        <v>57</v>
      </c>
      <c r="S70" s="15" t="s">
        <v>72</v>
      </c>
    </row>
    <row r="71" spans="1:19" x14ac:dyDescent="0.15">
      <c r="A71" s="3">
        <v>10066</v>
      </c>
      <c r="B71" s="5">
        <f>VLOOKUP(表1[[#This Row],[名称]],[1]!表1[#Data],3,FALSE)</f>
        <v>9067</v>
      </c>
      <c r="C71" s="5">
        <f>VLOOKUP(表1[[#This Row],[名称]],[1]!表1[#Data],4,FALSE)</f>
        <v>9488</v>
      </c>
      <c r="D71" s="5" t="str">
        <f>"gift_"&amp;表1[[#This Row],[价格]]</f>
        <v>gift_30</v>
      </c>
      <c r="E71" s="5">
        <f>VLOOKUP(表1[[#This Row],[iOS]],description!$G$1:$H$5,2,FALSE)</f>
        <v>3904</v>
      </c>
      <c r="F71" s="3" t="s">
        <v>40</v>
      </c>
      <c r="G71" s="3" t="str">
        <f>"[[""r000"","&amp;表1[[#This Row],[价格]]&amp;"]]"</f>
        <v>[["r000",30]]</v>
      </c>
      <c r="H71" s="14">
        <f>VLOOKUP(表1[[#This Row],[名称]],[1]!表1[#Data],5,FALSE)</f>
        <v>30</v>
      </c>
      <c r="I71" s="5" t="str">
        <f>VLOOKUP(表1[[#This Row],[名称]],[1]!表1[#Data],19,FALSE)</f>
        <v>[["i001",400000],["i002",400],["i015",1],["i006",5]]</v>
      </c>
      <c r="J71" s="3">
        <v>1</v>
      </c>
      <c r="K71" s="3">
        <v>1</v>
      </c>
      <c r="L71" s="3" t="str">
        <f t="shared" si="2"/>
        <v>2018/05/05&amp;00:00:00</v>
      </c>
      <c r="M71" s="13" t="str">
        <f t="shared" si="3"/>
        <v>2018/05/05&amp;23:59:59</v>
      </c>
      <c r="N71" s="3">
        <v>1</v>
      </c>
      <c r="O71" s="3">
        <v>1</v>
      </c>
      <c r="P71" s="3">
        <v>0</v>
      </c>
      <c r="Q71" s="5">
        <f>VLOOKUP(表1[[#This Row],[名称]],[1]!表1[#Data],18,FALSE)*10</f>
        <v>3.8</v>
      </c>
      <c r="R71" s="3" t="s">
        <v>43</v>
      </c>
      <c r="S71" s="15" t="s">
        <v>73</v>
      </c>
    </row>
    <row r="72" spans="1:19" x14ac:dyDescent="0.15">
      <c r="A72" s="3">
        <v>10067</v>
      </c>
      <c r="B72" s="5">
        <f>VLOOKUP(表1[[#This Row],[名称]],[1]!表1[#Data],3,FALSE)</f>
        <v>9075</v>
      </c>
      <c r="C72" s="5">
        <f>VLOOKUP(表1[[#This Row],[名称]],[1]!表1[#Data],4,FALSE)</f>
        <v>9496</v>
      </c>
      <c r="D72" s="5" t="str">
        <f>"gift_"&amp;表1[[#This Row],[价格]]</f>
        <v>gift_45</v>
      </c>
      <c r="E72" s="5">
        <f>VLOOKUP(表1[[#This Row],[iOS]],description!$G$1:$H$5,2,FALSE)</f>
        <v>3905</v>
      </c>
      <c r="F72" s="3" t="s">
        <v>40</v>
      </c>
      <c r="G72" s="3" t="str">
        <f>"[[""r000"","&amp;表1[[#This Row],[价格]]&amp;"]]"</f>
        <v>[["r000",45]]</v>
      </c>
      <c r="H72" s="14">
        <f>VLOOKUP(表1[[#This Row],[名称]],[1]!表1[#Data],5,FALSE)</f>
        <v>45</v>
      </c>
      <c r="I72" s="5" t="str">
        <f>VLOOKUP(表1[[#This Row],[名称]],[1]!表1[#Data],19,FALSE)</f>
        <v>[["i017",8],["i002",100],["i004",10],["i006",10]]</v>
      </c>
      <c r="J72" s="3">
        <v>1</v>
      </c>
      <c r="K72" s="3">
        <v>1</v>
      </c>
      <c r="L72" s="3" t="str">
        <f t="shared" si="2"/>
        <v>2018/05/06&amp;00:00:00</v>
      </c>
      <c r="M72" s="13" t="str">
        <f t="shared" si="3"/>
        <v>2018/05/06&amp;23:59:59</v>
      </c>
      <c r="N72" s="3">
        <v>1</v>
      </c>
      <c r="O72" s="3">
        <v>1</v>
      </c>
      <c r="P72" s="3">
        <v>0</v>
      </c>
      <c r="Q72" s="5">
        <f>VLOOKUP(表1[[#This Row],[名称]],[1]!表1[#Data],18,FALSE)*10</f>
        <v>1</v>
      </c>
      <c r="R72" s="11" t="s">
        <v>62</v>
      </c>
      <c r="S72" s="15" t="s">
        <v>74</v>
      </c>
    </row>
    <row r="73" spans="1:19" x14ac:dyDescent="0.15">
      <c r="A73" s="3">
        <v>10068</v>
      </c>
      <c r="B73" s="5">
        <f>VLOOKUP(表1[[#This Row],[名称]],[1]!表1[#Data],3,FALSE)</f>
        <v>9055</v>
      </c>
      <c r="C73" s="5">
        <f>VLOOKUP(表1[[#This Row],[名称]],[1]!表1[#Data],4,FALSE)</f>
        <v>9476</v>
      </c>
      <c r="D73" s="5" t="str">
        <f>"gift_"&amp;表1[[#This Row],[价格]]</f>
        <v>gift_6</v>
      </c>
      <c r="E73" s="5">
        <f>VLOOKUP(表1[[#This Row],[iOS]],description!$G$1:$H$5,2,FALSE)</f>
        <v>3901</v>
      </c>
      <c r="F73" s="3" t="s">
        <v>40</v>
      </c>
      <c r="G73" s="3" t="str">
        <f>"[[""r000"","&amp;表1[[#This Row],[价格]]&amp;"]]"</f>
        <v>[["r000",6]]</v>
      </c>
      <c r="H73" s="14">
        <f>VLOOKUP(表1[[#This Row],[名称]],[1]!表1[#Data],5,FALSE)</f>
        <v>6</v>
      </c>
      <c r="I73" s="5" t="str">
        <f>VLOOKUP(表1[[#This Row],[名称]],[1]!表1[#Data],19,FALSE)</f>
        <v>[["i215",10],["i002",50],["i004",1],["i240",20]]</v>
      </c>
      <c r="J73" s="3">
        <v>1</v>
      </c>
      <c r="K73" s="3">
        <v>1</v>
      </c>
      <c r="L73" s="3" t="str">
        <f t="shared" si="2"/>
        <v>2018/05/07&amp;00:00:00</v>
      </c>
      <c r="M73" s="13" t="str">
        <f t="shared" si="3"/>
        <v>2018/05/07&amp;23:59:59</v>
      </c>
      <c r="N73" s="3">
        <v>1</v>
      </c>
      <c r="O73" s="3">
        <v>1</v>
      </c>
      <c r="P73" s="3">
        <v>0</v>
      </c>
      <c r="Q73" s="5">
        <f>VLOOKUP(表1[[#This Row],[名称]],[1]!表1[#Data],18,FALSE)*10</f>
        <v>2.7</v>
      </c>
      <c r="R73" s="11" t="s">
        <v>58</v>
      </c>
      <c r="S73" s="15" t="s">
        <v>65</v>
      </c>
    </row>
    <row r="74" spans="1:19" x14ac:dyDescent="0.15">
      <c r="A74" s="3">
        <v>10069</v>
      </c>
      <c r="B74" s="5">
        <f>VLOOKUP(表1[[#This Row],[名称]],[1]!表1[#Data],3,FALSE)</f>
        <v>9075</v>
      </c>
      <c r="C74" s="5">
        <f>VLOOKUP(表1[[#This Row],[名称]],[1]!表1[#Data],4,FALSE)</f>
        <v>9496</v>
      </c>
      <c r="D74" s="5" t="str">
        <f>"gift_"&amp;表1[[#This Row],[价格]]</f>
        <v>gift_45</v>
      </c>
      <c r="E74" s="5">
        <f>VLOOKUP(表1[[#This Row],[iOS]],description!$G$1:$H$5,2,FALSE)</f>
        <v>3905</v>
      </c>
      <c r="F74" s="3" t="s">
        <v>40</v>
      </c>
      <c r="G74" s="3" t="str">
        <f>"[[""r000"","&amp;表1[[#This Row],[价格]]&amp;"]]"</f>
        <v>[["r000",45]]</v>
      </c>
      <c r="H74" s="12">
        <f>VLOOKUP(表1[[#This Row],[名称]],[1]!表1[#Data],5,FALSE)</f>
        <v>45</v>
      </c>
      <c r="I74" s="5" t="str">
        <f>VLOOKUP(表1[[#This Row],[名称]],[1]!表1[#Data],19,FALSE)</f>
        <v>[["i001",500000],["i002",500],["i015",1],["i004",4]]</v>
      </c>
      <c r="J74" s="3">
        <v>1</v>
      </c>
      <c r="K74" s="3">
        <v>1</v>
      </c>
      <c r="L74" s="3" t="str">
        <f t="shared" si="2"/>
        <v>2018/05/08&amp;00:00:00</v>
      </c>
      <c r="M74" s="13" t="str">
        <f t="shared" si="3"/>
        <v>2018/05/08&amp;23:59:59</v>
      </c>
      <c r="N74" s="3">
        <v>1</v>
      </c>
      <c r="O74" s="3">
        <v>1</v>
      </c>
      <c r="P74" s="3">
        <v>0</v>
      </c>
      <c r="Q74" s="5">
        <f>VLOOKUP(表1[[#This Row],[名称]],[1]!表1[#Data],18,FALSE)*10</f>
        <v>3.8</v>
      </c>
      <c r="R74" s="3" t="s">
        <v>44</v>
      </c>
      <c r="S74" s="15" t="s">
        <v>75</v>
      </c>
    </row>
    <row r="75" spans="1:19" x14ac:dyDescent="0.15">
      <c r="A75" s="3">
        <v>10070</v>
      </c>
      <c r="B75" s="5">
        <f>VLOOKUP(表1[[#This Row],[名称]],[1]!表1[#Data],3,FALSE)</f>
        <v>9055</v>
      </c>
      <c r="C75" s="5">
        <f>VLOOKUP(表1[[#This Row],[名称]],[1]!表1[#Data],4,FALSE)</f>
        <v>9476</v>
      </c>
      <c r="D75" s="5" t="str">
        <f>"gift_"&amp;表1[[#This Row],[价格]]</f>
        <v>gift_6</v>
      </c>
      <c r="E75" s="5">
        <f>VLOOKUP(表1[[#This Row],[iOS]],description!$G$1:$H$5,2,FALSE)</f>
        <v>3901</v>
      </c>
      <c r="F75" s="3" t="s">
        <v>40</v>
      </c>
      <c r="G75" s="3" t="str">
        <f>"[[""r000"","&amp;表1[[#This Row],[价格]]&amp;"]]"</f>
        <v>[["r000",6]]</v>
      </c>
      <c r="H75" s="12">
        <f>VLOOKUP(表1[[#This Row],[名称]],[1]!表1[#Data],5,FALSE)</f>
        <v>6</v>
      </c>
      <c r="I75" s="5" t="str">
        <f>VLOOKUP(表1[[#This Row],[名称]],[1]!表1[#Data],19,FALSE)</f>
        <v>[["i001",100000],["i002",100],["i400",1],["i220",5]]</v>
      </c>
      <c r="J75" s="3">
        <v>1</v>
      </c>
      <c r="K75" s="3">
        <v>1</v>
      </c>
      <c r="L75" s="3" t="str">
        <f t="shared" si="2"/>
        <v>2018/05/09&amp;00:00:00</v>
      </c>
      <c r="M75" s="13" t="str">
        <f t="shared" si="3"/>
        <v>2018/05/09&amp;23:59:59</v>
      </c>
      <c r="N75" s="3">
        <v>1</v>
      </c>
      <c r="O75" s="3">
        <v>1</v>
      </c>
      <c r="P75" s="3">
        <v>0</v>
      </c>
      <c r="Q75" s="5">
        <f>VLOOKUP(表1[[#This Row],[名称]],[1]!表1[#Data],18,FALSE)*10</f>
        <v>3.5999999999999996</v>
      </c>
      <c r="R75" s="3" t="s">
        <v>39</v>
      </c>
      <c r="S75" s="15" t="s">
        <v>63</v>
      </c>
    </row>
    <row r="76" spans="1:19" x14ac:dyDescent="0.15">
      <c r="A76" s="3">
        <v>10071</v>
      </c>
      <c r="B76" s="5">
        <f>VLOOKUP(表1[[#This Row],[名称]],[1]!表1[#Data],3,FALSE)</f>
        <v>9056</v>
      </c>
      <c r="C76" s="5">
        <f>VLOOKUP(表1[[#This Row],[名称]],[1]!表1[#Data],4,FALSE)</f>
        <v>9477</v>
      </c>
      <c r="D76" s="5" t="str">
        <f>"gift_"&amp;表1[[#This Row],[价格]]</f>
        <v>gift_12</v>
      </c>
      <c r="E76" s="5">
        <f>VLOOKUP(表1[[#This Row],[iOS]],description!$G$1:$H$5,2,FALSE)</f>
        <v>3902</v>
      </c>
      <c r="F76" s="3" t="s">
        <v>40</v>
      </c>
      <c r="G76" s="3" t="str">
        <f>"[[""r000"","&amp;表1[[#This Row],[价格]]&amp;"]]"</f>
        <v>[["r000",12]]</v>
      </c>
      <c r="H76" s="12">
        <f>VLOOKUP(表1[[#This Row],[名称]],[1]!表1[#Data],5,FALSE)</f>
        <v>12</v>
      </c>
      <c r="I76" s="5" t="str">
        <f>VLOOKUP(表1[[#This Row],[名称]],[1]!表1[#Data],19,FALSE)</f>
        <v>[["i015",8],["i002",100],["i400",2],["i220",2]]</v>
      </c>
      <c r="J76" s="3">
        <v>1</v>
      </c>
      <c r="K76" s="3">
        <v>1</v>
      </c>
      <c r="L76" s="3" t="str">
        <f t="shared" si="2"/>
        <v>2018/05/10&amp;00:00:00</v>
      </c>
      <c r="M76" s="13" t="str">
        <f t="shared" si="3"/>
        <v>2018/05/10&amp;23:59:59</v>
      </c>
      <c r="N76" s="3">
        <v>1</v>
      </c>
      <c r="O76" s="3">
        <v>1</v>
      </c>
      <c r="P76" s="3">
        <v>0</v>
      </c>
      <c r="Q76" s="5">
        <f>VLOOKUP(表1[[#This Row],[名称]],[1]!表1[#Data],18,FALSE)*10</f>
        <v>3</v>
      </c>
      <c r="R76" s="11" t="s">
        <v>55</v>
      </c>
      <c r="S76" s="15" t="s">
        <v>64</v>
      </c>
    </row>
    <row r="77" spans="1:19" x14ac:dyDescent="0.15">
      <c r="A77" s="3">
        <v>10072</v>
      </c>
      <c r="B77" s="5">
        <f>VLOOKUP(表1[[#This Row],[名称]],[1]!表1[#Data],3,FALSE)</f>
        <v>9055</v>
      </c>
      <c r="C77" s="5">
        <f>VLOOKUP(表1[[#This Row],[名称]],[1]!表1[#Data],4,FALSE)</f>
        <v>9476</v>
      </c>
      <c r="D77" s="5" t="str">
        <f>"gift_"&amp;表1[[#This Row],[价格]]</f>
        <v>gift_6</v>
      </c>
      <c r="E77" s="5">
        <f>VLOOKUP(表1[[#This Row],[iOS]],description!$G$1:$H$5,2,FALSE)</f>
        <v>3901</v>
      </c>
      <c r="F77" s="3" t="s">
        <v>40</v>
      </c>
      <c r="G77" s="3" t="str">
        <f>"[[""r000"","&amp;表1[[#This Row],[价格]]&amp;"]]"</f>
        <v>[["r000",6]]</v>
      </c>
      <c r="H77" s="12">
        <f>VLOOKUP(表1[[#This Row],[名称]],[1]!表1[#Data],5,FALSE)</f>
        <v>6</v>
      </c>
      <c r="I77" s="5" t="str">
        <f>VLOOKUP(表1[[#This Row],[名称]],[1]!表1[#Data],19,FALSE)</f>
        <v>[["i215",10],["i002",50],["i004",1],["i240",20]]</v>
      </c>
      <c r="J77" s="3">
        <v>1</v>
      </c>
      <c r="K77" s="3">
        <v>1</v>
      </c>
      <c r="L77" s="3" t="str">
        <f t="shared" si="2"/>
        <v>2018/05/11&amp;00:00:00</v>
      </c>
      <c r="M77" s="13" t="str">
        <f t="shared" si="3"/>
        <v>2018/05/11&amp;23:59:59</v>
      </c>
      <c r="N77" s="3">
        <v>1</v>
      </c>
      <c r="O77" s="3">
        <v>1</v>
      </c>
      <c r="P77" s="3">
        <v>0</v>
      </c>
      <c r="Q77" s="5">
        <f>VLOOKUP(表1[[#This Row],[名称]],[1]!表1[#Data],18,FALSE)*10</f>
        <v>2.7</v>
      </c>
      <c r="R77" s="11" t="s">
        <v>58</v>
      </c>
      <c r="S77" s="15" t="s">
        <v>65</v>
      </c>
    </row>
    <row r="78" spans="1:19" x14ac:dyDescent="0.15">
      <c r="A78" s="3">
        <v>10073</v>
      </c>
      <c r="B78" s="5">
        <f>VLOOKUP(表1[[#This Row],[名称]],[1]!表1[#Data],3,FALSE)</f>
        <v>9056</v>
      </c>
      <c r="C78" s="5">
        <f>VLOOKUP(表1[[#This Row],[名称]],[1]!表1[#Data],4,FALSE)</f>
        <v>9477</v>
      </c>
      <c r="D78" s="5" t="str">
        <f>"gift_"&amp;表1[[#This Row],[价格]]</f>
        <v>gift_12</v>
      </c>
      <c r="E78" s="5">
        <f>VLOOKUP(表1[[#This Row],[iOS]],description!$G$1:$H$5,2,FALSE)</f>
        <v>3902</v>
      </c>
      <c r="F78" s="3" t="s">
        <v>40</v>
      </c>
      <c r="G78" s="3" t="str">
        <f>"[[""r000"","&amp;表1[[#This Row],[价格]]&amp;"]]"</f>
        <v>[["r000",12]]</v>
      </c>
      <c r="H78" s="12">
        <f>VLOOKUP(表1[[#This Row],[名称]],[1]!表1[#Data],5,FALSE)</f>
        <v>12</v>
      </c>
      <c r="I78" s="5" t="str">
        <f>VLOOKUP(表1[[#This Row],[名称]],[1]!表1[#Data],19,FALSE)</f>
        <v>[["i001",200000],["i002",200],["i400",2],["i220",10]]</v>
      </c>
      <c r="J78" s="3">
        <v>1</v>
      </c>
      <c r="K78" s="3">
        <v>1</v>
      </c>
      <c r="L78" s="3" t="str">
        <f t="shared" si="2"/>
        <v>2018/05/12&amp;00:00:00</v>
      </c>
      <c r="M78" s="13" t="str">
        <f t="shared" si="3"/>
        <v>2018/05/12&amp;23:59:59</v>
      </c>
      <c r="N78" s="3">
        <v>1</v>
      </c>
      <c r="O78" s="3">
        <v>1</v>
      </c>
      <c r="P78" s="3">
        <v>0</v>
      </c>
      <c r="Q78" s="5">
        <f>VLOOKUP(表1[[#This Row],[名称]],[1]!表1[#Data],18,FALSE)*10</f>
        <v>3.8</v>
      </c>
      <c r="R78" s="3" t="s">
        <v>41</v>
      </c>
      <c r="S78" s="15" t="s">
        <v>66</v>
      </c>
    </row>
    <row r="79" spans="1:19" x14ac:dyDescent="0.15">
      <c r="A79" s="3">
        <v>10074</v>
      </c>
      <c r="B79" s="5">
        <f>VLOOKUP(表1[[#This Row],[名称]],[1]!表1[#Data],3,FALSE)</f>
        <v>9072</v>
      </c>
      <c r="C79" s="5">
        <f>VLOOKUP(表1[[#This Row],[名称]],[1]!表1[#Data],4,FALSE)</f>
        <v>9493</v>
      </c>
      <c r="D79" s="5" t="str">
        <f>"gift_"&amp;表1[[#This Row],[价格]]</f>
        <v>gift_18</v>
      </c>
      <c r="E79" s="5">
        <f>VLOOKUP(表1[[#This Row],[iOS]],description!$G$1:$H$5,2,FALSE)</f>
        <v>3903</v>
      </c>
      <c r="F79" s="3" t="s">
        <v>40</v>
      </c>
      <c r="G79" s="3" t="str">
        <f>"[[""r000"","&amp;表1[[#This Row],[价格]]&amp;"]]"</f>
        <v>[["r000",18]]</v>
      </c>
      <c r="H79" s="12">
        <f>VLOOKUP(表1[[#This Row],[名称]],[1]!表1[#Data],5,FALSE)</f>
        <v>18</v>
      </c>
      <c r="I79" s="5" t="str">
        <f>VLOOKUP(表1[[#This Row],[名称]],[1]!表1[#Data],19,FALSE)</f>
        <v>[["i016",10],["i001",50000],["i400",5],["i004",5]]</v>
      </c>
      <c r="J79" s="3">
        <v>1</v>
      </c>
      <c r="K79" s="3">
        <v>1</v>
      </c>
      <c r="L79" s="3" t="str">
        <f t="shared" si="2"/>
        <v>2018/05/13&amp;00:00:00</v>
      </c>
      <c r="M79" s="13" t="str">
        <f t="shared" si="3"/>
        <v>2018/05/13&amp;23:59:59</v>
      </c>
      <c r="N79" s="3">
        <v>1</v>
      </c>
      <c r="O79" s="3">
        <v>1</v>
      </c>
      <c r="P79" s="3">
        <v>0</v>
      </c>
      <c r="Q79" s="5">
        <f>VLOOKUP(表1[[#This Row],[名称]],[1]!表1[#Data],18,FALSE)*10</f>
        <v>1.5</v>
      </c>
      <c r="R79" s="11" t="s">
        <v>61</v>
      </c>
      <c r="S79" s="15" t="s">
        <v>67</v>
      </c>
    </row>
    <row r="80" spans="1:19" x14ac:dyDescent="0.15">
      <c r="A80" s="3">
        <v>10075</v>
      </c>
      <c r="B80" s="5">
        <f>VLOOKUP(表1[[#This Row],[名称]],[1]!表1[#Data],3,FALSE)</f>
        <v>9055</v>
      </c>
      <c r="C80" s="5">
        <f>VLOOKUP(表1[[#This Row],[名称]],[1]!表1[#Data],4,FALSE)</f>
        <v>9476</v>
      </c>
      <c r="D80" s="5" t="str">
        <f>"gift_"&amp;表1[[#This Row],[价格]]</f>
        <v>gift_6</v>
      </c>
      <c r="E80" s="5">
        <f>VLOOKUP(表1[[#This Row],[iOS]],description!$G$1:$H$5,2,FALSE)</f>
        <v>3901</v>
      </c>
      <c r="F80" s="3" t="s">
        <v>40</v>
      </c>
      <c r="G80" s="3" t="str">
        <f>"[[""r000"","&amp;表1[[#This Row],[价格]]&amp;"]]"</f>
        <v>[["r000",6]]</v>
      </c>
      <c r="H80" s="12">
        <f>VLOOKUP(表1[[#This Row],[名称]],[1]!表1[#Data],5,FALSE)</f>
        <v>6</v>
      </c>
      <c r="I80" s="5" t="str">
        <f>VLOOKUP(表1[[#This Row],[名称]],[1]!表1[#Data],19,FALSE)</f>
        <v>[["i011",50],["i001",100000],["i004",1],["i015",1]]</v>
      </c>
      <c r="J80" s="3">
        <v>1</v>
      </c>
      <c r="K80" s="3">
        <v>1</v>
      </c>
      <c r="L80" s="3" t="str">
        <f t="shared" si="2"/>
        <v>2018/05/14&amp;00:00:00</v>
      </c>
      <c r="M80" s="13" t="str">
        <f t="shared" si="3"/>
        <v>2018/05/14&amp;23:59:59</v>
      </c>
      <c r="N80" s="3">
        <v>1</v>
      </c>
      <c r="O80" s="3">
        <v>1</v>
      </c>
      <c r="P80" s="3">
        <v>0</v>
      </c>
      <c r="Q80" s="5">
        <f>VLOOKUP(表1[[#This Row],[名称]],[1]!表1[#Data],18,FALSE)*10</f>
        <v>2.4</v>
      </c>
      <c r="R80" s="11" t="s">
        <v>60</v>
      </c>
      <c r="S80" s="15" t="s">
        <v>68</v>
      </c>
    </row>
    <row r="81" spans="1:19" x14ac:dyDescent="0.15">
      <c r="A81" s="3">
        <v>10076</v>
      </c>
      <c r="B81" s="5">
        <f>VLOOKUP(表1[[#This Row],[名称]],[1]!表1[#Data],3,FALSE)</f>
        <v>9055</v>
      </c>
      <c r="C81" s="5">
        <f>VLOOKUP(表1[[#This Row],[名称]],[1]!表1[#Data],4,FALSE)</f>
        <v>9476</v>
      </c>
      <c r="D81" s="5" t="str">
        <f>"gift_"&amp;表1[[#This Row],[价格]]</f>
        <v>gift_6</v>
      </c>
      <c r="E81" s="5">
        <f>VLOOKUP(表1[[#This Row],[iOS]],description!$G$1:$H$5,2,FALSE)</f>
        <v>3901</v>
      </c>
      <c r="F81" s="3" t="s">
        <v>40</v>
      </c>
      <c r="G81" s="3" t="str">
        <f>"[[""r000"","&amp;表1[[#This Row],[价格]]&amp;"]]"</f>
        <v>[["r000",6]]</v>
      </c>
      <c r="H81" s="12">
        <f>VLOOKUP(表1[[#This Row],[名称]],[1]!表1[#Data],5,FALSE)</f>
        <v>6</v>
      </c>
      <c r="I81" s="5" t="str">
        <f>VLOOKUP(表1[[#This Row],[名称]],[1]!表1[#Data],19,FALSE)</f>
        <v>[["i006",25],["i001",50000],["i004",1],["i015",1]]</v>
      </c>
      <c r="J81" s="3">
        <v>1</v>
      </c>
      <c r="K81" s="3">
        <v>1</v>
      </c>
      <c r="L81" s="3" t="str">
        <f t="shared" si="2"/>
        <v>2018/05/15&amp;00:00:00</v>
      </c>
      <c r="M81" s="13" t="str">
        <f t="shared" si="3"/>
        <v>2018/05/15&amp;23:59:59</v>
      </c>
      <c r="N81" s="3">
        <v>1</v>
      </c>
      <c r="O81" s="3">
        <v>1</v>
      </c>
      <c r="P81" s="3">
        <v>0</v>
      </c>
      <c r="Q81" s="5">
        <f>VLOOKUP(表1[[#This Row],[名称]],[1]!表1[#Data],18,FALSE)*10</f>
        <v>1.9</v>
      </c>
      <c r="R81" s="11" t="s">
        <v>59</v>
      </c>
      <c r="S81" s="15" t="s">
        <v>69</v>
      </c>
    </row>
    <row r="82" spans="1:19" x14ac:dyDescent="0.15">
      <c r="A82" s="3">
        <v>10077</v>
      </c>
      <c r="B82" s="5">
        <f>VLOOKUP(表1[[#This Row],[名称]],[1]!表1[#Data],3,FALSE)</f>
        <v>9056</v>
      </c>
      <c r="C82" s="5">
        <f>VLOOKUP(表1[[#This Row],[名称]],[1]!表1[#Data],4,FALSE)</f>
        <v>9477</v>
      </c>
      <c r="D82" s="5" t="str">
        <f>"gift_"&amp;表1[[#This Row],[价格]]</f>
        <v>gift_12</v>
      </c>
      <c r="E82" s="5">
        <f>VLOOKUP(表1[[#This Row],[iOS]],description!$G$1:$H$5,2,FALSE)</f>
        <v>3902</v>
      </c>
      <c r="F82" s="3" t="s">
        <v>40</v>
      </c>
      <c r="G82" s="3" t="str">
        <f>"[[""r000"","&amp;表1[[#This Row],[价格]]&amp;"]]"</f>
        <v>[["r000",12]]</v>
      </c>
      <c r="H82" s="12">
        <f>VLOOKUP(表1[[#This Row],[名称]],[1]!表1[#Data],5,FALSE)</f>
        <v>12</v>
      </c>
      <c r="I82" s="5" t="str">
        <f>VLOOKUP(表1[[#This Row],[名称]],[1]!表1[#Data],19,FALSE)</f>
        <v>[["i240",180],["i002",150],["i001",50000],["i220",5]]</v>
      </c>
      <c r="J82" s="3">
        <v>1</v>
      </c>
      <c r="K82" s="3">
        <v>1</v>
      </c>
      <c r="L82" s="3" t="str">
        <f t="shared" si="2"/>
        <v>2018/05/16&amp;00:00:00</v>
      </c>
      <c r="M82" s="13" t="str">
        <f t="shared" si="3"/>
        <v>2018/05/16&amp;23:59:59</v>
      </c>
      <c r="N82" s="3">
        <v>1</v>
      </c>
      <c r="O82" s="3">
        <v>1</v>
      </c>
      <c r="P82" s="3">
        <v>0</v>
      </c>
      <c r="Q82" s="5">
        <f>VLOOKUP(表1[[#This Row],[名称]],[1]!表1[#Data],18,FALSE)*10</f>
        <v>2.5</v>
      </c>
      <c r="R82" s="11" t="s">
        <v>56</v>
      </c>
      <c r="S82" s="15" t="s">
        <v>70</v>
      </c>
    </row>
    <row r="83" spans="1:19" x14ac:dyDescent="0.15">
      <c r="A83" s="3">
        <v>10078</v>
      </c>
      <c r="B83" s="5">
        <f>VLOOKUP(表1[[#This Row],[名称]],[1]!表1[#Data],3,FALSE)</f>
        <v>9072</v>
      </c>
      <c r="C83" s="5">
        <f>VLOOKUP(表1[[#This Row],[名称]],[1]!表1[#Data],4,FALSE)</f>
        <v>9493</v>
      </c>
      <c r="D83" s="5" t="str">
        <f>"gift_"&amp;表1[[#This Row],[价格]]</f>
        <v>gift_18</v>
      </c>
      <c r="E83" s="5">
        <f>VLOOKUP(表1[[#This Row],[iOS]],description!$G$1:$H$5,2,FALSE)</f>
        <v>3903</v>
      </c>
      <c r="F83" s="3" t="s">
        <v>40</v>
      </c>
      <c r="G83" s="3" t="str">
        <f>"[[""r000"","&amp;表1[[#This Row],[价格]]&amp;"]]"</f>
        <v>[["r000",18]]</v>
      </c>
      <c r="H83" s="12">
        <f>VLOOKUP(表1[[#This Row],[名称]],[1]!表1[#Data],5,FALSE)</f>
        <v>18</v>
      </c>
      <c r="I83" s="5" t="str">
        <f>VLOOKUP(表1[[#This Row],[名称]],[1]!表1[#Data],19,FALSE)</f>
        <v>[["i001",300000],["i002",300],["i015",1],["i400",2]]</v>
      </c>
      <c r="J83" s="3">
        <v>1</v>
      </c>
      <c r="K83" s="3">
        <v>1</v>
      </c>
      <c r="L83" s="3" t="str">
        <f t="shared" si="2"/>
        <v>2018/05/17&amp;00:00:00</v>
      </c>
      <c r="M83" s="13" t="str">
        <f t="shared" si="3"/>
        <v>2018/05/17&amp;23:59:59</v>
      </c>
      <c r="N83" s="3">
        <v>1</v>
      </c>
      <c r="O83" s="3">
        <v>1</v>
      </c>
      <c r="P83" s="3">
        <v>0</v>
      </c>
      <c r="Q83" s="5">
        <f>VLOOKUP(表1[[#This Row],[名称]],[1]!表1[#Data],18,FALSE)*10</f>
        <v>4</v>
      </c>
      <c r="R83" s="3" t="s">
        <v>42</v>
      </c>
      <c r="S83" s="15" t="s">
        <v>71</v>
      </c>
    </row>
    <row r="84" spans="1:19" x14ac:dyDescent="0.15">
      <c r="A84" s="3">
        <v>10079</v>
      </c>
      <c r="B84" s="5">
        <f>VLOOKUP(表1[[#This Row],[名称]],[1]!表1[#Data],3,FALSE)</f>
        <v>9055</v>
      </c>
      <c r="C84" s="5">
        <f>VLOOKUP(表1[[#This Row],[名称]],[1]!表1[#Data],4,FALSE)</f>
        <v>9476</v>
      </c>
      <c r="D84" s="5" t="str">
        <f>"gift_"&amp;表1[[#This Row],[价格]]</f>
        <v>gift_6</v>
      </c>
      <c r="E84" s="5">
        <f>VLOOKUP(表1[[#This Row],[iOS]],description!$G$1:$H$5,2,FALSE)</f>
        <v>3901</v>
      </c>
      <c r="F84" s="3" t="s">
        <v>40</v>
      </c>
      <c r="G84" s="3" t="str">
        <f>"[[""r000"","&amp;表1[[#This Row],[价格]]&amp;"]]"</f>
        <v>[["r000",6]]</v>
      </c>
      <c r="H84" s="12">
        <f>VLOOKUP(表1[[#This Row],[名称]],[1]!表1[#Data],5,FALSE)</f>
        <v>6</v>
      </c>
      <c r="I84" s="5" t="str">
        <f>VLOOKUP(表1[[#This Row],[名称]],[1]!表1[#Data],19,FALSE)</f>
        <v>[["i400",20],["i002",50],["i015",1],["i220",2]]</v>
      </c>
      <c r="J84" s="3">
        <v>1</v>
      </c>
      <c r="K84" s="3">
        <v>1</v>
      </c>
      <c r="L84" s="3" t="str">
        <f t="shared" si="2"/>
        <v>2018/05/18&amp;00:00:00</v>
      </c>
      <c r="M84" s="13" t="str">
        <f t="shared" si="3"/>
        <v>2018/05/18&amp;23:59:59</v>
      </c>
      <c r="N84" s="3">
        <v>1</v>
      </c>
      <c r="O84" s="3">
        <v>1</v>
      </c>
      <c r="P84" s="3">
        <v>0</v>
      </c>
      <c r="Q84" s="5">
        <f>VLOOKUP(表1[[#This Row],[名称]],[1]!表1[#Data],18,FALSE)*10</f>
        <v>1.9</v>
      </c>
      <c r="R84" s="11" t="s">
        <v>57</v>
      </c>
      <c r="S84" s="15" t="s">
        <v>72</v>
      </c>
    </row>
    <row r="85" spans="1:19" x14ac:dyDescent="0.15">
      <c r="A85" s="3">
        <v>10080</v>
      </c>
      <c r="B85" s="5">
        <f>VLOOKUP(表1[[#This Row],[名称]],[1]!表1[#Data],3,FALSE)</f>
        <v>9067</v>
      </c>
      <c r="C85" s="5">
        <f>VLOOKUP(表1[[#This Row],[名称]],[1]!表1[#Data],4,FALSE)</f>
        <v>9488</v>
      </c>
      <c r="D85" s="5" t="str">
        <f>"gift_"&amp;表1[[#This Row],[价格]]</f>
        <v>gift_30</v>
      </c>
      <c r="E85" s="5">
        <f>VLOOKUP(表1[[#This Row],[iOS]],description!$G$1:$H$5,2,FALSE)</f>
        <v>3904</v>
      </c>
      <c r="F85" s="3" t="s">
        <v>40</v>
      </c>
      <c r="G85" s="3" t="str">
        <f>"[[""r000"","&amp;表1[[#This Row],[价格]]&amp;"]]"</f>
        <v>[["r000",30]]</v>
      </c>
      <c r="H85" s="12">
        <f>VLOOKUP(表1[[#This Row],[名称]],[1]!表1[#Data],5,FALSE)</f>
        <v>30</v>
      </c>
      <c r="I85" s="5" t="str">
        <f>VLOOKUP(表1[[#This Row],[名称]],[1]!表1[#Data],19,FALSE)</f>
        <v>[["i001",400000],["i002",400],["i015",1],["i006",5]]</v>
      </c>
      <c r="J85" s="3">
        <v>1</v>
      </c>
      <c r="K85" s="3">
        <v>1</v>
      </c>
      <c r="L85" s="3" t="str">
        <f t="shared" si="2"/>
        <v>2018/05/19&amp;00:00:00</v>
      </c>
      <c r="M85" s="13" t="str">
        <f t="shared" si="3"/>
        <v>2018/05/19&amp;23:59:59</v>
      </c>
      <c r="N85" s="3">
        <v>1</v>
      </c>
      <c r="O85" s="3">
        <v>1</v>
      </c>
      <c r="P85" s="3">
        <v>0</v>
      </c>
      <c r="Q85" s="5">
        <f>VLOOKUP(表1[[#This Row],[名称]],[1]!表1[#Data],18,FALSE)*10</f>
        <v>3.8</v>
      </c>
      <c r="R85" s="3" t="s">
        <v>43</v>
      </c>
      <c r="S85" s="15" t="s">
        <v>73</v>
      </c>
    </row>
    <row r="86" spans="1:19" x14ac:dyDescent="0.15">
      <c r="A86" s="3">
        <v>10081</v>
      </c>
      <c r="B86" s="5">
        <f>VLOOKUP(表1[[#This Row],[名称]],[1]!表1[#Data],3,FALSE)</f>
        <v>9075</v>
      </c>
      <c r="C86" s="5">
        <f>VLOOKUP(表1[[#This Row],[名称]],[1]!表1[#Data],4,FALSE)</f>
        <v>9496</v>
      </c>
      <c r="D86" s="5" t="str">
        <f>"gift_"&amp;表1[[#This Row],[价格]]</f>
        <v>gift_45</v>
      </c>
      <c r="E86" s="5">
        <f>VLOOKUP(表1[[#This Row],[iOS]],description!$G$1:$H$5,2,FALSE)</f>
        <v>3905</v>
      </c>
      <c r="F86" s="3" t="s">
        <v>40</v>
      </c>
      <c r="G86" s="3" t="str">
        <f>"[[""r000"","&amp;表1[[#This Row],[价格]]&amp;"]]"</f>
        <v>[["r000",45]]</v>
      </c>
      <c r="H86" s="12">
        <f>VLOOKUP(表1[[#This Row],[名称]],[1]!表1[#Data],5,FALSE)</f>
        <v>45</v>
      </c>
      <c r="I86" s="5" t="str">
        <f>VLOOKUP(表1[[#This Row],[名称]],[1]!表1[#Data],19,FALSE)</f>
        <v>[["i017",8],["i002",100],["i004",10],["i006",10]]</v>
      </c>
      <c r="J86" s="3">
        <v>1</v>
      </c>
      <c r="K86" s="3">
        <v>1</v>
      </c>
      <c r="L86" s="3" t="str">
        <f t="shared" si="2"/>
        <v>2018/05/20&amp;00:00:00</v>
      </c>
      <c r="M86" s="13" t="str">
        <f t="shared" si="3"/>
        <v>2018/05/20&amp;23:59:59</v>
      </c>
      <c r="N86" s="3">
        <v>1</v>
      </c>
      <c r="O86" s="3">
        <v>1</v>
      </c>
      <c r="P86" s="3">
        <v>0</v>
      </c>
      <c r="Q86" s="5">
        <f>VLOOKUP(表1[[#This Row],[名称]],[1]!表1[#Data],18,FALSE)*10</f>
        <v>1</v>
      </c>
      <c r="R86" s="11" t="s">
        <v>62</v>
      </c>
      <c r="S86" s="15" t="s">
        <v>74</v>
      </c>
    </row>
    <row r="87" spans="1:19" x14ac:dyDescent="0.15">
      <c r="A87" s="3">
        <v>10082</v>
      </c>
      <c r="B87" s="5">
        <f>VLOOKUP(表1[[#This Row],[名称]],[1]!表1[#Data],3,FALSE)</f>
        <v>9055</v>
      </c>
      <c r="C87" s="5">
        <f>VLOOKUP(表1[[#This Row],[名称]],[1]!表1[#Data],4,FALSE)</f>
        <v>9476</v>
      </c>
      <c r="D87" s="5" t="str">
        <f>"gift_"&amp;表1[[#This Row],[价格]]</f>
        <v>gift_6</v>
      </c>
      <c r="E87" s="5">
        <f>VLOOKUP(表1[[#This Row],[iOS]],description!$G$1:$H$5,2,FALSE)</f>
        <v>3901</v>
      </c>
      <c r="F87" s="3" t="s">
        <v>40</v>
      </c>
      <c r="G87" s="3" t="str">
        <f>"[[""r000"","&amp;表1[[#This Row],[价格]]&amp;"]]"</f>
        <v>[["r000",6]]</v>
      </c>
      <c r="H87" s="12">
        <f>VLOOKUP(表1[[#This Row],[名称]],[1]!表1[#Data],5,FALSE)</f>
        <v>6</v>
      </c>
      <c r="I87" s="5" t="str">
        <f>VLOOKUP(表1[[#This Row],[名称]],[1]!表1[#Data],19,FALSE)</f>
        <v>[["i215",10],["i002",50],["i004",1],["i240",20]]</v>
      </c>
      <c r="J87" s="3">
        <v>1</v>
      </c>
      <c r="K87" s="3">
        <v>1</v>
      </c>
      <c r="L87" s="3" t="str">
        <f t="shared" si="2"/>
        <v>2018/05/21&amp;00:00:00</v>
      </c>
      <c r="M87" s="13" t="str">
        <f t="shared" si="3"/>
        <v>2018/05/21&amp;23:59:59</v>
      </c>
      <c r="N87" s="3">
        <v>1</v>
      </c>
      <c r="O87" s="3">
        <v>1</v>
      </c>
      <c r="P87" s="3">
        <v>0</v>
      </c>
      <c r="Q87" s="5">
        <f>VLOOKUP(表1[[#This Row],[名称]],[1]!表1[#Data],18,FALSE)*10</f>
        <v>2.7</v>
      </c>
      <c r="R87" s="11" t="s">
        <v>58</v>
      </c>
      <c r="S87" s="15" t="s">
        <v>65</v>
      </c>
    </row>
    <row r="88" spans="1:19" x14ac:dyDescent="0.15">
      <c r="A88" s="3">
        <v>10083</v>
      </c>
      <c r="B88" s="5">
        <f>VLOOKUP(表1[[#This Row],[名称]],[1]!表1[#Data],3,FALSE)</f>
        <v>9055</v>
      </c>
      <c r="C88" s="5">
        <f>VLOOKUP(表1[[#This Row],[名称]],[1]!表1[#Data],4,FALSE)</f>
        <v>9476</v>
      </c>
      <c r="D88" s="5" t="str">
        <f>"gift_"&amp;表1[[#This Row],[价格]]</f>
        <v>gift_6</v>
      </c>
      <c r="E88" s="5">
        <f>VLOOKUP(表1[[#This Row],[iOS]],description!$G$1:$H$5,2,FALSE)</f>
        <v>3901</v>
      </c>
      <c r="F88" s="3" t="s">
        <v>40</v>
      </c>
      <c r="G88" s="3" t="str">
        <f>"[[""r000"","&amp;表1[[#This Row],[价格]]&amp;"]]"</f>
        <v>[["r000",6]]</v>
      </c>
      <c r="H88" s="12">
        <f>VLOOKUP(表1[[#This Row],[名称]],[1]!表1[#Data],5,FALSE)</f>
        <v>6</v>
      </c>
      <c r="I88" s="5" t="str">
        <f>VLOOKUP(表1[[#This Row],[名称]],[1]!表1[#Data],19,FALSE)</f>
        <v>[["i006",25],["i001",50000],["i004",1],["i015",1]]</v>
      </c>
      <c r="J88" s="3">
        <v>1</v>
      </c>
      <c r="K88" s="3">
        <v>1</v>
      </c>
      <c r="L88" s="3" t="str">
        <f t="shared" si="2"/>
        <v>2018/05/22&amp;00:00:00</v>
      </c>
      <c r="M88" s="13" t="str">
        <f t="shared" si="3"/>
        <v>2018/05/22&amp;23:59:59</v>
      </c>
      <c r="N88" s="3">
        <v>1</v>
      </c>
      <c r="O88" s="3">
        <v>1</v>
      </c>
      <c r="P88" s="3">
        <v>0</v>
      </c>
      <c r="Q88" s="5">
        <f>VLOOKUP(表1[[#This Row],[名称]],[1]!表1[#Data],18,FALSE)*10</f>
        <v>1.9</v>
      </c>
      <c r="R88" s="11" t="s">
        <v>59</v>
      </c>
      <c r="S88" s="15" t="s">
        <v>69</v>
      </c>
    </row>
    <row r="89" spans="1:19" x14ac:dyDescent="0.15">
      <c r="A89" s="3">
        <v>10084</v>
      </c>
      <c r="B89" s="5">
        <f>VLOOKUP(表1[[#This Row],[名称]],[1]!表1[#Data],3,FALSE)</f>
        <v>9055</v>
      </c>
      <c r="C89" s="5">
        <f>VLOOKUP(表1[[#This Row],[名称]],[1]!表1[#Data],4,FALSE)</f>
        <v>9476</v>
      </c>
      <c r="D89" s="5" t="str">
        <f>"gift_"&amp;表1[[#This Row],[价格]]</f>
        <v>gift_6</v>
      </c>
      <c r="E89" s="5">
        <f>VLOOKUP(表1[[#This Row],[iOS]],description!$G$1:$H$5,2,FALSE)</f>
        <v>3901</v>
      </c>
      <c r="F89" s="3" t="s">
        <v>40</v>
      </c>
      <c r="G89" s="3" t="str">
        <f>"[[""r000"","&amp;表1[[#This Row],[价格]]&amp;"]]"</f>
        <v>[["r000",6]]</v>
      </c>
      <c r="H89" s="12">
        <f>VLOOKUP(表1[[#This Row],[名称]],[1]!表1[#Data],5,FALSE)</f>
        <v>6</v>
      </c>
      <c r="I89" s="5" t="str">
        <f>VLOOKUP(表1[[#This Row],[名称]],[1]!表1[#Data],19,FALSE)</f>
        <v>[["i006",25],["i001",50000],["i004",1],["i015",1]]</v>
      </c>
      <c r="J89" s="3">
        <v>1</v>
      </c>
      <c r="K89" s="3">
        <v>1</v>
      </c>
      <c r="L89" s="3" t="str">
        <f t="shared" si="2"/>
        <v>2018/05/23&amp;00:00:00</v>
      </c>
      <c r="M89" s="13" t="str">
        <f t="shared" si="3"/>
        <v>2018/05/23&amp;23:59:59</v>
      </c>
      <c r="N89" s="3">
        <v>1</v>
      </c>
      <c r="O89" s="3">
        <v>1</v>
      </c>
      <c r="P89" s="3">
        <v>0</v>
      </c>
      <c r="Q89" s="5">
        <f>VLOOKUP(表1[[#This Row],[名称]],[1]!表1[#Data],18,FALSE)*10</f>
        <v>1.9</v>
      </c>
      <c r="R89" s="11" t="s">
        <v>59</v>
      </c>
      <c r="S89" s="15" t="s">
        <v>69</v>
      </c>
    </row>
    <row r="90" spans="1:19" x14ac:dyDescent="0.15">
      <c r="A90" s="3">
        <v>10085</v>
      </c>
      <c r="B90" s="5">
        <f>VLOOKUP(表1[[#This Row],[名称]],[1]!表1[#Data],3,FALSE)</f>
        <v>9055</v>
      </c>
      <c r="C90" s="5">
        <f>VLOOKUP(表1[[#This Row],[名称]],[1]!表1[#Data],4,FALSE)</f>
        <v>9476</v>
      </c>
      <c r="D90" s="5" t="str">
        <f>"gift_"&amp;表1[[#This Row],[价格]]</f>
        <v>gift_6</v>
      </c>
      <c r="E90" s="5">
        <f>VLOOKUP(表1[[#This Row],[iOS]],description!$G$1:$H$5,2,FALSE)</f>
        <v>3901</v>
      </c>
      <c r="F90" s="3" t="s">
        <v>40</v>
      </c>
      <c r="G90" s="3" t="str">
        <f>"[[""r000"","&amp;表1[[#This Row],[价格]]&amp;"]]"</f>
        <v>[["r000",6]]</v>
      </c>
      <c r="H90" s="12">
        <f>VLOOKUP(表1[[#This Row],[名称]],[1]!表1[#Data],5,FALSE)</f>
        <v>6</v>
      </c>
      <c r="I90" s="5" t="str">
        <f>VLOOKUP(表1[[#This Row],[名称]],[1]!表1[#Data],19,FALSE)</f>
        <v>[["i215",10],["i002",50],["i004",1],["i240",20]]</v>
      </c>
      <c r="J90" s="3">
        <v>1</v>
      </c>
      <c r="K90" s="3">
        <v>1</v>
      </c>
      <c r="L90" s="3" t="str">
        <f t="shared" si="2"/>
        <v>2018/05/24&amp;00:00:00</v>
      </c>
      <c r="M90" s="13" t="str">
        <f t="shared" si="3"/>
        <v>2018/05/24&amp;23:59:59</v>
      </c>
      <c r="N90" s="3">
        <v>1</v>
      </c>
      <c r="O90" s="3">
        <v>1</v>
      </c>
      <c r="P90" s="3">
        <v>0</v>
      </c>
      <c r="Q90" s="5">
        <f>VLOOKUP(表1[[#This Row],[名称]],[1]!表1[#Data],18,FALSE)*10</f>
        <v>2.7</v>
      </c>
      <c r="R90" s="11" t="s">
        <v>58</v>
      </c>
      <c r="S90" s="15" t="s">
        <v>65</v>
      </c>
    </row>
    <row r="91" spans="1:19" x14ac:dyDescent="0.15">
      <c r="A91" s="3">
        <v>10086</v>
      </c>
      <c r="B91" s="5">
        <f>VLOOKUP(表1[[#This Row],[名称]],[1]!表1[#Data],3,FALSE)</f>
        <v>9075</v>
      </c>
      <c r="C91" s="5">
        <f>VLOOKUP(表1[[#This Row],[名称]],[1]!表1[#Data],4,FALSE)</f>
        <v>9496</v>
      </c>
      <c r="D91" s="5" t="str">
        <f>"gift_"&amp;表1[[#This Row],[价格]]</f>
        <v>gift_45</v>
      </c>
      <c r="E91" s="5">
        <f>VLOOKUP(表1[[#This Row],[iOS]],description!$G$1:$H$5,2,FALSE)</f>
        <v>3905</v>
      </c>
      <c r="F91" s="3" t="s">
        <v>40</v>
      </c>
      <c r="G91" s="3" t="str">
        <f>"[[""r000"","&amp;表1[[#This Row],[价格]]&amp;"]]"</f>
        <v>[["r000",45]]</v>
      </c>
      <c r="H91" s="12">
        <f>VLOOKUP(表1[[#This Row],[名称]],[1]!表1[#Data],5,FALSE)</f>
        <v>45</v>
      </c>
      <c r="I91" s="5" t="str">
        <f>VLOOKUP(表1[[#This Row],[名称]],[1]!表1[#Data],19,FALSE)</f>
        <v>[["i017",8],["i002",100],["i004",10],["i006",10]]</v>
      </c>
      <c r="J91" s="3">
        <v>1</v>
      </c>
      <c r="K91" s="3">
        <v>1</v>
      </c>
      <c r="L91" s="3" t="str">
        <f t="shared" si="2"/>
        <v>2018/05/25&amp;00:00:00</v>
      </c>
      <c r="M91" s="13" t="str">
        <f t="shared" si="3"/>
        <v>2018/05/25&amp;23:59:59</v>
      </c>
      <c r="N91" s="3">
        <v>1</v>
      </c>
      <c r="O91" s="3">
        <v>1</v>
      </c>
      <c r="P91" s="3">
        <v>0</v>
      </c>
      <c r="Q91" s="5">
        <f>VLOOKUP(表1[[#This Row],[名称]],[1]!表1[#Data],18,FALSE)*10</f>
        <v>1</v>
      </c>
      <c r="R91" s="11" t="s">
        <v>62</v>
      </c>
      <c r="S91" s="15" t="s">
        <v>74</v>
      </c>
    </row>
    <row r="92" spans="1:19" x14ac:dyDescent="0.15">
      <c r="A92" s="3">
        <v>10087</v>
      </c>
      <c r="B92" s="5">
        <f>VLOOKUP(表1[[#This Row],[名称]],[1]!表1[#Data],3,FALSE)</f>
        <v>9067</v>
      </c>
      <c r="C92" s="5">
        <f>VLOOKUP(表1[[#This Row],[名称]],[1]!表1[#Data],4,FALSE)</f>
        <v>9488</v>
      </c>
      <c r="D92" s="5" t="str">
        <f>"gift_"&amp;表1[[#This Row],[价格]]</f>
        <v>gift_30</v>
      </c>
      <c r="E92" s="5">
        <f>VLOOKUP(表1[[#This Row],[iOS]],description!$G$1:$H$5,2,FALSE)</f>
        <v>3904</v>
      </c>
      <c r="F92" s="3" t="s">
        <v>40</v>
      </c>
      <c r="G92" s="3" t="str">
        <f>"[[""r000"","&amp;表1[[#This Row],[价格]]&amp;"]]"</f>
        <v>[["r000",30]]</v>
      </c>
      <c r="H92" s="12">
        <f>VLOOKUP(表1[[#This Row],[名称]],[1]!表1[#Data],5,FALSE)</f>
        <v>30</v>
      </c>
      <c r="I92" s="5" t="str">
        <f>VLOOKUP(表1[[#This Row],[名称]],[1]!表1[#Data],19,FALSE)</f>
        <v>[["i001",400000],["i002",400],["i015",1],["i006",5]]</v>
      </c>
      <c r="J92" s="3">
        <v>1</v>
      </c>
      <c r="K92" s="3">
        <v>1</v>
      </c>
      <c r="L92" s="3" t="str">
        <f t="shared" si="2"/>
        <v>2018/05/26&amp;00:00:00</v>
      </c>
      <c r="M92" s="13" t="str">
        <f t="shared" si="3"/>
        <v>2018/05/26&amp;23:59:59</v>
      </c>
      <c r="N92" s="3">
        <v>1</v>
      </c>
      <c r="O92" s="3">
        <v>1</v>
      </c>
      <c r="P92" s="3">
        <v>0</v>
      </c>
      <c r="Q92" s="5">
        <f>VLOOKUP(表1[[#This Row],[名称]],[1]!表1[#Data],18,FALSE)*10</f>
        <v>3.8</v>
      </c>
      <c r="R92" s="3" t="s">
        <v>43</v>
      </c>
      <c r="S92" s="15" t="s">
        <v>73</v>
      </c>
    </row>
    <row r="93" spans="1:19" x14ac:dyDescent="0.15">
      <c r="A93" s="3">
        <v>10088</v>
      </c>
      <c r="B93" s="5">
        <f>VLOOKUP(表1[[#This Row],[名称]],[1]!表1[#Data],3,FALSE)</f>
        <v>9055</v>
      </c>
      <c r="C93" s="5">
        <f>VLOOKUP(表1[[#This Row],[名称]],[1]!表1[#Data],4,FALSE)</f>
        <v>9476</v>
      </c>
      <c r="D93" s="5" t="str">
        <f>"gift_"&amp;表1[[#This Row],[价格]]</f>
        <v>gift_6</v>
      </c>
      <c r="E93" s="5">
        <f>VLOOKUP(表1[[#This Row],[iOS]],description!$G$1:$H$5,2,FALSE)</f>
        <v>3901</v>
      </c>
      <c r="F93" s="3" t="s">
        <v>40</v>
      </c>
      <c r="G93" s="3" t="str">
        <f>"[[""r000"","&amp;表1[[#This Row],[价格]]&amp;"]]"</f>
        <v>[["r000",6]]</v>
      </c>
      <c r="H93" s="12">
        <f>VLOOKUP(表1[[#This Row],[名称]],[1]!表1[#Data],5,FALSE)</f>
        <v>6</v>
      </c>
      <c r="I93" s="5" t="str">
        <f>VLOOKUP(表1[[#This Row],[名称]],[1]!表1[#Data],19,FALSE)</f>
        <v>[["i400",20],["i002",50],["i015",1],["i220",2]]</v>
      </c>
      <c r="J93" s="3">
        <v>1</v>
      </c>
      <c r="K93" s="3">
        <v>1</v>
      </c>
      <c r="L93" s="3" t="str">
        <f t="shared" si="2"/>
        <v>2018/05/27&amp;00:00:00</v>
      </c>
      <c r="M93" s="13" t="str">
        <f t="shared" si="3"/>
        <v>2018/05/27&amp;23:59:59</v>
      </c>
      <c r="N93" s="3">
        <v>1</v>
      </c>
      <c r="O93" s="3">
        <v>1</v>
      </c>
      <c r="P93" s="3">
        <v>0</v>
      </c>
      <c r="Q93" s="5">
        <f>VLOOKUP(表1[[#This Row],[名称]],[1]!表1[#Data],18,FALSE)*10</f>
        <v>1.9</v>
      </c>
      <c r="R93" s="11" t="s">
        <v>57</v>
      </c>
      <c r="S93" s="15" t="s">
        <v>72</v>
      </c>
    </row>
    <row r="94" spans="1:19" x14ac:dyDescent="0.15">
      <c r="A94" s="3">
        <v>10089</v>
      </c>
      <c r="B94" s="5">
        <f>VLOOKUP(表1[[#This Row],[名称]],[1]!表1[#Data],3,FALSE)</f>
        <v>9072</v>
      </c>
      <c r="C94" s="5">
        <f>VLOOKUP(表1[[#This Row],[名称]],[1]!表1[#Data],4,FALSE)</f>
        <v>9493</v>
      </c>
      <c r="D94" s="5" t="str">
        <f>"gift_"&amp;表1[[#This Row],[价格]]</f>
        <v>gift_18</v>
      </c>
      <c r="E94" s="5">
        <f>VLOOKUP(表1[[#This Row],[iOS]],description!$G$1:$H$5,2,FALSE)</f>
        <v>3903</v>
      </c>
      <c r="F94" s="3" t="s">
        <v>40</v>
      </c>
      <c r="G94" s="3" t="str">
        <f>"[[""r000"","&amp;表1[[#This Row],[价格]]&amp;"]]"</f>
        <v>[["r000",18]]</v>
      </c>
      <c r="H94" s="12">
        <f>VLOOKUP(表1[[#This Row],[名称]],[1]!表1[#Data],5,FALSE)</f>
        <v>18</v>
      </c>
      <c r="I94" s="5" t="str">
        <f>VLOOKUP(表1[[#This Row],[名称]],[1]!表1[#Data],19,FALSE)</f>
        <v>[["i001",300000],["i002",300],["i015",1],["i400",2]]</v>
      </c>
      <c r="J94" s="3">
        <v>1</v>
      </c>
      <c r="K94" s="3">
        <v>1</v>
      </c>
      <c r="L94" s="3" t="str">
        <f t="shared" si="2"/>
        <v>2018/05/28&amp;00:00:00</v>
      </c>
      <c r="M94" s="13" t="str">
        <f t="shared" si="3"/>
        <v>2018/05/28&amp;23:59:59</v>
      </c>
      <c r="N94" s="3">
        <v>1</v>
      </c>
      <c r="O94" s="3">
        <v>1</v>
      </c>
      <c r="P94" s="3">
        <v>0</v>
      </c>
      <c r="Q94" s="5">
        <f>VLOOKUP(表1[[#This Row],[名称]],[1]!表1[#Data],18,FALSE)*10</f>
        <v>4</v>
      </c>
      <c r="R94" s="3" t="s">
        <v>42</v>
      </c>
      <c r="S94" s="15" t="s">
        <v>71</v>
      </c>
    </row>
    <row r="95" spans="1:19" x14ac:dyDescent="0.15">
      <c r="A95" s="3">
        <v>10090</v>
      </c>
      <c r="B95" s="5">
        <f>VLOOKUP(表1[[#This Row],[名称]],[1]!表1[#Data],3,FALSE)</f>
        <v>9056</v>
      </c>
      <c r="C95" s="5">
        <f>VLOOKUP(表1[[#This Row],[名称]],[1]!表1[#Data],4,FALSE)</f>
        <v>9477</v>
      </c>
      <c r="D95" s="5" t="str">
        <f>"gift_"&amp;表1[[#This Row],[价格]]</f>
        <v>gift_12</v>
      </c>
      <c r="E95" s="5">
        <f>VLOOKUP(表1[[#This Row],[iOS]],description!$G$1:$H$5,2,FALSE)</f>
        <v>3902</v>
      </c>
      <c r="F95" s="3" t="s">
        <v>40</v>
      </c>
      <c r="G95" s="3" t="str">
        <f>"[[""r000"","&amp;表1[[#This Row],[价格]]&amp;"]]"</f>
        <v>[["r000",12]]</v>
      </c>
      <c r="H95" s="12">
        <f>VLOOKUP(表1[[#This Row],[名称]],[1]!表1[#Data],5,FALSE)</f>
        <v>12</v>
      </c>
      <c r="I95" s="5" t="str">
        <f>VLOOKUP(表1[[#This Row],[名称]],[1]!表1[#Data],19,FALSE)</f>
        <v>[["i240",180],["i002",150],["i001",50000],["i220",5]]</v>
      </c>
      <c r="J95" s="3">
        <v>1</v>
      </c>
      <c r="K95" s="3">
        <v>1</v>
      </c>
      <c r="L95" s="3" t="str">
        <f t="shared" si="2"/>
        <v>2018/05/29&amp;00:00:00</v>
      </c>
      <c r="M95" s="13" t="str">
        <f t="shared" si="3"/>
        <v>2018/05/29&amp;23:59:59</v>
      </c>
      <c r="N95" s="3">
        <v>1</v>
      </c>
      <c r="O95" s="3">
        <v>1</v>
      </c>
      <c r="P95" s="3">
        <v>0</v>
      </c>
      <c r="Q95" s="5">
        <f>VLOOKUP(表1[[#This Row],[名称]],[1]!表1[#Data],18,FALSE)*10</f>
        <v>2.5</v>
      </c>
      <c r="R95" s="11" t="s">
        <v>56</v>
      </c>
      <c r="S95" s="15" t="s">
        <v>70</v>
      </c>
    </row>
    <row r="96" spans="1:19" x14ac:dyDescent="0.15">
      <c r="A96" s="3">
        <v>10091</v>
      </c>
      <c r="B96" s="5">
        <f>VLOOKUP(表1[[#This Row],[名称]],[1]!表1[#Data],3,FALSE)</f>
        <v>9055</v>
      </c>
      <c r="C96" s="5">
        <f>VLOOKUP(表1[[#This Row],[名称]],[1]!表1[#Data],4,FALSE)</f>
        <v>9476</v>
      </c>
      <c r="D96" s="5" t="str">
        <f>"gift_"&amp;表1[[#This Row],[价格]]</f>
        <v>gift_6</v>
      </c>
      <c r="E96" s="5">
        <f>VLOOKUP(表1[[#This Row],[iOS]],description!$G$1:$H$5,2,FALSE)</f>
        <v>3901</v>
      </c>
      <c r="F96" s="3" t="s">
        <v>40</v>
      </c>
      <c r="G96" s="3" t="str">
        <f>"[[""r000"","&amp;表1[[#This Row],[价格]]&amp;"]]"</f>
        <v>[["r000",6]]</v>
      </c>
      <c r="H96" s="12">
        <f>VLOOKUP(表1[[#This Row],[名称]],[1]!表1[#Data],5,FALSE)</f>
        <v>6</v>
      </c>
      <c r="I96" s="5" t="str">
        <f>VLOOKUP(表1[[#This Row],[名称]],[1]!表1[#Data],19,FALSE)</f>
        <v>[["i006",25],["i001",50000],["i004",1],["i015",1]]</v>
      </c>
      <c r="J96" s="3">
        <v>1</v>
      </c>
      <c r="K96" s="3">
        <v>1</v>
      </c>
      <c r="L96" s="3" t="str">
        <f t="shared" si="2"/>
        <v>2018/05/30&amp;00:00:00</v>
      </c>
      <c r="M96" s="13" t="str">
        <f t="shared" si="3"/>
        <v>2018/05/30&amp;23:59:59</v>
      </c>
      <c r="N96" s="3">
        <v>1</v>
      </c>
      <c r="O96" s="3">
        <v>1</v>
      </c>
      <c r="P96" s="3">
        <v>0</v>
      </c>
      <c r="Q96" s="5">
        <f>VLOOKUP(表1[[#This Row],[名称]],[1]!表1[#Data],18,FALSE)*10</f>
        <v>1.9</v>
      </c>
      <c r="R96" s="11" t="s">
        <v>59</v>
      </c>
      <c r="S96" s="15" t="s">
        <v>69</v>
      </c>
    </row>
    <row r="97" spans="1:19" x14ac:dyDescent="0.15">
      <c r="A97" s="3">
        <v>10092</v>
      </c>
      <c r="B97" s="5">
        <f>VLOOKUP(表1[[#This Row],[名称]],[1]!表1[#Data],3,FALSE)</f>
        <v>9055</v>
      </c>
      <c r="C97" s="5">
        <f>VLOOKUP(表1[[#This Row],[名称]],[1]!表1[#Data],4,FALSE)</f>
        <v>9476</v>
      </c>
      <c r="D97" s="5" t="str">
        <f>"gift_"&amp;表1[[#This Row],[价格]]</f>
        <v>gift_6</v>
      </c>
      <c r="E97" s="5">
        <f>VLOOKUP(表1[[#This Row],[iOS]],description!$G$1:$H$5,2,FALSE)</f>
        <v>3901</v>
      </c>
      <c r="F97" s="3" t="s">
        <v>40</v>
      </c>
      <c r="G97" s="3" t="str">
        <f>"[[""r000"","&amp;表1[[#This Row],[价格]]&amp;"]]"</f>
        <v>[["r000",6]]</v>
      </c>
      <c r="H97" s="12">
        <f>VLOOKUP(表1[[#This Row],[名称]],[1]!表1[#Data],5,FALSE)</f>
        <v>6</v>
      </c>
      <c r="I97" s="5" t="str">
        <f>VLOOKUP(表1[[#This Row],[名称]],[1]!表1[#Data],19,FALSE)</f>
        <v>[["i011",50],["i001",100000],["i004",1],["i015",1]]</v>
      </c>
      <c r="J97" s="3">
        <v>1</v>
      </c>
      <c r="K97" s="3">
        <v>1</v>
      </c>
      <c r="L97" s="3" t="str">
        <f t="shared" si="2"/>
        <v>2018/05/31&amp;00:00:00</v>
      </c>
      <c r="M97" s="13" t="str">
        <f t="shared" si="3"/>
        <v>2018/05/31&amp;23:59:59</v>
      </c>
      <c r="N97" s="3">
        <v>1</v>
      </c>
      <c r="O97" s="3">
        <v>1</v>
      </c>
      <c r="P97" s="3">
        <v>0</v>
      </c>
      <c r="Q97" s="5">
        <f>VLOOKUP(表1[[#This Row],[名称]],[1]!表1[#Data],18,FALSE)*10</f>
        <v>2.4</v>
      </c>
      <c r="R97" s="11" t="s">
        <v>60</v>
      </c>
      <c r="S97" s="15" t="s">
        <v>68</v>
      </c>
    </row>
    <row r="98" spans="1:19" x14ac:dyDescent="0.15">
      <c r="A98" s="3">
        <v>10093</v>
      </c>
      <c r="B98" s="5">
        <f>VLOOKUP(表1[[#This Row],[名称]],[1]!表1[#Data],3,FALSE)</f>
        <v>9072</v>
      </c>
      <c r="C98" s="5">
        <f>VLOOKUP(表1[[#This Row],[名称]],[1]!表1[#Data],4,FALSE)</f>
        <v>9493</v>
      </c>
      <c r="D98" s="5" t="str">
        <f>"gift_"&amp;表1[[#This Row],[价格]]</f>
        <v>gift_18</v>
      </c>
      <c r="E98" s="5">
        <f>VLOOKUP(表1[[#This Row],[iOS]],description!$G$1:$H$5,2,FALSE)</f>
        <v>3903</v>
      </c>
      <c r="F98" s="3" t="s">
        <v>40</v>
      </c>
      <c r="G98" s="3" t="str">
        <f>"[[""r000"","&amp;表1[[#This Row],[价格]]&amp;"]]"</f>
        <v>[["r000",18]]</v>
      </c>
      <c r="H98" s="12">
        <f>VLOOKUP(表1[[#This Row],[名称]],[1]!表1[#Data],5,FALSE)</f>
        <v>18</v>
      </c>
      <c r="I98" s="5" t="str">
        <f>VLOOKUP(表1[[#This Row],[名称]],[1]!表1[#Data],19,FALSE)</f>
        <v>[["i016",10],["i001",50000],["i400",5],["i004",5]]</v>
      </c>
      <c r="J98" s="3">
        <v>1</v>
      </c>
      <c r="K98" s="3">
        <v>1</v>
      </c>
      <c r="L98" s="3" t="str">
        <f t="shared" si="2"/>
        <v>2018/06/01&amp;00:00:00</v>
      </c>
      <c r="M98" s="13" t="str">
        <f t="shared" si="3"/>
        <v>2018/06/01&amp;23:59:59</v>
      </c>
      <c r="N98" s="3">
        <v>1</v>
      </c>
      <c r="O98" s="3">
        <v>1</v>
      </c>
      <c r="P98" s="3">
        <v>0</v>
      </c>
      <c r="Q98" s="5">
        <f>VLOOKUP(表1[[#This Row],[名称]],[1]!表1[#Data],18,FALSE)*10</f>
        <v>1.5</v>
      </c>
      <c r="R98" s="11" t="s">
        <v>61</v>
      </c>
      <c r="S98" s="15" t="s">
        <v>67</v>
      </c>
    </row>
    <row r="99" spans="1:19" x14ac:dyDescent="0.15">
      <c r="A99" s="3">
        <v>10094</v>
      </c>
      <c r="B99" s="5">
        <f>VLOOKUP(表1[[#This Row],[名称]],[1]!表1[#Data],3,FALSE)</f>
        <v>9056</v>
      </c>
      <c r="C99" s="5">
        <f>VLOOKUP(表1[[#This Row],[名称]],[1]!表1[#Data],4,FALSE)</f>
        <v>9477</v>
      </c>
      <c r="D99" s="5" t="str">
        <f>"gift_"&amp;表1[[#This Row],[价格]]</f>
        <v>gift_12</v>
      </c>
      <c r="E99" s="5">
        <f>VLOOKUP(表1[[#This Row],[iOS]],description!$G$1:$H$5,2,FALSE)</f>
        <v>3902</v>
      </c>
      <c r="F99" s="3" t="s">
        <v>40</v>
      </c>
      <c r="G99" s="3" t="str">
        <f>"[[""r000"","&amp;表1[[#This Row],[价格]]&amp;"]]"</f>
        <v>[["r000",12]]</v>
      </c>
      <c r="H99" s="12">
        <f>VLOOKUP(表1[[#This Row],[名称]],[1]!表1[#Data],5,FALSE)</f>
        <v>12</v>
      </c>
      <c r="I99" s="5" t="str">
        <f>VLOOKUP(表1[[#This Row],[名称]],[1]!表1[#Data],19,FALSE)</f>
        <v>[["i001",200000],["i002",200],["i400",2],["i220",10]]</v>
      </c>
      <c r="J99" s="3">
        <v>1</v>
      </c>
      <c r="K99" s="3">
        <v>1</v>
      </c>
      <c r="L99" s="3" t="str">
        <f t="shared" si="2"/>
        <v>2018/06/02&amp;00:00:00</v>
      </c>
      <c r="M99" s="13" t="str">
        <f t="shared" si="3"/>
        <v>2018/06/02&amp;23:59:59</v>
      </c>
      <c r="N99" s="3">
        <v>1</v>
      </c>
      <c r="O99" s="3">
        <v>1</v>
      </c>
      <c r="P99" s="3">
        <v>0</v>
      </c>
      <c r="Q99" s="5">
        <f>VLOOKUP(表1[[#This Row],[名称]],[1]!表1[#Data],18,FALSE)*10</f>
        <v>3.8</v>
      </c>
      <c r="R99" s="3" t="s">
        <v>41</v>
      </c>
      <c r="S99" s="15" t="s">
        <v>66</v>
      </c>
    </row>
    <row r="100" spans="1:19" x14ac:dyDescent="0.15">
      <c r="A100" s="3">
        <v>10095</v>
      </c>
      <c r="B100" s="5">
        <f>VLOOKUP(表1[[#This Row],[名称]],[1]!表1[#Data],3,FALSE)</f>
        <v>9055</v>
      </c>
      <c r="C100" s="5">
        <f>VLOOKUP(表1[[#This Row],[名称]],[1]!表1[#Data],4,FALSE)</f>
        <v>9476</v>
      </c>
      <c r="D100" s="5" t="str">
        <f>"gift_"&amp;表1[[#This Row],[价格]]</f>
        <v>gift_6</v>
      </c>
      <c r="E100" s="5">
        <f>VLOOKUP(表1[[#This Row],[iOS]],description!$G$1:$H$5,2,FALSE)</f>
        <v>3901</v>
      </c>
      <c r="F100" s="3" t="s">
        <v>40</v>
      </c>
      <c r="G100" s="3" t="str">
        <f>"[[""r000"","&amp;表1[[#This Row],[价格]]&amp;"]]"</f>
        <v>[["r000",6]]</v>
      </c>
      <c r="H100" s="12">
        <f>VLOOKUP(表1[[#This Row],[名称]],[1]!表1[#Data],5,FALSE)</f>
        <v>6</v>
      </c>
      <c r="I100" s="5" t="str">
        <f>VLOOKUP(表1[[#This Row],[名称]],[1]!表1[#Data],19,FALSE)</f>
        <v>[["i215",10],["i002",50],["i004",1],["i240",20]]</v>
      </c>
      <c r="J100" s="3">
        <v>1</v>
      </c>
      <c r="K100" s="3">
        <v>1</v>
      </c>
      <c r="L100" s="3" t="str">
        <f t="shared" si="2"/>
        <v>2018/06/03&amp;00:00:00</v>
      </c>
      <c r="M100" s="13" t="str">
        <f t="shared" si="3"/>
        <v>2018/06/03&amp;23:59:59</v>
      </c>
      <c r="N100" s="3">
        <v>1</v>
      </c>
      <c r="O100" s="3">
        <v>1</v>
      </c>
      <c r="P100" s="3">
        <v>0</v>
      </c>
      <c r="Q100" s="5">
        <f>VLOOKUP(表1[[#This Row],[名称]],[1]!表1[#Data],18,FALSE)*10</f>
        <v>2.7</v>
      </c>
      <c r="R100" s="11" t="s">
        <v>58</v>
      </c>
      <c r="S100" s="15" t="s">
        <v>65</v>
      </c>
    </row>
    <row r="101" spans="1:19" x14ac:dyDescent="0.15">
      <c r="A101" s="3">
        <v>10096</v>
      </c>
      <c r="B101" s="5">
        <f>VLOOKUP(表1[[#This Row],[名称]],[1]!表1[#Data],3,FALSE)</f>
        <v>9056</v>
      </c>
      <c r="C101" s="5">
        <f>VLOOKUP(表1[[#This Row],[名称]],[1]!表1[#Data],4,FALSE)</f>
        <v>9477</v>
      </c>
      <c r="D101" s="5" t="str">
        <f>"gift_"&amp;表1[[#This Row],[价格]]</f>
        <v>gift_12</v>
      </c>
      <c r="E101" s="5">
        <f>VLOOKUP(表1[[#This Row],[iOS]],description!$G$1:$H$5,2,FALSE)</f>
        <v>3902</v>
      </c>
      <c r="F101" s="3" t="s">
        <v>40</v>
      </c>
      <c r="G101" s="3" t="str">
        <f>"[[""r000"","&amp;表1[[#This Row],[价格]]&amp;"]]"</f>
        <v>[["r000",12]]</v>
      </c>
      <c r="H101" s="12">
        <f>VLOOKUP(表1[[#This Row],[名称]],[1]!表1[#Data],5,FALSE)</f>
        <v>12</v>
      </c>
      <c r="I101" s="5" t="str">
        <f>VLOOKUP(表1[[#This Row],[名称]],[1]!表1[#Data],19,FALSE)</f>
        <v>[["i015",8],["i002",100],["i400",2],["i220",2]]</v>
      </c>
      <c r="J101" s="3">
        <v>1</v>
      </c>
      <c r="K101" s="3">
        <v>1</v>
      </c>
      <c r="L101" s="3" t="str">
        <f t="shared" si="2"/>
        <v>2018/06/04&amp;00:00:00</v>
      </c>
      <c r="M101" s="13" t="str">
        <f t="shared" si="3"/>
        <v>2018/06/04&amp;23:59:59</v>
      </c>
      <c r="N101" s="3">
        <v>1</v>
      </c>
      <c r="O101" s="3">
        <v>1</v>
      </c>
      <c r="P101" s="3">
        <v>0</v>
      </c>
      <c r="Q101" s="5">
        <f>VLOOKUP(表1[[#This Row],[名称]],[1]!表1[#Data],18,FALSE)*10</f>
        <v>3</v>
      </c>
      <c r="R101" s="11" t="s">
        <v>55</v>
      </c>
      <c r="S101" s="15" t="s">
        <v>64</v>
      </c>
    </row>
    <row r="102" spans="1:19" x14ac:dyDescent="0.15">
      <c r="A102" s="3">
        <v>10097</v>
      </c>
      <c r="B102" s="5">
        <f>VLOOKUP(表1[[#This Row],[名称]],[1]!表1[#Data],3,FALSE)</f>
        <v>9055</v>
      </c>
      <c r="C102" s="5">
        <f>VLOOKUP(表1[[#This Row],[名称]],[1]!表1[#Data],4,FALSE)</f>
        <v>9476</v>
      </c>
      <c r="D102" s="5" t="str">
        <f>"gift_"&amp;表1[[#This Row],[价格]]</f>
        <v>gift_6</v>
      </c>
      <c r="E102" s="5">
        <f>VLOOKUP(表1[[#This Row],[iOS]],description!$G$1:$H$5,2,FALSE)</f>
        <v>3901</v>
      </c>
      <c r="F102" s="3" t="s">
        <v>40</v>
      </c>
      <c r="G102" s="3" t="str">
        <f>"[[""r000"","&amp;表1[[#This Row],[价格]]&amp;"]]"</f>
        <v>[["r000",6]]</v>
      </c>
      <c r="H102" s="12">
        <f>VLOOKUP(表1[[#This Row],[名称]],[1]!表1[#Data],5,FALSE)</f>
        <v>6</v>
      </c>
      <c r="I102" s="5" t="str">
        <f>VLOOKUP(表1[[#This Row],[名称]],[1]!表1[#Data],19,FALSE)</f>
        <v>[["i001",100000],["i002",100],["i400",1],["i220",5]]</v>
      </c>
      <c r="J102" s="3">
        <v>1</v>
      </c>
      <c r="K102" s="3">
        <v>1</v>
      </c>
      <c r="L102" s="3" t="str">
        <f t="shared" si="2"/>
        <v>2018/06/05&amp;00:00:00</v>
      </c>
      <c r="M102" s="13" t="str">
        <f t="shared" si="3"/>
        <v>2018/06/05&amp;23:59:59</v>
      </c>
      <c r="N102" s="3">
        <v>1</v>
      </c>
      <c r="O102" s="3">
        <v>1</v>
      </c>
      <c r="P102" s="3">
        <v>0</v>
      </c>
      <c r="Q102" s="5">
        <f>VLOOKUP(表1[[#This Row],[名称]],[1]!表1[#Data],18,FALSE)*10</f>
        <v>3.5999999999999996</v>
      </c>
      <c r="R102" s="3" t="s">
        <v>39</v>
      </c>
      <c r="S102" s="15" t="s">
        <v>63</v>
      </c>
    </row>
    <row r="103" spans="1:19" x14ac:dyDescent="0.15">
      <c r="A103" s="3">
        <v>10098</v>
      </c>
      <c r="B103" s="5">
        <f>VLOOKUP(表1[[#This Row],[名称]],[1]!表1[#Data],3,FALSE)</f>
        <v>9075</v>
      </c>
      <c r="C103" s="5">
        <f>VLOOKUP(表1[[#This Row],[名称]],[1]!表1[#Data],4,FALSE)</f>
        <v>9496</v>
      </c>
      <c r="D103" s="5" t="str">
        <f>"gift_"&amp;表1[[#This Row],[价格]]</f>
        <v>gift_45</v>
      </c>
      <c r="E103" s="5">
        <f>VLOOKUP(表1[[#This Row],[iOS]],description!$G$1:$H$5,2,FALSE)</f>
        <v>3905</v>
      </c>
      <c r="F103" s="3" t="s">
        <v>40</v>
      </c>
      <c r="G103" s="3" t="str">
        <f>"[[""r000"","&amp;表1[[#This Row],[价格]]&amp;"]]"</f>
        <v>[["r000",45]]</v>
      </c>
      <c r="H103" s="12">
        <f>VLOOKUP(表1[[#This Row],[名称]],[1]!表1[#Data],5,FALSE)</f>
        <v>45</v>
      </c>
      <c r="I103" s="5" t="str">
        <f>VLOOKUP(表1[[#This Row],[名称]],[1]!表1[#Data],19,FALSE)</f>
        <v>[["i001",500000],["i002",500],["i015",1],["i004",4]]</v>
      </c>
      <c r="J103" s="3">
        <v>1</v>
      </c>
      <c r="K103" s="3">
        <v>1</v>
      </c>
      <c r="L103" s="3" t="str">
        <f t="shared" si="2"/>
        <v>2018/06/06&amp;00:00:00</v>
      </c>
      <c r="M103" s="13" t="str">
        <f t="shared" si="3"/>
        <v>2018/06/06&amp;23:59:59</v>
      </c>
      <c r="N103" s="3">
        <v>1</v>
      </c>
      <c r="O103" s="3">
        <v>1</v>
      </c>
      <c r="P103" s="3">
        <v>0</v>
      </c>
      <c r="Q103" s="5">
        <f>VLOOKUP(表1[[#This Row],[名称]],[1]!表1[#Data],18,FALSE)*10</f>
        <v>3.8</v>
      </c>
      <c r="R103" s="3" t="s">
        <v>44</v>
      </c>
      <c r="S103" s="15" t="s">
        <v>75</v>
      </c>
    </row>
    <row r="104" spans="1:19" x14ac:dyDescent="0.15">
      <c r="A104" s="3">
        <v>10099</v>
      </c>
      <c r="B104" s="5">
        <f>VLOOKUP(表1[[#This Row],[名称]],[1]!表1[#Data],3,FALSE)</f>
        <v>9055</v>
      </c>
      <c r="C104" s="5">
        <f>VLOOKUP(表1[[#This Row],[名称]],[1]!表1[#Data],4,FALSE)</f>
        <v>9476</v>
      </c>
      <c r="D104" s="5" t="str">
        <f>"gift_"&amp;表1[[#This Row],[价格]]</f>
        <v>gift_6</v>
      </c>
      <c r="E104" s="5">
        <f>VLOOKUP(表1[[#This Row],[iOS]],description!$G$1:$H$5,2,FALSE)</f>
        <v>3901</v>
      </c>
      <c r="F104" s="3" t="s">
        <v>40</v>
      </c>
      <c r="G104" s="3" t="str">
        <f>"[[""r000"","&amp;表1[[#This Row],[价格]]&amp;"]]"</f>
        <v>[["r000",6]]</v>
      </c>
      <c r="H104" s="14">
        <f>VLOOKUP(表1[[#This Row],[名称]],[1]!表1[#Data],5,FALSE)</f>
        <v>6</v>
      </c>
      <c r="I104" s="5" t="str">
        <f>VLOOKUP(表1[[#This Row],[名称]],[1]!表1[#Data],19,FALSE)</f>
        <v>[["i215",10],["i002",50],["i004",1],["i240",20]]</v>
      </c>
      <c r="J104" s="3">
        <v>1</v>
      </c>
      <c r="K104" s="3">
        <v>1</v>
      </c>
      <c r="L104" s="3" t="str">
        <f t="shared" si="2"/>
        <v>2018/06/07&amp;00:00:00</v>
      </c>
      <c r="M104" s="13" t="str">
        <f t="shared" si="3"/>
        <v>2018/06/07&amp;23:59:59</v>
      </c>
      <c r="N104" s="3">
        <v>1</v>
      </c>
      <c r="O104" s="3">
        <v>1</v>
      </c>
      <c r="P104" s="3">
        <v>0</v>
      </c>
      <c r="Q104" s="5">
        <f>VLOOKUP(表1[[#This Row],[名称]],[1]!表1[#Data],18,FALSE)*10</f>
        <v>2.7</v>
      </c>
      <c r="R104" s="11" t="s">
        <v>58</v>
      </c>
      <c r="S104" s="15" t="s">
        <v>65</v>
      </c>
    </row>
    <row r="105" spans="1:19" x14ac:dyDescent="0.15">
      <c r="A105" s="3">
        <v>10100</v>
      </c>
      <c r="B105" s="5">
        <f>VLOOKUP(表1[[#This Row],[名称]],[1]!表1[#Data],3,FALSE)</f>
        <v>9075</v>
      </c>
      <c r="C105" s="5">
        <f>VLOOKUP(表1[[#This Row],[名称]],[1]!表1[#Data],4,FALSE)</f>
        <v>9496</v>
      </c>
      <c r="D105" s="5" t="str">
        <f>"gift_"&amp;表1[[#This Row],[价格]]</f>
        <v>gift_45</v>
      </c>
      <c r="E105" s="5">
        <f>VLOOKUP(表1[[#This Row],[iOS]],description!$G$1:$H$5,2,FALSE)</f>
        <v>3905</v>
      </c>
      <c r="F105" s="3" t="s">
        <v>40</v>
      </c>
      <c r="G105" s="3" t="str">
        <f>"[[""r000"","&amp;表1[[#This Row],[价格]]&amp;"]]"</f>
        <v>[["r000",45]]</v>
      </c>
      <c r="H105" s="14">
        <f>VLOOKUP(表1[[#This Row],[名称]],[1]!表1[#Data],5,FALSE)</f>
        <v>45</v>
      </c>
      <c r="I105" s="5" t="str">
        <f>VLOOKUP(表1[[#This Row],[名称]],[1]!表1[#Data],19,FALSE)</f>
        <v>[["i017",8],["i002",100],["i004",10],["i006",10]]</v>
      </c>
      <c r="J105" s="3">
        <v>1</v>
      </c>
      <c r="K105" s="3">
        <v>1</v>
      </c>
      <c r="L105" s="3" t="str">
        <f t="shared" si="2"/>
        <v>2018/06/08&amp;00:00:00</v>
      </c>
      <c r="M105" s="13" t="str">
        <f t="shared" si="3"/>
        <v>2018/06/08&amp;23:59:59</v>
      </c>
      <c r="N105" s="3">
        <v>1</v>
      </c>
      <c r="O105" s="3">
        <v>1</v>
      </c>
      <c r="P105" s="3">
        <v>0</v>
      </c>
      <c r="Q105" s="5">
        <f>VLOOKUP(表1[[#This Row],[名称]],[1]!表1[#Data],18,FALSE)*10</f>
        <v>1</v>
      </c>
      <c r="R105" s="11" t="s">
        <v>62</v>
      </c>
      <c r="S105" s="15" t="s">
        <v>74</v>
      </c>
    </row>
    <row r="106" spans="1:19" x14ac:dyDescent="0.15">
      <c r="A106" s="3">
        <v>10101</v>
      </c>
      <c r="B106" s="5">
        <f>VLOOKUP(表1[[#This Row],[名称]],[1]!表1[#Data],3,FALSE)</f>
        <v>9067</v>
      </c>
      <c r="C106" s="5">
        <f>VLOOKUP(表1[[#This Row],[名称]],[1]!表1[#Data],4,FALSE)</f>
        <v>9488</v>
      </c>
      <c r="D106" s="5" t="str">
        <f>"gift_"&amp;表1[[#This Row],[价格]]</f>
        <v>gift_30</v>
      </c>
      <c r="E106" s="5">
        <f>VLOOKUP(表1[[#This Row],[iOS]],description!$G$1:$H$5,2,FALSE)</f>
        <v>3904</v>
      </c>
      <c r="F106" s="3" t="s">
        <v>40</v>
      </c>
      <c r="G106" s="3" t="str">
        <f>"[[""r000"","&amp;表1[[#This Row],[价格]]&amp;"]]"</f>
        <v>[["r000",30]]</v>
      </c>
      <c r="H106" s="14">
        <f>VLOOKUP(表1[[#This Row],[名称]],[1]!表1[#Data],5,FALSE)</f>
        <v>30</v>
      </c>
      <c r="I106" s="5" t="str">
        <f>VLOOKUP(表1[[#This Row],[名称]],[1]!表1[#Data],19,FALSE)</f>
        <v>[["i001",400000],["i002",400],["i015",1],["i006",5]]</v>
      </c>
      <c r="J106" s="3">
        <v>1</v>
      </c>
      <c r="K106" s="3">
        <v>1</v>
      </c>
      <c r="L106" s="3" t="str">
        <f t="shared" si="2"/>
        <v>2018/06/09&amp;00:00:00</v>
      </c>
      <c r="M106" s="13" t="str">
        <f t="shared" si="3"/>
        <v>2018/06/09&amp;23:59:59</v>
      </c>
      <c r="N106" s="3">
        <v>1</v>
      </c>
      <c r="O106" s="3">
        <v>1</v>
      </c>
      <c r="P106" s="3">
        <v>0</v>
      </c>
      <c r="Q106" s="5">
        <f>VLOOKUP(表1[[#This Row],[名称]],[1]!表1[#Data],18,FALSE)*10</f>
        <v>3.8</v>
      </c>
      <c r="R106" s="3" t="s">
        <v>43</v>
      </c>
      <c r="S106" s="15" t="s">
        <v>73</v>
      </c>
    </row>
    <row r="107" spans="1:19" x14ac:dyDescent="0.15">
      <c r="A107" s="3">
        <v>10102</v>
      </c>
      <c r="B107" s="5">
        <f>VLOOKUP(表1[[#This Row],[名称]],[1]!表1[#Data],3,FALSE)</f>
        <v>9055</v>
      </c>
      <c r="C107" s="5">
        <f>VLOOKUP(表1[[#This Row],[名称]],[1]!表1[#Data],4,FALSE)</f>
        <v>9476</v>
      </c>
      <c r="D107" s="5" t="str">
        <f>"gift_"&amp;表1[[#This Row],[价格]]</f>
        <v>gift_6</v>
      </c>
      <c r="E107" s="5">
        <f>VLOOKUP(表1[[#This Row],[iOS]],description!$G$1:$H$5,2,FALSE)</f>
        <v>3901</v>
      </c>
      <c r="F107" s="3" t="s">
        <v>40</v>
      </c>
      <c r="G107" s="3" t="str">
        <f>"[[""r000"","&amp;表1[[#This Row],[价格]]&amp;"]]"</f>
        <v>[["r000",6]]</v>
      </c>
      <c r="H107" s="14">
        <f>VLOOKUP(表1[[#This Row],[名称]],[1]!表1[#Data],5,FALSE)</f>
        <v>6</v>
      </c>
      <c r="I107" s="5" t="str">
        <f>VLOOKUP(表1[[#This Row],[名称]],[1]!表1[#Data],19,FALSE)</f>
        <v>[["i400",20],["i002",50],["i015",1],["i220",2]]</v>
      </c>
      <c r="J107" s="3">
        <v>1</v>
      </c>
      <c r="K107" s="3">
        <v>1</v>
      </c>
      <c r="L107" s="3" t="str">
        <f t="shared" si="2"/>
        <v>2018/06/10&amp;00:00:00</v>
      </c>
      <c r="M107" s="13" t="str">
        <f t="shared" si="3"/>
        <v>2018/06/10&amp;23:59:59</v>
      </c>
      <c r="N107" s="3">
        <v>1</v>
      </c>
      <c r="O107" s="3">
        <v>1</v>
      </c>
      <c r="P107" s="3">
        <v>0</v>
      </c>
      <c r="Q107" s="5">
        <f>VLOOKUP(表1[[#This Row],[名称]],[1]!表1[#Data],18,FALSE)*10</f>
        <v>1.9</v>
      </c>
      <c r="R107" s="11" t="s">
        <v>57</v>
      </c>
      <c r="S107" s="15" t="s">
        <v>72</v>
      </c>
    </row>
    <row r="108" spans="1:19" x14ac:dyDescent="0.15">
      <c r="A108" s="3">
        <v>10103</v>
      </c>
      <c r="B108" s="5">
        <f>VLOOKUP(表1[[#This Row],[名称]],[1]!表1[#Data],3,FALSE)</f>
        <v>9072</v>
      </c>
      <c r="C108" s="5">
        <f>VLOOKUP(表1[[#This Row],[名称]],[1]!表1[#Data],4,FALSE)</f>
        <v>9493</v>
      </c>
      <c r="D108" s="5" t="str">
        <f>"gift_"&amp;表1[[#This Row],[价格]]</f>
        <v>gift_18</v>
      </c>
      <c r="E108" s="5">
        <f>VLOOKUP(表1[[#This Row],[iOS]],description!$G$1:$H$5,2,FALSE)</f>
        <v>3903</v>
      </c>
      <c r="F108" s="3" t="s">
        <v>40</v>
      </c>
      <c r="G108" s="3" t="str">
        <f>"[[""r000"","&amp;表1[[#This Row],[价格]]&amp;"]]"</f>
        <v>[["r000",18]]</v>
      </c>
      <c r="H108" s="14">
        <f>VLOOKUP(表1[[#This Row],[名称]],[1]!表1[#Data],5,FALSE)</f>
        <v>18</v>
      </c>
      <c r="I108" s="5" t="str">
        <f>VLOOKUP(表1[[#This Row],[名称]],[1]!表1[#Data],19,FALSE)</f>
        <v>[["i001",300000],["i002",300],["i015",1],["i400",2]]</v>
      </c>
      <c r="J108" s="3">
        <v>1</v>
      </c>
      <c r="K108" s="3">
        <v>1</v>
      </c>
      <c r="L108" s="3" t="str">
        <f t="shared" si="2"/>
        <v>2018/06/11&amp;00:00:00</v>
      </c>
      <c r="M108" s="13" t="str">
        <f t="shared" si="3"/>
        <v>2018/06/11&amp;23:59:59</v>
      </c>
      <c r="N108" s="3">
        <v>1</v>
      </c>
      <c r="O108" s="3">
        <v>1</v>
      </c>
      <c r="P108" s="3">
        <v>0</v>
      </c>
      <c r="Q108" s="5">
        <f>VLOOKUP(表1[[#This Row],[名称]],[1]!表1[#Data],18,FALSE)*10</f>
        <v>4</v>
      </c>
      <c r="R108" s="3" t="s">
        <v>42</v>
      </c>
      <c r="S108" s="15" t="s">
        <v>71</v>
      </c>
    </row>
    <row r="109" spans="1:19" x14ac:dyDescent="0.15">
      <c r="A109" s="3">
        <v>10104</v>
      </c>
      <c r="B109" s="5">
        <f>VLOOKUP(表1[[#This Row],[名称]],[1]!表1[#Data],3,FALSE)</f>
        <v>9056</v>
      </c>
      <c r="C109" s="5">
        <f>VLOOKUP(表1[[#This Row],[名称]],[1]!表1[#Data],4,FALSE)</f>
        <v>9477</v>
      </c>
      <c r="D109" s="5" t="str">
        <f>"gift_"&amp;表1[[#This Row],[价格]]</f>
        <v>gift_12</v>
      </c>
      <c r="E109" s="5">
        <f>VLOOKUP(表1[[#This Row],[iOS]],description!$G$1:$H$5,2,FALSE)</f>
        <v>3902</v>
      </c>
      <c r="F109" s="3" t="s">
        <v>40</v>
      </c>
      <c r="G109" s="3" t="str">
        <f>"[[""r000"","&amp;表1[[#This Row],[价格]]&amp;"]]"</f>
        <v>[["r000",12]]</v>
      </c>
      <c r="H109" s="14">
        <f>VLOOKUP(表1[[#This Row],[名称]],[1]!表1[#Data],5,FALSE)</f>
        <v>12</v>
      </c>
      <c r="I109" s="5" t="str">
        <f>VLOOKUP(表1[[#This Row],[名称]],[1]!表1[#Data],19,FALSE)</f>
        <v>[["i240",180],["i002",150],["i001",50000],["i220",5]]</v>
      </c>
      <c r="J109" s="3">
        <v>1</v>
      </c>
      <c r="K109" s="3">
        <v>1</v>
      </c>
      <c r="L109" s="3" t="str">
        <f t="shared" si="2"/>
        <v>2018/06/12&amp;00:00:00</v>
      </c>
      <c r="M109" s="13" t="str">
        <f t="shared" si="3"/>
        <v>2018/06/12&amp;23:59:59</v>
      </c>
      <c r="N109" s="3">
        <v>1</v>
      </c>
      <c r="O109" s="3">
        <v>1</v>
      </c>
      <c r="P109" s="3">
        <v>0</v>
      </c>
      <c r="Q109" s="5">
        <f>VLOOKUP(表1[[#This Row],[名称]],[1]!表1[#Data],18,FALSE)*10</f>
        <v>2.5</v>
      </c>
      <c r="R109" s="11" t="s">
        <v>56</v>
      </c>
      <c r="S109" s="15" t="s">
        <v>70</v>
      </c>
    </row>
    <row r="110" spans="1:19" x14ac:dyDescent="0.15">
      <c r="A110" s="3">
        <v>10105</v>
      </c>
      <c r="B110" s="5">
        <f>VLOOKUP(表1[[#This Row],[名称]],[1]!表1[#Data],3,FALSE)</f>
        <v>9055</v>
      </c>
      <c r="C110" s="5">
        <f>VLOOKUP(表1[[#This Row],[名称]],[1]!表1[#Data],4,FALSE)</f>
        <v>9476</v>
      </c>
      <c r="D110" s="5" t="str">
        <f>"gift_"&amp;表1[[#This Row],[价格]]</f>
        <v>gift_6</v>
      </c>
      <c r="E110" s="5">
        <f>VLOOKUP(表1[[#This Row],[iOS]],description!$G$1:$H$5,2,FALSE)</f>
        <v>3901</v>
      </c>
      <c r="F110" s="3" t="s">
        <v>40</v>
      </c>
      <c r="G110" s="3" t="str">
        <f>"[[""r000"","&amp;表1[[#This Row],[价格]]&amp;"]]"</f>
        <v>[["r000",6]]</v>
      </c>
      <c r="H110" s="13">
        <f>VLOOKUP(表1[[#This Row],[名称]],[1]!表1[#Data],5,FALSE)</f>
        <v>6</v>
      </c>
      <c r="I110" s="5" t="str">
        <f>VLOOKUP(表1[[#This Row],[名称]],[1]!表1[#Data],19,FALSE)</f>
        <v>[["i006",25],["i001",50000],["i004",1],["i015",1]]</v>
      </c>
      <c r="J110" s="3">
        <v>1</v>
      </c>
      <c r="K110" s="3">
        <v>1</v>
      </c>
      <c r="L110" s="3" t="str">
        <f t="shared" si="2"/>
        <v>2018/06/13&amp;00:00:00</v>
      </c>
      <c r="M110" s="13" t="str">
        <f t="shared" si="3"/>
        <v>2018/06/13&amp;23:59:59</v>
      </c>
      <c r="N110" s="3">
        <v>1</v>
      </c>
      <c r="O110" s="3">
        <v>1</v>
      </c>
      <c r="P110" s="3">
        <v>0</v>
      </c>
      <c r="Q110" s="5">
        <f>VLOOKUP(表1[[#This Row],[名称]],[1]!表1[#Data],18,FALSE)*10</f>
        <v>1.9</v>
      </c>
      <c r="R110" s="11" t="s">
        <v>59</v>
      </c>
      <c r="S110" s="15" t="s">
        <v>69</v>
      </c>
    </row>
    <row r="111" spans="1:19" x14ac:dyDescent="0.15">
      <c r="A111" s="3">
        <v>10106</v>
      </c>
      <c r="B111" s="5">
        <f>VLOOKUP(表1[[#This Row],[名称]],[1]!表1[#Data],3,FALSE)</f>
        <v>9055</v>
      </c>
      <c r="C111" s="5">
        <f>VLOOKUP(表1[[#This Row],[名称]],[1]!表1[#Data],4,FALSE)</f>
        <v>9476</v>
      </c>
      <c r="D111" s="5" t="str">
        <f>"gift_"&amp;表1[[#This Row],[价格]]</f>
        <v>gift_6</v>
      </c>
      <c r="E111" s="5">
        <f>VLOOKUP(表1[[#This Row],[iOS]],description!$G$1:$H$5,2,FALSE)</f>
        <v>3901</v>
      </c>
      <c r="F111" s="3" t="s">
        <v>40</v>
      </c>
      <c r="G111" s="3" t="str">
        <f>"[[""r000"","&amp;表1[[#This Row],[价格]]&amp;"]]"</f>
        <v>[["r000",6]]</v>
      </c>
      <c r="H111" s="13">
        <f>VLOOKUP(表1[[#This Row],[名称]],[1]!表1[#Data],5,FALSE)</f>
        <v>6</v>
      </c>
      <c r="I111" s="5" t="str">
        <f>VLOOKUP(表1[[#This Row],[名称]],[1]!表1[#Data],19,FALSE)</f>
        <v>[["i011",50],["i001",100000],["i004",1],["i015",1]]</v>
      </c>
      <c r="J111" s="3">
        <v>1</v>
      </c>
      <c r="K111" s="3">
        <v>1</v>
      </c>
      <c r="L111" s="3" t="str">
        <f t="shared" si="2"/>
        <v>2018/06/14&amp;00:00:00</v>
      </c>
      <c r="M111" s="13" t="str">
        <f t="shared" si="3"/>
        <v>2018/06/14&amp;23:59:59</v>
      </c>
      <c r="N111" s="3">
        <v>1</v>
      </c>
      <c r="O111" s="3">
        <v>1</v>
      </c>
      <c r="P111" s="3">
        <v>0</v>
      </c>
      <c r="Q111" s="5">
        <f>VLOOKUP(表1[[#This Row],[名称]],[1]!表1[#Data],18,FALSE)*10</f>
        <v>2.4</v>
      </c>
      <c r="R111" s="11" t="s">
        <v>60</v>
      </c>
      <c r="S111" s="15" t="s">
        <v>68</v>
      </c>
    </row>
    <row r="112" spans="1:19" x14ac:dyDescent="0.15">
      <c r="A112" s="3">
        <v>10107</v>
      </c>
      <c r="B112" s="5">
        <f>VLOOKUP(表1[[#This Row],[名称]],[1]!表1[#Data],3,FALSE)</f>
        <v>9072</v>
      </c>
      <c r="C112" s="5">
        <f>VLOOKUP(表1[[#This Row],[名称]],[1]!表1[#Data],4,FALSE)</f>
        <v>9493</v>
      </c>
      <c r="D112" s="5" t="str">
        <f>"gift_"&amp;表1[[#This Row],[价格]]</f>
        <v>gift_18</v>
      </c>
      <c r="E112" s="5">
        <f>VLOOKUP(表1[[#This Row],[iOS]],description!$G$1:$H$5,2,FALSE)</f>
        <v>3903</v>
      </c>
      <c r="F112" s="3" t="s">
        <v>40</v>
      </c>
      <c r="G112" s="3" t="str">
        <f>"[[""r000"","&amp;表1[[#This Row],[价格]]&amp;"]]"</f>
        <v>[["r000",18]]</v>
      </c>
      <c r="H112" s="13">
        <f>VLOOKUP(表1[[#This Row],[名称]],[1]!表1[#Data],5,FALSE)</f>
        <v>18</v>
      </c>
      <c r="I112" s="5" t="str">
        <f>VLOOKUP(表1[[#This Row],[名称]],[1]!表1[#Data],19,FALSE)</f>
        <v>[["i016",10],["i001",50000],["i400",5],["i004",5]]</v>
      </c>
      <c r="J112" s="3">
        <v>1</v>
      </c>
      <c r="K112" s="3">
        <v>1</v>
      </c>
      <c r="L112" s="3" t="str">
        <f t="shared" si="2"/>
        <v>2018/06/15&amp;00:00:00</v>
      </c>
      <c r="M112" s="13" t="str">
        <f t="shared" si="3"/>
        <v>2018/06/15&amp;23:59:59</v>
      </c>
      <c r="N112" s="3">
        <v>1</v>
      </c>
      <c r="O112" s="3">
        <v>1</v>
      </c>
      <c r="P112" s="3">
        <v>0</v>
      </c>
      <c r="Q112" s="5">
        <f>VLOOKUP(表1[[#This Row],[名称]],[1]!表1[#Data],18,FALSE)*10</f>
        <v>1.5</v>
      </c>
      <c r="R112" s="11" t="s">
        <v>61</v>
      </c>
      <c r="S112" s="15" t="s">
        <v>67</v>
      </c>
    </row>
    <row r="113" spans="1:19" x14ac:dyDescent="0.15">
      <c r="A113" s="3">
        <v>10108</v>
      </c>
      <c r="B113" s="5">
        <f>VLOOKUP(表1[[#This Row],[名称]],[1]!表1[#Data],3,FALSE)</f>
        <v>9056</v>
      </c>
      <c r="C113" s="5">
        <f>VLOOKUP(表1[[#This Row],[名称]],[1]!表1[#Data],4,FALSE)</f>
        <v>9477</v>
      </c>
      <c r="D113" s="5" t="str">
        <f>"gift_"&amp;表1[[#This Row],[价格]]</f>
        <v>gift_12</v>
      </c>
      <c r="E113" s="5">
        <f>VLOOKUP(表1[[#This Row],[iOS]],description!$G$1:$H$5,2,FALSE)</f>
        <v>3902</v>
      </c>
      <c r="F113" s="3" t="s">
        <v>40</v>
      </c>
      <c r="G113" s="3" t="str">
        <f>"[[""r000"","&amp;表1[[#This Row],[价格]]&amp;"]]"</f>
        <v>[["r000",12]]</v>
      </c>
      <c r="H113" s="13">
        <f>VLOOKUP(表1[[#This Row],[名称]],[1]!表1[#Data],5,FALSE)</f>
        <v>12</v>
      </c>
      <c r="I113" s="5" t="str">
        <f>VLOOKUP(表1[[#This Row],[名称]],[1]!表1[#Data],19,FALSE)</f>
        <v>[["i001",200000],["i002",200],["i400",2],["i220",10]]</v>
      </c>
      <c r="J113" s="3">
        <v>1</v>
      </c>
      <c r="K113" s="3">
        <v>1</v>
      </c>
      <c r="L113" s="3" t="str">
        <f t="shared" si="2"/>
        <v>2018/06/16&amp;00:00:00</v>
      </c>
      <c r="M113" s="13" t="str">
        <f t="shared" si="3"/>
        <v>2018/06/16&amp;23:59:59</v>
      </c>
      <c r="N113" s="3">
        <v>1</v>
      </c>
      <c r="O113" s="3">
        <v>1</v>
      </c>
      <c r="P113" s="3">
        <v>0</v>
      </c>
      <c r="Q113" s="5">
        <f>VLOOKUP(表1[[#This Row],[名称]],[1]!表1[#Data],18,FALSE)*10</f>
        <v>3.8</v>
      </c>
      <c r="R113" s="3" t="s">
        <v>41</v>
      </c>
      <c r="S113" s="15" t="s">
        <v>66</v>
      </c>
    </row>
    <row r="114" spans="1:19" x14ac:dyDescent="0.15">
      <c r="A114" s="3">
        <v>10109</v>
      </c>
      <c r="B114" s="5">
        <f>VLOOKUP(表1[[#This Row],[名称]],[1]!表1[#Data],3,FALSE)</f>
        <v>9055</v>
      </c>
      <c r="C114" s="5">
        <f>VLOOKUP(表1[[#This Row],[名称]],[1]!表1[#Data],4,FALSE)</f>
        <v>9476</v>
      </c>
      <c r="D114" s="5" t="str">
        <f>"gift_"&amp;表1[[#This Row],[价格]]</f>
        <v>gift_6</v>
      </c>
      <c r="E114" s="5">
        <f>VLOOKUP(表1[[#This Row],[iOS]],description!$G$1:$H$5,2,FALSE)</f>
        <v>3901</v>
      </c>
      <c r="F114" s="3" t="s">
        <v>40</v>
      </c>
      <c r="G114" s="3" t="str">
        <f>"[[""r000"","&amp;表1[[#This Row],[价格]]&amp;"]]"</f>
        <v>[["r000",6]]</v>
      </c>
      <c r="H114" s="13">
        <f>VLOOKUP(表1[[#This Row],[名称]],[1]!表1[#Data],5,FALSE)</f>
        <v>6</v>
      </c>
      <c r="I114" s="5" t="str">
        <f>VLOOKUP(表1[[#This Row],[名称]],[1]!表1[#Data],19,FALSE)</f>
        <v>[["i215",10],["i002",50],["i004",1],["i240",20]]</v>
      </c>
      <c r="J114" s="3">
        <v>1</v>
      </c>
      <c r="K114" s="3">
        <v>1</v>
      </c>
      <c r="L114" s="3" t="str">
        <f t="shared" si="2"/>
        <v>2018/06/17&amp;00:00:00</v>
      </c>
      <c r="M114" s="13" t="str">
        <f t="shared" si="3"/>
        <v>2018/06/17&amp;23:59:59</v>
      </c>
      <c r="N114" s="3">
        <v>1</v>
      </c>
      <c r="O114" s="3">
        <v>1</v>
      </c>
      <c r="P114" s="3">
        <v>0</v>
      </c>
      <c r="Q114" s="5">
        <f>VLOOKUP(表1[[#This Row],[名称]],[1]!表1[#Data],18,FALSE)*10</f>
        <v>2.7</v>
      </c>
      <c r="R114" s="11" t="s">
        <v>58</v>
      </c>
      <c r="S114" s="15" t="s">
        <v>65</v>
      </c>
    </row>
    <row r="115" spans="1:19" x14ac:dyDescent="0.15">
      <c r="A115" s="3">
        <v>10110</v>
      </c>
      <c r="B115" s="5">
        <f>VLOOKUP(表1[[#This Row],[名称]],[1]!表1[#Data],3,FALSE)</f>
        <v>9056</v>
      </c>
      <c r="C115" s="5">
        <f>VLOOKUP(表1[[#This Row],[名称]],[1]!表1[#Data],4,FALSE)</f>
        <v>9477</v>
      </c>
      <c r="D115" s="5" t="str">
        <f>"gift_"&amp;表1[[#This Row],[价格]]</f>
        <v>gift_12</v>
      </c>
      <c r="E115" s="5">
        <f>VLOOKUP(表1[[#This Row],[iOS]],description!$G$1:$H$5,2,FALSE)</f>
        <v>3902</v>
      </c>
      <c r="F115" s="3" t="s">
        <v>40</v>
      </c>
      <c r="G115" s="3" t="str">
        <f>"[[""r000"","&amp;表1[[#This Row],[价格]]&amp;"]]"</f>
        <v>[["r000",12]]</v>
      </c>
      <c r="H115" s="13">
        <f>VLOOKUP(表1[[#This Row],[名称]],[1]!表1[#Data],5,FALSE)</f>
        <v>12</v>
      </c>
      <c r="I115" s="5" t="str">
        <f>VLOOKUP(表1[[#This Row],[名称]],[1]!表1[#Data],19,FALSE)</f>
        <v>[["i015",8],["i002",100],["i400",2],["i220",2]]</v>
      </c>
      <c r="J115" s="3">
        <v>1</v>
      </c>
      <c r="K115" s="3">
        <v>1</v>
      </c>
      <c r="L115" s="3" t="str">
        <f t="shared" si="2"/>
        <v>2018/06/18&amp;00:00:00</v>
      </c>
      <c r="M115" s="13" t="str">
        <f t="shared" si="3"/>
        <v>2018/06/18&amp;23:59:59</v>
      </c>
      <c r="N115" s="3">
        <v>1</v>
      </c>
      <c r="O115" s="3">
        <v>1</v>
      </c>
      <c r="P115" s="3">
        <v>0</v>
      </c>
      <c r="Q115" s="5">
        <f>VLOOKUP(表1[[#This Row],[名称]],[1]!表1[#Data],18,FALSE)*10</f>
        <v>3</v>
      </c>
      <c r="R115" s="11" t="s">
        <v>55</v>
      </c>
      <c r="S115" s="15" t="s">
        <v>64</v>
      </c>
    </row>
    <row r="116" spans="1:19" x14ac:dyDescent="0.15">
      <c r="A116" s="3">
        <v>10111</v>
      </c>
      <c r="B116" s="5">
        <f>VLOOKUP(表1[[#This Row],[名称]],[1]!表1[#Data],3,FALSE)</f>
        <v>9055</v>
      </c>
      <c r="C116" s="5">
        <f>VLOOKUP(表1[[#This Row],[名称]],[1]!表1[#Data],4,FALSE)</f>
        <v>9476</v>
      </c>
      <c r="D116" s="5" t="str">
        <f>"gift_"&amp;表1[[#This Row],[价格]]</f>
        <v>gift_6</v>
      </c>
      <c r="E116" s="5">
        <f>VLOOKUP(表1[[#This Row],[iOS]],description!$G$1:$H$5,2,FALSE)</f>
        <v>3901</v>
      </c>
      <c r="F116" s="3" t="s">
        <v>40</v>
      </c>
      <c r="G116" s="3" t="str">
        <f>"[[""r000"","&amp;表1[[#This Row],[价格]]&amp;"]]"</f>
        <v>[["r000",6]]</v>
      </c>
      <c r="H116" s="13">
        <f>VLOOKUP(表1[[#This Row],[名称]],[1]!表1[#Data],5,FALSE)</f>
        <v>6</v>
      </c>
      <c r="I116" s="5" t="str">
        <f>VLOOKUP(表1[[#This Row],[名称]],[1]!表1[#Data],19,FALSE)</f>
        <v>[["i001",100000],["i002",100],["i400",1],["i220",5]]</v>
      </c>
      <c r="J116" s="3">
        <v>1</v>
      </c>
      <c r="K116" s="3">
        <v>1</v>
      </c>
      <c r="L116" s="3" t="str">
        <f t="shared" si="2"/>
        <v>2018/06/19&amp;00:00:00</v>
      </c>
      <c r="M116" s="13" t="str">
        <f t="shared" si="3"/>
        <v>2018/06/19&amp;23:59:59</v>
      </c>
      <c r="N116" s="3">
        <v>1</v>
      </c>
      <c r="O116" s="3">
        <v>1</v>
      </c>
      <c r="P116" s="3">
        <v>0</v>
      </c>
      <c r="Q116" s="5">
        <f>VLOOKUP(表1[[#This Row],[名称]],[1]!表1[#Data],18,FALSE)*10</f>
        <v>3.5999999999999996</v>
      </c>
      <c r="R116" s="3" t="s">
        <v>39</v>
      </c>
      <c r="S116" s="15" t="s">
        <v>63</v>
      </c>
    </row>
    <row r="117" spans="1:19" x14ac:dyDescent="0.15">
      <c r="A117" s="3">
        <v>10112</v>
      </c>
      <c r="B117" s="5">
        <f>VLOOKUP(表1[[#This Row],[名称]],[1]!表1[#Data],3,FALSE)</f>
        <v>9055</v>
      </c>
      <c r="C117" s="5">
        <f>VLOOKUP(表1[[#This Row],[名称]],[1]!表1[#Data],4,FALSE)</f>
        <v>9476</v>
      </c>
      <c r="D117" s="5" t="str">
        <f>"gift_"&amp;表1[[#This Row],[价格]]</f>
        <v>gift_6</v>
      </c>
      <c r="E117" s="5">
        <f>VLOOKUP(表1[[#This Row],[iOS]],description!$G$1:$H$5,2,FALSE)</f>
        <v>3901</v>
      </c>
      <c r="F117" s="3" t="s">
        <v>40</v>
      </c>
      <c r="G117" s="3" t="str">
        <f>"[[""r000"","&amp;表1[[#This Row],[价格]]&amp;"]]"</f>
        <v>[["r000",6]]</v>
      </c>
      <c r="H117" s="13">
        <f>VLOOKUP(表1[[#This Row],[名称]],[1]!表1[#Data],5,FALSE)</f>
        <v>6</v>
      </c>
      <c r="I117" s="5" t="str">
        <f>VLOOKUP(表1[[#This Row],[名称]],[1]!表1[#Data],19,FALSE)</f>
        <v>[["i001",100000],["i002",100],["i400",1],["i220",5]]</v>
      </c>
      <c r="J117" s="3">
        <v>1</v>
      </c>
      <c r="K117" s="3">
        <v>1</v>
      </c>
      <c r="L117" s="3" t="str">
        <f t="shared" si="2"/>
        <v>2018/06/20&amp;00:00:00</v>
      </c>
      <c r="M117" s="13" t="str">
        <f t="shared" si="3"/>
        <v>2018/06/20&amp;23:59:59</v>
      </c>
      <c r="N117" s="3">
        <v>1</v>
      </c>
      <c r="O117" s="3">
        <v>1</v>
      </c>
      <c r="P117" s="3">
        <v>0</v>
      </c>
      <c r="Q117" s="5">
        <f>VLOOKUP(表1[[#This Row],[名称]],[1]!表1[#Data],18,FALSE)*10</f>
        <v>3.5999999999999996</v>
      </c>
      <c r="R117" s="3" t="s">
        <v>39</v>
      </c>
      <c r="S117" s="15" t="s">
        <v>63</v>
      </c>
    </row>
    <row r="118" spans="1:19" x14ac:dyDescent="0.15">
      <c r="A118" s="3">
        <v>10113</v>
      </c>
      <c r="B118" s="5">
        <f>VLOOKUP(表1[[#This Row],[名称]],[1]!表1[#Data],3,FALSE)</f>
        <v>9056</v>
      </c>
      <c r="C118" s="5">
        <f>VLOOKUP(表1[[#This Row],[名称]],[1]!表1[#Data],4,FALSE)</f>
        <v>9477</v>
      </c>
      <c r="D118" s="5" t="str">
        <f>"gift_"&amp;表1[[#This Row],[价格]]</f>
        <v>gift_12</v>
      </c>
      <c r="E118" s="5">
        <f>VLOOKUP(表1[[#This Row],[iOS]],description!$G$1:$H$5,2,FALSE)</f>
        <v>3902</v>
      </c>
      <c r="F118" s="3" t="s">
        <v>40</v>
      </c>
      <c r="G118" s="3" t="str">
        <f>"[[""r000"","&amp;表1[[#This Row],[价格]]&amp;"]]"</f>
        <v>[["r000",12]]</v>
      </c>
      <c r="H118" s="13">
        <f>VLOOKUP(表1[[#This Row],[名称]],[1]!表1[#Data],5,FALSE)</f>
        <v>12</v>
      </c>
      <c r="I118" s="5" t="str">
        <f>VLOOKUP(表1[[#This Row],[名称]],[1]!表1[#Data],19,FALSE)</f>
        <v>[["i015",8],["i002",100],["i400",2],["i220",2]]</v>
      </c>
      <c r="J118" s="3">
        <v>1</v>
      </c>
      <c r="K118" s="3">
        <v>1</v>
      </c>
      <c r="L118" s="3" t="str">
        <f t="shared" si="2"/>
        <v>2018/06/21&amp;00:00:00</v>
      </c>
      <c r="M118" s="13" t="str">
        <f t="shared" si="3"/>
        <v>2018/06/21&amp;23:59:59</v>
      </c>
      <c r="N118" s="3">
        <v>1</v>
      </c>
      <c r="O118" s="3">
        <v>1</v>
      </c>
      <c r="P118" s="3">
        <v>0</v>
      </c>
      <c r="Q118" s="5">
        <f>VLOOKUP(表1[[#This Row],[名称]],[1]!表1[#Data],18,FALSE)*10</f>
        <v>3</v>
      </c>
      <c r="R118" s="11" t="s">
        <v>55</v>
      </c>
      <c r="S118" s="15" t="s">
        <v>64</v>
      </c>
    </row>
    <row r="119" spans="1:19" x14ac:dyDescent="0.15">
      <c r="A119" s="3">
        <v>10114</v>
      </c>
      <c r="B119" s="5">
        <f>VLOOKUP(表1[[#This Row],[名称]],[1]!表1[#Data],3,FALSE)</f>
        <v>9055</v>
      </c>
      <c r="C119" s="5">
        <f>VLOOKUP(表1[[#This Row],[名称]],[1]!表1[#Data],4,FALSE)</f>
        <v>9476</v>
      </c>
      <c r="D119" s="5" t="str">
        <f>"gift_"&amp;表1[[#This Row],[价格]]</f>
        <v>gift_6</v>
      </c>
      <c r="E119" s="5">
        <f>VLOOKUP(表1[[#This Row],[iOS]],description!$G$1:$H$5,2,FALSE)</f>
        <v>3901</v>
      </c>
      <c r="F119" s="3" t="s">
        <v>40</v>
      </c>
      <c r="G119" s="3" t="str">
        <f>"[[""r000"","&amp;表1[[#This Row],[价格]]&amp;"]]"</f>
        <v>[["r000",6]]</v>
      </c>
      <c r="H119" s="13">
        <f>VLOOKUP(表1[[#This Row],[名称]],[1]!表1[#Data],5,FALSE)</f>
        <v>6</v>
      </c>
      <c r="I119" s="5" t="str">
        <f>VLOOKUP(表1[[#This Row],[名称]],[1]!表1[#Data],19,FALSE)</f>
        <v>[["i215",10],["i002",50],["i004",1],["i240",20]]</v>
      </c>
      <c r="J119" s="3">
        <v>1</v>
      </c>
      <c r="K119" s="3">
        <v>1</v>
      </c>
      <c r="L119" s="3" t="str">
        <f t="shared" si="2"/>
        <v>2018/06/22&amp;00:00:00</v>
      </c>
      <c r="M119" s="13" t="str">
        <f t="shared" si="3"/>
        <v>2018/06/22&amp;23:59:59</v>
      </c>
      <c r="N119" s="3">
        <v>1</v>
      </c>
      <c r="O119" s="3">
        <v>1</v>
      </c>
      <c r="P119" s="3">
        <v>0</v>
      </c>
      <c r="Q119" s="5">
        <f>VLOOKUP(表1[[#This Row],[名称]],[1]!表1[#Data],18,FALSE)*10</f>
        <v>2.7</v>
      </c>
      <c r="R119" s="11" t="s">
        <v>58</v>
      </c>
      <c r="S119" s="15" t="s">
        <v>65</v>
      </c>
    </row>
    <row r="120" spans="1:19" x14ac:dyDescent="0.15">
      <c r="A120" s="3">
        <v>10115</v>
      </c>
      <c r="B120" s="5">
        <f>VLOOKUP(表1[[#This Row],[名称]],[1]!表1[#Data],3,FALSE)</f>
        <v>9056</v>
      </c>
      <c r="C120" s="5">
        <f>VLOOKUP(表1[[#This Row],[名称]],[1]!表1[#Data],4,FALSE)</f>
        <v>9477</v>
      </c>
      <c r="D120" s="5" t="str">
        <f>"gift_"&amp;表1[[#This Row],[价格]]</f>
        <v>gift_12</v>
      </c>
      <c r="E120" s="5">
        <f>VLOOKUP(表1[[#This Row],[iOS]],description!$G$1:$H$5,2,FALSE)</f>
        <v>3902</v>
      </c>
      <c r="F120" s="3" t="s">
        <v>40</v>
      </c>
      <c r="G120" s="3" t="str">
        <f>"[[""r000"","&amp;表1[[#This Row],[价格]]&amp;"]]"</f>
        <v>[["r000",12]]</v>
      </c>
      <c r="H120" s="13">
        <f>VLOOKUP(表1[[#This Row],[名称]],[1]!表1[#Data],5,FALSE)</f>
        <v>12</v>
      </c>
      <c r="I120" s="5" t="str">
        <f>VLOOKUP(表1[[#This Row],[名称]],[1]!表1[#Data],19,FALSE)</f>
        <v>[["i001",200000],["i002",200],["i400",2],["i220",10]]</v>
      </c>
      <c r="J120" s="3">
        <v>1</v>
      </c>
      <c r="K120" s="3">
        <v>1</v>
      </c>
      <c r="L120" s="3" t="str">
        <f t="shared" si="2"/>
        <v>2018/06/23&amp;00:00:00</v>
      </c>
      <c r="M120" s="13" t="str">
        <f t="shared" si="3"/>
        <v>2018/06/23&amp;23:59:59</v>
      </c>
      <c r="N120" s="3">
        <v>1</v>
      </c>
      <c r="O120" s="3">
        <v>1</v>
      </c>
      <c r="P120" s="3">
        <v>0</v>
      </c>
      <c r="Q120" s="5">
        <f>VLOOKUP(表1[[#This Row],[名称]],[1]!表1[#Data],18,FALSE)*10</f>
        <v>3.8</v>
      </c>
      <c r="R120" s="3" t="s">
        <v>41</v>
      </c>
      <c r="S120" s="15" t="s">
        <v>66</v>
      </c>
    </row>
    <row r="121" spans="1:19" x14ac:dyDescent="0.15">
      <c r="A121" s="3">
        <v>10116</v>
      </c>
      <c r="B121" s="5">
        <f>VLOOKUP(表1[[#This Row],[名称]],[1]!表1[#Data],3,FALSE)</f>
        <v>9072</v>
      </c>
      <c r="C121" s="5">
        <f>VLOOKUP(表1[[#This Row],[名称]],[1]!表1[#Data],4,FALSE)</f>
        <v>9493</v>
      </c>
      <c r="D121" s="5" t="str">
        <f>"gift_"&amp;表1[[#This Row],[价格]]</f>
        <v>gift_18</v>
      </c>
      <c r="E121" s="5">
        <f>VLOOKUP(表1[[#This Row],[iOS]],description!$G$1:$H$5,2,FALSE)</f>
        <v>3903</v>
      </c>
      <c r="F121" s="3" t="s">
        <v>40</v>
      </c>
      <c r="G121" s="3" t="str">
        <f>"[[""r000"","&amp;表1[[#This Row],[价格]]&amp;"]]"</f>
        <v>[["r000",18]]</v>
      </c>
      <c r="H121" s="13">
        <f>VLOOKUP(表1[[#This Row],[名称]],[1]!表1[#Data],5,FALSE)</f>
        <v>18</v>
      </c>
      <c r="I121" s="5" t="str">
        <f>VLOOKUP(表1[[#This Row],[名称]],[1]!表1[#Data],19,FALSE)</f>
        <v>[["i016",10],["i001",50000],["i400",5],["i004",5]]</v>
      </c>
      <c r="J121" s="3">
        <v>1</v>
      </c>
      <c r="K121" s="3">
        <v>1</v>
      </c>
      <c r="L121" s="3" t="str">
        <f t="shared" si="2"/>
        <v>2018/06/24&amp;00:00:00</v>
      </c>
      <c r="M121" s="13" t="str">
        <f t="shared" si="3"/>
        <v>2018/06/24&amp;23:59:59</v>
      </c>
      <c r="N121" s="3">
        <v>1</v>
      </c>
      <c r="O121" s="3">
        <v>1</v>
      </c>
      <c r="P121" s="3">
        <v>0</v>
      </c>
      <c r="Q121" s="5">
        <f>VLOOKUP(表1[[#This Row],[名称]],[1]!表1[#Data],18,FALSE)*10</f>
        <v>1.5</v>
      </c>
      <c r="R121" s="11" t="s">
        <v>61</v>
      </c>
      <c r="S121" s="15" t="s">
        <v>67</v>
      </c>
    </row>
    <row r="122" spans="1:19" x14ac:dyDescent="0.15">
      <c r="A122" s="3">
        <v>10117</v>
      </c>
      <c r="B122" s="5">
        <f>VLOOKUP(表1[[#This Row],[名称]],[1]!表1[#Data],3,FALSE)</f>
        <v>9055</v>
      </c>
      <c r="C122" s="5">
        <f>VLOOKUP(表1[[#This Row],[名称]],[1]!表1[#Data],4,FALSE)</f>
        <v>9476</v>
      </c>
      <c r="D122" s="5" t="str">
        <f>"gift_"&amp;表1[[#This Row],[价格]]</f>
        <v>gift_6</v>
      </c>
      <c r="E122" s="5">
        <f>VLOOKUP(表1[[#This Row],[iOS]],description!$G$1:$H$5,2,FALSE)</f>
        <v>3901</v>
      </c>
      <c r="F122" s="3" t="s">
        <v>40</v>
      </c>
      <c r="G122" s="3" t="str">
        <f>"[[""r000"","&amp;表1[[#This Row],[价格]]&amp;"]]"</f>
        <v>[["r000",6]]</v>
      </c>
      <c r="H122" s="13">
        <f>VLOOKUP(表1[[#This Row],[名称]],[1]!表1[#Data],5,FALSE)</f>
        <v>6</v>
      </c>
      <c r="I122" s="5" t="str">
        <f>VLOOKUP(表1[[#This Row],[名称]],[1]!表1[#Data],19,FALSE)</f>
        <v>[["i011",50],["i001",100000],["i004",1],["i015",1]]</v>
      </c>
      <c r="J122" s="3">
        <v>1</v>
      </c>
      <c r="K122" s="3">
        <v>1</v>
      </c>
      <c r="L122" s="3" t="str">
        <f t="shared" si="2"/>
        <v>2018/06/25&amp;00:00:00</v>
      </c>
      <c r="M122" s="13" t="str">
        <f t="shared" si="3"/>
        <v>2018/06/25&amp;23:59:59</v>
      </c>
      <c r="N122" s="3">
        <v>1</v>
      </c>
      <c r="O122" s="3">
        <v>1</v>
      </c>
      <c r="P122" s="3">
        <v>0</v>
      </c>
      <c r="Q122" s="5">
        <f>VLOOKUP(表1[[#This Row],[名称]],[1]!表1[#Data],18,FALSE)*10</f>
        <v>2.4</v>
      </c>
      <c r="R122" s="11" t="s">
        <v>60</v>
      </c>
      <c r="S122" s="15" t="s">
        <v>68</v>
      </c>
    </row>
    <row r="123" spans="1:19" x14ac:dyDescent="0.15">
      <c r="A123" s="3">
        <v>10118</v>
      </c>
      <c r="B123" s="5">
        <f>VLOOKUP(表1[[#This Row],[名称]],[1]!表1[#Data],3,FALSE)</f>
        <v>9055</v>
      </c>
      <c r="C123" s="5">
        <f>VLOOKUP(表1[[#This Row],[名称]],[1]!表1[#Data],4,FALSE)</f>
        <v>9476</v>
      </c>
      <c r="D123" s="5" t="str">
        <f>"gift_"&amp;表1[[#This Row],[价格]]</f>
        <v>gift_6</v>
      </c>
      <c r="E123" s="5">
        <f>VLOOKUP(表1[[#This Row],[iOS]],description!$G$1:$H$5,2,FALSE)</f>
        <v>3901</v>
      </c>
      <c r="F123" s="3" t="s">
        <v>40</v>
      </c>
      <c r="G123" s="3" t="str">
        <f>"[[""r000"","&amp;表1[[#This Row],[价格]]&amp;"]]"</f>
        <v>[["r000",6]]</v>
      </c>
      <c r="H123" s="13">
        <f>VLOOKUP(表1[[#This Row],[名称]],[1]!表1[#Data],5,FALSE)</f>
        <v>6</v>
      </c>
      <c r="I123" s="5" t="str">
        <f>VLOOKUP(表1[[#This Row],[名称]],[1]!表1[#Data],19,FALSE)</f>
        <v>[["i006",25],["i001",50000],["i004",1],["i015",1]]</v>
      </c>
      <c r="J123" s="3">
        <v>1</v>
      </c>
      <c r="K123" s="3">
        <v>1</v>
      </c>
      <c r="L123" s="3" t="str">
        <f t="shared" si="2"/>
        <v>2018/06/26&amp;00:00:00</v>
      </c>
      <c r="M123" s="13" t="str">
        <f t="shared" si="3"/>
        <v>2018/06/26&amp;23:59:59</v>
      </c>
      <c r="N123" s="3">
        <v>1</v>
      </c>
      <c r="O123" s="3">
        <v>1</v>
      </c>
      <c r="P123" s="3">
        <v>0</v>
      </c>
      <c r="Q123" s="5">
        <f>VLOOKUP(表1[[#This Row],[名称]],[1]!表1[#Data],18,FALSE)*10</f>
        <v>1.9</v>
      </c>
      <c r="R123" s="11" t="s">
        <v>59</v>
      </c>
      <c r="S123" s="15" t="s">
        <v>69</v>
      </c>
    </row>
    <row r="124" spans="1:19" x14ac:dyDescent="0.15">
      <c r="A124" s="3">
        <v>10119</v>
      </c>
      <c r="B124" s="5">
        <f>VLOOKUP(表1[[#This Row],[名称]],[1]!表1[#Data],3,FALSE)</f>
        <v>9056</v>
      </c>
      <c r="C124" s="5">
        <f>VLOOKUP(表1[[#This Row],[名称]],[1]!表1[#Data],4,FALSE)</f>
        <v>9477</v>
      </c>
      <c r="D124" s="5" t="str">
        <f>"gift_"&amp;表1[[#This Row],[价格]]</f>
        <v>gift_12</v>
      </c>
      <c r="E124" s="5">
        <f>VLOOKUP(表1[[#This Row],[iOS]],description!$G$1:$H$5,2,FALSE)</f>
        <v>3902</v>
      </c>
      <c r="F124" s="3" t="s">
        <v>40</v>
      </c>
      <c r="G124" s="3" t="str">
        <f>"[[""r000"","&amp;表1[[#This Row],[价格]]&amp;"]]"</f>
        <v>[["r000",12]]</v>
      </c>
      <c r="H124" s="14">
        <f>VLOOKUP(表1[[#This Row],[名称]],[1]!表1[#Data],5,FALSE)</f>
        <v>12</v>
      </c>
      <c r="I124" s="5" t="str">
        <f>VLOOKUP(表1[[#This Row],[名称]],[1]!表1[#Data],19,FALSE)</f>
        <v>[["i240",180],["i002",150],["i001",50000],["i220",5]]</v>
      </c>
      <c r="J124" s="3">
        <v>1</v>
      </c>
      <c r="K124" s="3">
        <v>1</v>
      </c>
      <c r="L124" s="3" t="str">
        <f t="shared" si="2"/>
        <v>2018/06/27&amp;00:00:00</v>
      </c>
      <c r="M124" s="13" t="str">
        <f t="shared" si="3"/>
        <v>2018/06/27&amp;23:59:59</v>
      </c>
      <c r="N124" s="3">
        <v>1</v>
      </c>
      <c r="O124" s="3">
        <v>1</v>
      </c>
      <c r="P124" s="3">
        <v>0</v>
      </c>
      <c r="Q124" s="5">
        <f>VLOOKUP(表1[[#This Row],[名称]],[1]!表1[#Data],18,FALSE)*10</f>
        <v>2.5</v>
      </c>
      <c r="R124" s="11" t="s">
        <v>56</v>
      </c>
      <c r="S124" s="15" t="s">
        <v>70</v>
      </c>
    </row>
    <row r="125" spans="1:19" x14ac:dyDescent="0.15">
      <c r="A125" s="3">
        <v>10120</v>
      </c>
      <c r="B125" s="5">
        <f>VLOOKUP(表1[[#This Row],[名称]],[1]!表1[#Data],3,FALSE)</f>
        <v>9072</v>
      </c>
      <c r="C125" s="5">
        <f>VLOOKUP(表1[[#This Row],[名称]],[1]!表1[#Data],4,FALSE)</f>
        <v>9493</v>
      </c>
      <c r="D125" s="5" t="str">
        <f>"gift_"&amp;表1[[#This Row],[价格]]</f>
        <v>gift_18</v>
      </c>
      <c r="E125" s="5">
        <f>VLOOKUP(表1[[#This Row],[iOS]],description!$G$1:$H$5,2,FALSE)</f>
        <v>3903</v>
      </c>
      <c r="F125" s="3" t="s">
        <v>40</v>
      </c>
      <c r="G125" s="3" t="str">
        <f>"[[""r000"","&amp;表1[[#This Row],[价格]]&amp;"]]"</f>
        <v>[["r000",18]]</v>
      </c>
      <c r="H125" s="14">
        <f>VLOOKUP(表1[[#This Row],[名称]],[1]!表1[#Data],5,FALSE)</f>
        <v>18</v>
      </c>
      <c r="I125" s="5" t="str">
        <f>VLOOKUP(表1[[#This Row],[名称]],[1]!表1[#Data],19,FALSE)</f>
        <v>[["i001",300000],["i002",300],["i015",1],["i400",2]]</v>
      </c>
      <c r="J125" s="3">
        <v>1</v>
      </c>
      <c r="K125" s="3">
        <v>1</v>
      </c>
      <c r="L125" s="3" t="str">
        <f t="shared" si="2"/>
        <v>2018/06/28&amp;00:00:00</v>
      </c>
      <c r="M125" s="13" t="str">
        <f t="shared" si="3"/>
        <v>2018/06/28&amp;23:59:59</v>
      </c>
      <c r="N125" s="3">
        <v>1</v>
      </c>
      <c r="O125" s="3">
        <v>1</v>
      </c>
      <c r="P125" s="3">
        <v>0</v>
      </c>
      <c r="Q125" s="5">
        <f>VLOOKUP(表1[[#This Row],[名称]],[1]!表1[#Data],18,FALSE)*10</f>
        <v>4</v>
      </c>
      <c r="R125" s="3" t="s">
        <v>42</v>
      </c>
      <c r="S125" s="15" t="s">
        <v>71</v>
      </c>
    </row>
    <row r="126" spans="1:19" x14ac:dyDescent="0.15">
      <c r="A126" s="3">
        <v>10121</v>
      </c>
      <c r="B126" s="5">
        <f>VLOOKUP(表1[[#This Row],[名称]],[1]!表1[#Data],3,FALSE)</f>
        <v>9055</v>
      </c>
      <c r="C126" s="5">
        <f>VLOOKUP(表1[[#This Row],[名称]],[1]!表1[#Data],4,FALSE)</f>
        <v>9476</v>
      </c>
      <c r="D126" s="5" t="str">
        <f>"gift_"&amp;表1[[#This Row],[价格]]</f>
        <v>gift_6</v>
      </c>
      <c r="E126" s="5">
        <f>VLOOKUP(表1[[#This Row],[iOS]],description!$G$1:$H$5,2,FALSE)</f>
        <v>3901</v>
      </c>
      <c r="F126" s="3" t="s">
        <v>40</v>
      </c>
      <c r="G126" s="3" t="str">
        <f>"[[""r000"","&amp;表1[[#This Row],[价格]]&amp;"]]"</f>
        <v>[["r000",6]]</v>
      </c>
      <c r="H126" s="14">
        <f>VLOOKUP(表1[[#This Row],[名称]],[1]!表1[#Data],5,FALSE)</f>
        <v>6</v>
      </c>
      <c r="I126" s="5" t="str">
        <f>VLOOKUP(表1[[#This Row],[名称]],[1]!表1[#Data],19,FALSE)</f>
        <v>[["i400",20],["i002",50],["i015",1],["i220",2]]</v>
      </c>
      <c r="J126" s="3">
        <v>1</v>
      </c>
      <c r="K126" s="3">
        <v>1</v>
      </c>
      <c r="L126" s="3" t="str">
        <f t="shared" si="2"/>
        <v>2018/06/29&amp;00:00:00</v>
      </c>
      <c r="M126" s="13" t="str">
        <f t="shared" si="3"/>
        <v>2018/06/29&amp;23:59:59</v>
      </c>
      <c r="N126" s="3">
        <v>1</v>
      </c>
      <c r="O126" s="3">
        <v>1</v>
      </c>
      <c r="P126" s="3">
        <v>0</v>
      </c>
      <c r="Q126" s="5">
        <f>VLOOKUP(表1[[#This Row],[名称]],[1]!表1[#Data],18,FALSE)*10</f>
        <v>1.9</v>
      </c>
      <c r="R126" s="11" t="s">
        <v>57</v>
      </c>
      <c r="S126" s="15" t="s">
        <v>72</v>
      </c>
    </row>
    <row r="127" spans="1:19" x14ac:dyDescent="0.15">
      <c r="A127" s="3">
        <v>10122</v>
      </c>
      <c r="B127" s="5">
        <f>VLOOKUP(表1[[#This Row],[名称]],[1]!表1[#Data],3,FALSE)</f>
        <v>9067</v>
      </c>
      <c r="C127" s="5">
        <f>VLOOKUP(表1[[#This Row],[名称]],[1]!表1[#Data],4,FALSE)</f>
        <v>9488</v>
      </c>
      <c r="D127" s="5" t="str">
        <f>"gift_"&amp;表1[[#This Row],[价格]]</f>
        <v>gift_30</v>
      </c>
      <c r="E127" s="5">
        <f>VLOOKUP(表1[[#This Row],[iOS]],description!$G$1:$H$5,2,FALSE)</f>
        <v>3904</v>
      </c>
      <c r="F127" s="3" t="s">
        <v>40</v>
      </c>
      <c r="G127" s="3" t="str">
        <f>"[[""r000"","&amp;表1[[#This Row],[价格]]&amp;"]]"</f>
        <v>[["r000",30]]</v>
      </c>
      <c r="H127" s="14">
        <f>VLOOKUP(表1[[#This Row],[名称]],[1]!表1[#Data],5,FALSE)</f>
        <v>30</v>
      </c>
      <c r="I127" s="5" t="str">
        <f>VLOOKUP(表1[[#This Row],[名称]],[1]!表1[#Data],19,FALSE)</f>
        <v>[["i001",400000],["i002",400],["i015",1],["i006",5]]</v>
      </c>
      <c r="J127" s="3">
        <v>1</v>
      </c>
      <c r="K127" s="3">
        <v>1</v>
      </c>
      <c r="L127" s="3" t="str">
        <f t="shared" si="2"/>
        <v>2018/06/30&amp;00:00:00</v>
      </c>
      <c r="M127" s="13" t="str">
        <f t="shared" si="3"/>
        <v>2018/06/30&amp;23:59:59</v>
      </c>
      <c r="N127" s="3">
        <v>1</v>
      </c>
      <c r="O127" s="3">
        <v>1</v>
      </c>
      <c r="P127" s="3">
        <v>0</v>
      </c>
      <c r="Q127" s="5">
        <f>VLOOKUP(表1[[#This Row],[名称]],[1]!表1[#Data],18,FALSE)*10</f>
        <v>3.8</v>
      </c>
      <c r="R127" s="3" t="s">
        <v>43</v>
      </c>
      <c r="S127" s="15" t="s">
        <v>73</v>
      </c>
    </row>
    <row r="128" spans="1:19" x14ac:dyDescent="0.15">
      <c r="A128" s="3">
        <v>10123</v>
      </c>
      <c r="B128" s="5">
        <f>VLOOKUP(表1[[#This Row],[名称]],[1]!表1[#Data],3,FALSE)</f>
        <v>9075</v>
      </c>
      <c r="C128" s="5">
        <f>VLOOKUP(表1[[#This Row],[名称]],[1]!表1[#Data],4,FALSE)</f>
        <v>9496</v>
      </c>
      <c r="D128" s="5" t="str">
        <f>"gift_"&amp;表1[[#This Row],[价格]]</f>
        <v>gift_45</v>
      </c>
      <c r="E128" s="5">
        <f>VLOOKUP(表1[[#This Row],[iOS]],description!$G$1:$H$5,2,FALSE)</f>
        <v>3905</v>
      </c>
      <c r="F128" s="3" t="s">
        <v>40</v>
      </c>
      <c r="G128" s="3" t="str">
        <f>"[[""r000"","&amp;表1[[#This Row],[价格]]&amp;"]]"</f>
        <v>[["r000",45]]</v>
      </c>
      <c r="H128" s="14">
        <f>VLOOKUP(表1[[#This Row],[名称]],[1]!表1[#Data],5,FALSE)</f>
        <v>45</v>
      </c>
      <c r="I128" s="5" t="str">
        <f>VLOOKUP(表1[[#This Row],[名称]],[1]!表1[#Data],19,FALSE)</f>
        <v>[["i017",8],["i002",100],["i004",10],["i006",10]]</v>
      </c>
      <c r="J128" s="3">
        <v>1</v>
      </c>
      <c r="K128" s="3">
        <v>1</v>
      </c>
      <c r="L128" s="3" t="str">
        <f t="shared" si="2"/>
        <v>2018/07/01&amp;00:00:00</v>
      </c>
      <c r="M128" s="13" t="str">
        <f t="shared" si="3"/>
        <v>2018/07/01&amp;23:59:59</v>
      </c>
      <c r="N128" s="3">
        <v>1</v>
      </c>
      <c r="O128" s="3">
        <v>1</v>
      </c>
      <c r="P128" s="3">
        <v>0</v>
      </c>
      <c r="Q128" s="5">
        <f>VLOOKUP(表1[[#This Row],[名称]],[1]!表1[#Data],18,FALSE)*10</f>
        <v>1</v>
      </c>
      <c r="R128" s="11" t="s">
        <v>62</v>
      </c>
      <c r="S128" s="15" t="s">
        <v>74</v>
      </c>
    </row>
    <row r="129" spans="1:19" x14ac:dyDescent="0.15">
      <c r="A129" s="3">
        <v>10124</v>
      </c>
      <c r="B129" s="5">
        <f>VLOOKUP(表1[[#This Row],[名称]],[1]!表1[#Data],3,FALSE)</f>
        <v>9055</v>
      </c>
      <c r="C129" s="5">
        <f>VLOOKUP(表1[[#This Row],[名称]],[1]!表1[#Data],4,FALSE)</f>
        <v>9476</v>
      </c>
      <c r="D129" s="5" t="str">
        <f>"gift_"&amp;表1[[#This Row],[价格]]</f>
        <v>gift_6</v>
      </c>
      <c r="E129" s="5">
        <f>VLOOKUP(表1[[#This Row],[iOS]],description!$G$1:$H$5,2,FALSE)</f>
        <v>3901</v>
      </c>
      <c r="F129" s="3" t="s">
        <v>40</v>
      </c>
      <c r="G129" s="3" t="str">
        <f>"[[""r000"","&amp;表1[[#This Row],[价格]]&amp;"]]"</f>
        <v>[["r000",6]]</v>
      </c>
      <c r="H129" s="14">
        <f>VLOOKUP(表1[[#This Row],[名称]],[1]!表1[#Data],5,FALSE)</f>
        <v>6</v>
      </c>
      <c r="I129" s="5" t="str">
        <f>VLOOKUP(表1[[#This Row],[名称]],[1]!表1[#Data],19,FALSE)</f>
        <v>[["i215",10],["i002",50],["i004",1],["i240",20]]</v>
      </c>
      <c r="J129" s="3">
        <v>1</v>
      </c>
      <c r="K129" s="3">
        <v>1</v>
      </c>
      <c r="L129" s="3" t="str">
        <f t="shared" si="2"/>
        <v>2018/07/02&amp;00:00:00</v>
      </c>
      <c r="M129" s="13" t="str">
        <f t="shared" si="3"/>
        <v>2018/07/02&amp;23:59:59</v>
      </c>
      <c r="N129" s="3">
        <v>1</v>
      </c>
      <c r="O129" s="3">
        <v>1</v>
      </c>
      <c r="P129" s="3">
        <v>0</v>
      </c>
      <c r="Q129" s="5">
        <f>VLOOKUP(表1[[#This Row],[名称]],[1]!表1[#Data],18,FALSE)*10</f>
        <v>2.7</v>
      </c>
      <c r="R129" s="11" t="s">
        <v>58</v>
      </c>
      <c r="S129" s="15" t="s">
        <v>65</v>
      </c>
    </row>
    <row r="130" spans="1:19" x14ac:dyDescent="0.15">
      <c r="A130" s="3">
        <v>10125</v>
      </c>
      <c r="B130" s="5">
        <f>VLOOKUP(表1[[#This Row],[名称]],[1]!表1[#Data],3,FALSE)</f>
        <v>9075</v>
      </c>
      <c r="C130" s="5">
        <f>VLOOKUP(表1[[#This Row],[名称]],[1]!表1[#Data],4,FALSE)</f>
        <v>9496</v>
      </c>
      <c r="D130" s="5" t="str">
        <f>"gift_"&amp;表1[[#This Row],[价格]]</f>
        <v>gift_45</v>
      </c>
      <c r="E130" s="5">
        <f>VLOOKUP(表1[[#This Row],[iOS]],description!$G$1:$H$5,2,FALSE)</f>
        <v>3905</v>
      </c>
      <c r="F130" s="3" t="s">
        <v>40</v>
      </c>
      <c r="G130" s="3" t="str">
        <f>"[[""r000"","&amp;表1[[#This Row],[价格]]&amp;"]]"</f>
        <v>[["r000",45]]</v>
      </c>
      <c r="H130" s="12">
        <f>VLOOKUP(表1[[#This Row],[名称]],[1]!表1[#Data],5,FALSE)</f>
        <v>45</v>
      </c>
      <c r="I130" s="5" t="str">
        <f>VLOOKUP(表1[[#This Row],[名称]],[1]!表1[#Data],19,FALSE)</f>
        <v>[["i001",500000],["i002",500],["i015",1],["i004",4]]</v>
      </c>
      <c r="J130" s="3">
        <v>1</v>
      </c>
      <c r="K130" s="3">
        <v>1</v>
      </c>
      <c r="L130" s="3" t="str">
        <f t="shared" si="2"/>
        <v>2018/07/03&amp;00:00:00</v>
      </c>
      <c r="M130" s="13" t="str">
        <f t="shared" si="3"/>
        <v>2018/07/03&amp;23:59:59</v>
      </c>
      <c r="N130" s="3">
        <v>1</v>
      </c>
      <c r="O130" s="3">
        <v>1</v>
      </c>
      <c r="P130" s="3">
        <v>0</v>
      </c>
      <c r="Q130" s="5">
        <f>VLOOKUP(表1[[#This Row],[名称]],[1]!表1[#Data],18,FALSE)*10</f>
        <v>3.8</v>
      </c>
      <c r="R130" s="3" t="s">
        <v>44</v>
      </c>
      <c r="S130" s="15" t="s">
        <v>75</v>
      </c>
    </row>
    <row r="131" spans="1:19" x14ac:dyDescent="0.15">
      <c r="A131" s="3">
        <v>10126</v>
      </c>
      <c r="B131" s="5">
        <f>VLOOKUP(表1[[#This Row],[名称]],[1]!表1[#Data],3,FALSE)</f>
        <v>9055</v>
      </c>
      <c r="C131" s="5">
        <f>VLOOKUP(表1[[#This Row],[名称]],[1]!表1[#Data],4,FALSE)</f>
        <v>9476</v>
      </c>
      <c r="D131" s="5" t="str">
        <f>"gift_"&amp;表1[[#This Row],[价格]]</f>
        <v>gift_6</v>
      </c>
      <c r="E131" s="5">
        <f>VLOOKUP(表1[[#This Row],[iOS]],description!$G$1:$H$5,2,FALSE)</f>
        <v>3901</v>
      </c>
      <c r="F131" s="3" t="s">
        <v>40</v>
      </c>
      <c r="G131" s="3" t="str">
        <f>"[[""r000"","&amp;表1[[#This Row],[价格]]&amp;"]]"</f>
        <v>[["r000",6]]</v>
      </c>
      <c r="H131" s="12">
        <f>VLOOKUP(表1[[#This Row],[名称]],[1]!表1[#Data],5,FALSE)</f>
        <v>6</v>
      </c>
      <c r="I131" s="5" t="str">
        <f>VLOOKUP(表1[[#This Row],[名称]],[1]!表1[#Data],19,FALSE)</f>
        <v>[["i001",100000],["i002",100],["i400",1],["i220",5]]</v>
      </c>
      <c r="J131" s="3">
        <v>1</v>
      </c>
      <c r="K131" s="3">
        <v>1</v>
      </c>
      <c r="L131" s="3" t="str">
        <f t="shared" si="2"/>
        <v>2018/07/04&amp;00:00:00</v>
      </c>
      <c r="M131" s="13" t="str">
        <f t="shared" si="3"/>
        <v>2018/07/04&amp;23:59:59</v>
      </c>
      <c r="N131" s="3">
        <v>1</v>
      </c>
      <c r="O131" s="3">
        <v>1</v>
      </c>
      <c r="P131" s="3">
        <v>0</v>
      </c>
      <c r="Q131" s="5">
        <f>VLOOKUP(表1[[#This Row],[名称]],[1]!表1[#Data],18,FALSE)*10</f>
        <v>3.5999999999999996</v>
      </c>
      <c r="R131" s="3" t="s">
        <v>39</v>
      </c>
      <c r="S131" s="15" t="s">
        <v>63</v>
      </c>
    </row>
    <row r="132" spans="1:19" x14ac:dyDescent="0.15">
      <c r="A132" s="3">
        <v>10127</v>
      </c>
      <c r="B132" s="5">
        <f>VLOOKUP(表1[[#This Row],[名称]],[1]!表1[#Data],3,FALSE)</f>
        <v>9056</v>
      </c>
      <c r="C132" s="5">
        <f>VLOOKUP(表1[[#This Row],[名称]],[1]!表1[#Data],4,FALSE)</f>
        <v>9477</v>
      </c>
      <c r="D132" s="5" t="str">
        <f>"gift_"&amp;表1[[#This Row],[价格]]</f>
        <v>gift_12</v>
      </c>
      <c r="E132" s="5">
        <f>VLOOKUP(表1[[#This Row],[iOS]],description!$G$1:$H$5,2,FALSE)</f>
        <v>3902</v>
      </c>
      <c r="F132" s="3" t="s">
        <v>40</v>
      </c>
      <c r="G132" s="3" t="str">
        <f>"[[""r000"","&amp;表1[[#This Row],[价格]]&amp;"]]"</f>
        <v>[["r000",12]]</v>
      </c>
      <c r="H132" s="12">
        <f>VLOOKUP(表1[[#This Row],[名称]],[1]!表1[#Data],5,FALSE)</f>
        <v>12</v>
      </c>
      <c r="I132" s="5" t="str">
        <f>VLOOKUP(表1[[#This Row],[名称]],[1]!表1[#Data],19,FALSE)</f>
        <v>[["i015",8],["i002",100],["i400",2],["i220",2]]</v>
      </c>
      <c r="J132" s="3">
        <v>1</v>
      </c>
      <c r="K132" s="3">
        <v>1</v>
      </c>
      <c r="L132" s="3" t="str">
        <f t="shared" si="2"/>
        <v>2018/07/05&amp;00:00:00</v>
      </c>
      <c r="M132" s="13" t="str">
        <f t="shared" si="3"/>
        <v>2018/07/05&amp;23:59:59</v>
      </c>
      <c r="N132" s="3">
        <v>1</v>
      </c>
      <c r="O132" s="3">
        <v>1</v>
      </c>
      <c r="P132" s="3">
        <v>0</v>
      </c>
      <c r="Q132" s="5">
        <f>VLOOKUP(表1[[#This Row],[名称]],[1]!表1[#Data],18,FALSE)*10</f>
        <v>3</v>
      </c>
      <c r="R132" s="11" t="s">
        <v>55</v>
      </c>
      <c r="S132" s="15" t="s">
        <v>64</v>
      </c>
    </row>
    <row r="133" spans="1:19" x14ac:dyDescent="0.15">
      <c r="A133" s="3">
        <v>10128</v>
      </c>
      <c r="B133" s="5">
        <f>VLOOKUP(表1[[#This Row],[名称]],[1]!表1[#Data],3,FALSE)</f>
        <v>9055</v>
      </c>
      <c r="C133" s="5">
        <f>VLOOKUP(表1[[#This Row],[名称]],[1]!表1[#Data],4,FALSE)</f>
        <v>9476</v>
      </c>
      <c r="D133" s="5" t="str">
        <f>"gift_"&amp;表1[[#This Row],[价格]]</f>
        <v>gift_6</v>
      </c>
      <c r="E133" s="5">
        <f>VLOOKUP(表1[[#This Row],[iOS]],description!$G$1:$H$5,2,FALSE)</f>
        <v>3901</v>
      </c>
      <c r="F133" s="3" t="s">
        <v>40</v>
      </c>
      <c r="G133" s="3" t="str">
        <f>"[[""r000"","&amp;表1[[#This Row],[价格]]&amp;"]]"</f>
        <v>[["r000",6]]</v>
      </c>
      <c r="H133" s="12">
        <f>VLOOKUP(表1[[#This Row],[名称]],[1]!表1[#Data],5,FALSE)</f>
        <v>6</v>
      </c>
      <c r="I133" s="5" t="str">
        <f>VLOOKUP(表1[[#This Row],[名称]],[1]!表1[#Data],19,FALSE)</f>
        <v>[["i215",10],["i002",50],["i004",1],["i240",20]]</v>
      </c>
      <c r="J133" s="3">
        <v>1</v>
      </c>
      <c r="K133" s="3">
        <v>1</v>
      </c>
      <c r="L133" s="3" t="str">
        <f t="shared" ref="L133:L196" si="4">YEAR(43159+ROW()-5)&amp;"/"&amp;IF(MONTH(43159+ROW()-5)&lt;10,"0","")&amp;MONTH(43159+ROW()-5)&amp;"/"&amp;IF(DAY(43159+ROW()-5)&lt;10,"0","")&amp;DAY(43159+ROW()-5)&amp;"&amp;00:00:00"</f>
        <v>2018/07/06&amp;00:00:00</v>
      </c>
      <c r="M133" s="13" t="str">
        <f t="shared" ref="M133:M196" si="5">YEAR(43159+ROW()-5)&amp;"/"&amp;IF(MONTH(43159+ROW()-5)&lt;10,"0","")&amp;MONTH(43159+ROW()-5)&amp;"/"&amp;IF(DAY(43159+ROW()-5)&lt;10,"0","")&amp;DAY(43159+ROW()-5)&amp;"&amp;23:59:59"</f>
        <v>2018/07/06&amp;23:59:59</v>
      </c>
      <c r="N133" s="3">
        <v>1</v>
      </c>
      <c r="O133" s="3">
        <v>1</v>
      </c>
      <c r="P133" s="3">
        <v>0</v>
      </c>
      <c r="Q133" s="5">
        <f>VLOOKUP(表1[[#This Row],[名称]],[1]!表1[#Data],18,FALSE)*10</f>
        <v>2.7</v>
      </c>
      <c r="R133" s="11" t="s">
        <v>58</v>
      </c>
      <c r="S133" s="15" t="s">
        <v>65</v>
      </c>
    </row>
    <row r="134" spans="1:19" x14ac:dyDescent="0.15">
      <c r="A134" s="3">
        <v>10129</v>
      </c>
      <c r="B134" s="5">
        <f>VLOOKUP(表1[[#This Row],[名称]],[1]!表1[#Data],3,FALSE)</f>
        <v>9056</v>
      </c>
      <c r="C134" s="5">
        <f>VLOOKUP(表1[[#This Row],[名称]],[1]!表1[#Data],4,FALSE)</f>
        <v>9477</v>
      </c>
      <c r="D134" s="5" t="str">
        <f>"gift_"&amp;表1[[#This Row],[价格]]</f>
        <v>gift_12</v>
      </c>
      <c r="E134" s="5">
        <f>VLOOKUP(表1[[#This Row],[iOS]],description!$G$1:$H$5,2,FALSE)</f>
        <v>3902</v>
      </c>
      <c r="F134" s="3" t="s">
        <v>40</v>
      </c>
      <c r="G134" s="3" t="str">
        <f>"[[""r000"","&amp;表1[[#This Row],[价格]]&amp;"]]"</f>
        <v>[["r000",12]]</v>
      </c>
      <c r="H134" s="12">
        <f>VLOOKUP(表1[[#This Row],[名称]],[1]!表1[#Data],5,FALSE)</f>
        <v>12</v>
      </c>
      <c r="I134" s="5" t="str">
        <f>VLOOKUP(表1[[#This Row],[名称]],[1]!表1[#Data],19,FALSE)</f>
        <v>[["i001",200000],["i002",200],["i400",2],["i220",10]]</v>
      </c>
      <c r="J134" s="3">
        <v>1</v>
      </c>
      <c r="K134" s="3">
        <v>1</v>
      </c>
      <c r="L134" s="3" t="str">
        <f t="shared" si="4"/>
        <v>2018/07/07&amp;00:00:00</v>
      </c>
      <c r="M134" s="13" t="str">
        <f t="shared" si="5"/>
        <v>2018/07/07&amp;23:59:59</v>
      </c>
      <c r="N134" s="3">
        <v>1</v>
      </c>
      <c r="O134" s="3">
        <v>1</v>
      </c>
      <c r="P134" s="3">
        <v>0</v>
      </c>
      <c r="Q134" s="5">
        <f>VLOOKUP(表1[[#This Row],[名称]],[1]!表1[#Data],18,FALSE)*10</f>
        <v>3.8</v>
      </c>
      <c r="R134" s="3" t="s">
        <v>41</v>
      </c>
      <c r="S134" s="15" t="s">
        <v>66</v>
      </c>
    </row>
    <row r="135" spans="1:19" x14ac:dyDescent="0.15">
      <c r="A135" s="3">
        <v>10130</v>
      </c>
      <c r="B135" s="5">
        <f>VLOOKUP(表1[[#This Row],[名称]],[1]!表1[#Data],3,FALSE)</f>
        <v>9072</v>
      </c>
      <c r="C135" s="5">
        <f>VLOOKUP(表1[[#This Row],[名称]],[1]!表1[#Data],4,FALSE)</f>
        <v>9493</v>
      </c>
      <c r="D135" s="5" t="str">
        <f>"gift_"&amp;表1[[#This Row],[价格]]</f>
        <v>gift_18</v>
      </c>
      <c r="E135" s="5">
        <f>VLOOKUP(表1[[#This Row],[iOS]],description!$G$1:$H$5,2,FALSE)</f>
        <v>3903</v>
      </c>
      <c r="F135" s="3" t="s">
        <v>40</v>
      </c>
      <c r="G135" s="3" t="str">
        <f>"[[""r000"","&amp;表1[[#This Row],[价格]]&amp;"]]"</f>
        <v>[["r000",18]]</v>
      </c>
      <c r="H135" s="12">
        <f>VLOOKUP(表1[[#This Row],[名称]],[1]!表1[#Data],5,FALSE)</f>
        <v>18</v>
      </c>
      <c r="I135" s="5" t="str">
        <f>VLOOKUP(表1[[#This Row],[名称]],[1]!表1[#Data],19,FALSE)</f>
        <v>[["i016",10],["i001",50000],["i400",5],["i004",5]]</v>
      </c>
      <c r="J135" s="3">
        <v>1</v>
      </c>
      <c r="K135" s="3">
        <v>1</v>
      </c>
      <c r="L135" s="3" t="str">
        <f t="shared" si="4"/>
        <v>2018/07/08&amp;00:00:00</v>
      </c>
      <c r="M135" s="13" t="str">
        <f t="shared" si="5"/>
        <v>2018/07/08&amp;23:59:59</v>
      </c>
      <c r="N135" s="3">
        <v>1</v>
      </c>
      <c r="O135" s="3">
        <v>1</v>
      </c>
      <c r="P135" s="3">
        <v>0</v>
      </c>
      <c r="Q135" s="5">
        <f>VLOOKUP(表1[[#This Row],[名称]],[1]!表1[#Data],18,FALSE)*10</f>
        <v>1.5</v>
      </c>
      <c r="R135" s="11" t="s">
        <v>61</v>
      </c>
      <c r="S135" s="15" t="s">
        <v>67</v>
      </c>
    </row>
    <row r="136" spans="1:19" x14ac:dyDescent="0.15">
      <c r="A136" s="3">
        <v>10131</v>
      </c>
      <c r="B136" s="5">
        <f>VLOOKUP(表1[[#This Row],[名称]],[1]!表1[#Data],3,FALSE)</f>
        <v>9055</v>
      </c>
      <c r="C136" s="5">
        <f>VLOOKUP(表1[[#This Row],[名称]],[1]!表1[#Data],4,FALSE)</f>
        <v>9476</v>
      </c>
      <c r="D136" s="5" t="str">
        <f>"gift_"&amp;表1[[#This Row],[价格]]</f>
        <v>gift_6</v>
      </c>
      <c r="E136" s="5">
        <f>VLOOKUP(表1[[#This Row],[iOS]],description!$G$1:$H$5,2,FALSE)</f>
        <v>3901</v>
      </c>
      <c r="F136" s="3" t="s">
        <v>40</v>
      </c>
      <c r="G136" s="3" t="str">
        <f>"[[""r000"","&amp;表1[[#This Row],[价格]]&amp;"]]"</f>
        <v>[["r000",6]]</v>
      </c>
      <c r="H136" s="12">
        <f>VLOOKUP(表1[[#This Row],[名称]],[1]!表1[#Data],5,FALSE)</f>
        <v>6</v>
      </c>
      <c r="I136" s="5" t="str">
        <f>VLOOKUP(表1[[#This Row],[名称]],[1]!表1[#Data],19,FALSE)</f>
        <v>[["i011",50],["i001",100000],["i004",1],["i015",1]]</v>
      </c>
      <c r="J136" s="3">
        <v>1</v>
      </c>
      <c r="K136" s="3">
        <v>1</v>
      </c>
      <c r="L136" s="3" t="str">
        <f t="shared" si="4"/>
        <v>2018/07/09&amp;00:00:00</v>
      </c>
      <c r="M136" s="13" t="str">
        <f t="shared" si="5"/>
        <v>2018/07/09&amp;23:59:59</v>
      </c>
      <c r="N136" s="3">
        <v>1</v>
      </c>
      <c r="O136" s="3">
        <v>1</v>
      </c>
      <c r="P136" s="3">
        <v>0</v>
      </c>
      <c r="Q136" s="5">
        <f>VLOOKUP(表1[[#This Row],[名称]],[1]!表1[#Data],18,FALSE)*10</f>
        <v>2.4</v>
      </c>
      <c r="R136" s="11" t="s">
        <v>60</v>
      </c>
      <c r="S136" s="15" t="s">
        <v>68</v>
      </c>
    </row>
    <row r="137" spans="1:19" x14ac:dyDescent="0.15">
      <c r="A137" s="3">
        <v>10132</v>
      </c>
      <c r="B137" s="5">
        <f>VLOOKUP(表1[[#This Row],[名称]],[1]!表1[#Data],3,FALSE)</f>
        <v>9055</v>
      </c>
      <c r="C137" s="5">
        <f>VLOOKUP(表1[[#This Row],[名称]],[1]!表1[#Data],4,FALSE)</f>
        <v>9476</v>
      </c>
      <c r="D137" s="5" t="str">
        <f>"gift_"&amp;表1[[#This Row],[价格]]</f>
        <v>gift_6</v>
      </c>
      <c r="E137" s="5">
        <f>VLOOKUP(表1[[#This Row],[iOS]],description!$G$1:$H$5,2,FALSE)</f>
        <v>3901</v>
      </c>
      <c r="F137" s="3" t="s">
        <v>40</v>
      </c>
      <c r="G137" s="3" t="str">
        <f>"[[""r000"","&amp;表1[[#This Row],[价格]]&amp;"]]"</f>
        <v>[["r000",6]]</v>
      </c>
      <c r="H137" s="12">
        <f>VLOOKUP(表1[[#This Row],[名称]],[1]!表1[#Data],5,FALSE)</f>
        <v>6</v>
      </c>
      <c r="I137" s="5" t="str">
        <f>VLOOKUP(表1[[#This Row],[名称]],[1]!表1[#Data],19,FALSE)</f>
        <v>[["i006",25],["i001",50000],["i004",1],["i015",1]]</v>
      </c>
      <c r="J137" s="3">
        <v>1</v>
      </c>
      <c r="K137" s="3">
        <v>1</v>
      </c>
      <c r="L137" s="3" t="str">
        <f t="shared" si="4"/>
        <v>2018/07/10&amp;00:00:00</v>
      </c>
      <c r="M137" s="13" t="str">
        <f t="shared" si="5"/>
        <v>2018/07/10&amp;23:59:59</v>
      </c>
      <c r="N137" s="3">
        <v>1</v>
      </c>
      <c r="O137" s="3">
        <v>1</v>
      </c>
      <c r="P137" s="3">
        <v>0</v>
      </c>
      <c r="Q137" s="5">
        <f>VLOOKUP(表1[[#This Row],[名称]],[1]!表1[#Data],18,FALSE)*10</f>
        <v>1.9</v>
      </c>
      <c r="R137" s="11" t="s">
        <v>59</v>
      </c>
      <c r="S137" s="15" t="s">
        <v>69</v>
      </c>
    </row>
    <row r="138" spans="1:19" x14ac:dyDescent="0.15">
      <c r="A138" s="3">
        <v>10133</v>
      </c>
      <c r="B138" s="5">
        <f>VLOOKUP(表1[[#This Row],[名称]],[1]!表1[#Data],3,FALSE)</f>
        <v>9056</v>
      </c>
      <c r="C138" s="5">
        <f>VLOOKUP(表1[[#This Row],[名称]],[1]!表1[#Data],4,FALSE)</f>
        <v>9477</v>
      </c>
      <c r="D138" s="5" t="str">
        <f>"gift_"&amp;表1[[#This Row],[价格]]</f>
        <v>gift_12</v>
      </c>
      <c r="E138" s="5">
        <f>VLOOKUP(表1[[#This Row],[iOS]],description!$G$1:$H$5,2,FALSE)</f>
        <v>3902</v>
      </c>
      <c r="F138" s="3" t="s">
        <v>40</v>
      </c>
      <c r="G138" s="3" t="str">
        <f>"[[""r000"","&amp;表1[[#This Row],[价格]]&amp;"]]"</f>
        <v>[["r000",12]]</v>
      </c>
      <c r="H138" s="12">
        <f>VLOOKUP(表1[[#This Row],[名称]],[1]!表1[#Data],5,FALSE)</f>
        <v>12</v>
      </c>
      <c r="I138" s="5" t="str">
        <f>VLOOKUP(表1[[#This Row],[名称]],[1]!表1[#Data],19,FALSE)</f>
        <v>[["i240",180],["i002",150],["i001",50000],["i220",5]]</v>
      </c>
      <c r="J138" s="3">
        <v>1</v>
      </c>
      <c r="K138" s="3">
        <v>1</v>
      </c>
      <c r="L138" s="3" t="str">
        <f t="shared" si="4"/>
        <v>2018/07/11&amp;00:00:00</v>
      </c>
      <c r="M138" s="13" t="str">
        <f t="shared" si="5"/>
        <v>2018/07/11&amp;23:59:59</v>
      </c>
      <c r="N138" s="3">
        <v>1</v>
      </c>
      <c r="O138" s="3">
        <v>1</v>
      </c>
      <c r="P138" s="3">
        <v>0</v>
      </c>
      <c r="Q138" s="5">
        <f>VLOOKUP(表1[[#This Row],[名称]],[1]!表1[#Data],18,FALSE)*10</f>
        <v>2.5</v>
      </c>
      <c r="R138" s="11" t="s">
        <v>56</v>
      </c>
      <c r="S138" s="15" t="s">
        <v>70</v>
      </c>
    </row>
    <row r="139" spans="1:19" x14ac:dyDescent="0.15">
      <c r="A139" s="3">
        <v>10134</v>
      </c>
      <c r="B139" s="5">
        <f>VLOOKUP(表1[[#This Row],[名称]],[1]!表1[#Data],3,FALSE)</f>
        <v>9072</v>
      </c>
      <c r="C139" s="5">
        <f>VLOOKUP(表1[[#This Row],[名称]],[1]!表1[#Data],4,FALSE)</f>
        <v>9493</v>
      </c>
      <c r="D139" s="5" t="str">
        <f>"gift_"&amp;表1[[#This Row],[价格]]</f>
        <v>gift_18</v>
      </c>
      <c r="E139" s="5">
        <f>VLOOKUP(表1[[#This Row],[iOS]],description!$G$1:$H$5,2,FALSE)</f>
        <v>3903</v>
      </c>
      <c r="F139" s="3" t="s">
        <v>40</v>
      </c>
      <c r="G139" s="3" t="str">
        <f>"[[""r000"","&amp;表1[[#This Row],[价格]]&amp;"]]"</f>
        <v>[["r000",18]]</v>
      </c>
      <c r="H139" s="12">
        <f>VLOOKUP(表1[[#This Row],[名称]],[1]!表1[#Data],5,FALSE)</f>
        <v>18</v>
      </c>
      <c r="I139" s="5" t="str">
        <f>VLOOKUP(表1[[#This Row],[名称]],[1]!表1[#Data],19,FALSE)</f>
        <v>[["i001",300000],["i002",300],["i015",1],["i400",2]]</v>
      </c>
      <c r="J139" s="3">
        <v>1</v>
      </c>
      <c r="K139" s="3">
        <v>1</v>
      </c>
      <c r="L139" s="3" t="str">
        <f t="shared" si="4"/>
        <v>2018/07/12&amp;00:00:00</v>
      </c>
      <c r="M139" s="13" t="str">
        <f t="shared" si="5"/>
        <v>2018/07/12&amp;23:59:59</v>
      </c>
      <c r="N139" s="3">
        <v>1</v>
      </c>
      <c r="O139" s="3">
        <v>1</v>
      </c>
      <c r="P139" s="3">
        <v>0</v>
      </c>
      <c r="Q139" s="5">
        <f>VLOOKUP(表1[[#This Row],[名称]],[1]!表1[#Data],18,FALSE)*10</f>
        <v>4</v>
      </c>
      <c r="R139" s="3" t="s">
        <v>42</v>
      </c>
      <c r="S139" s="15" t="s">
        <v>71</v>
      </c>
    </row>
    <row r="140" spans="1:19" x14ac:dyDescent="0.15">
      <c r="A140" s="3">
        <v>10135</v>
      </c>
      <c r="B140" s="5">
        <f>VLOOKUP(表1[[#This Row],[名称]],[1]!表1[#Data],3,FALSE)</f>
        <v>9055</v>
      </c>
      <c r="C140" s="5">
        <f>VLOOKUP(表1[[#This Row],[名称]],[1]!表1[#Data],4,FALSE)</f>
        <v>9476</v>
      </c>
      <c r="D140" s="5" t="str">
        <f>"gift_"&amp;表1[[#This Row],[价格]]</f>
        <v>gift_6</v>
      </c>
      <c r="E140" s="5">
        <f>VLOOKUP(表1[[#This Row],[iOS]],description!$G$1:$H$5,2,FALSE)</f>
        <v>3901</v>
      </c>
      <c r="F140" s="3" t="s">
        <v>40</v>
      </c>
      <c r="G140" s="3" t="str">
        <f>"[[""r000"","&amp;表1[[#This Row],[价格]]&amp;"]]"</f>
        <v>[["r000",6]]</v>
      </c>
      <c r="H140" s="12">
        <f>VLOOKUP(表1[[#This Row],[名称]],[1]!表1[#Data],5,FALSE)</f>
        <v>6</v>
      </c>
      <c r="I140" s="5" t="str">
        <f>VLOOKUP(表1[[#This Row],[名称]],[1]!表1[#Data],19,FALSE)</f>
        <v>[["i400",20],["i002",50],["i015",1],["i220",2]]</v>
      </c>
      <c r="J140" s="3">
        <v>1</v>
      </c>
      <c r="K140" s="3">
        <v>1</v>
      </c>
      <c r="L140" s="3" t="str">
        <f t="shared" si="4"/>
        <v>2018/07/13&amp;00:00:00</v>
      </c>
      <c r="M140" s="13" t="str">
        <f t="shared" si="5"/>
        <v>2018/07/13&amp;23:59:59</v>
      </c>
      <c r="N140" s="3">
        <v>1</v>
      </c>
      <c r="O140" s="3">
        <v>1</v>
      </c>
      <c r="P140" s="3">
        <v>0</v>
      </c>
      <c r="Q140" s="5">
        <f>VLOOKUP(表1[[#This Row],[名称]],[1]!表1[#Data],18,FALSE)*10</f>
        <v>1.9</v>
      </c>
      <c r="R140" s="11" t="s">
        <v>57</v>
      </c>
      <c r="S140" s="15" t="s">
        <v>72</v>
      </c>
    </row>
    <row r="141" spans="1:19" x14ac:dyDescent="0.15">
      <c r="A141" s="3">
        <v>10136</v>
      </c>
      <c r="B141" s="5">
        <f>VLOOKUP(表1[[#This Row],[名称]],[1]!表1[#Data],3,FALSE)</f>
        <v>9067</v>
      </c>
      <c r="C141" s="5">
        <f>VLOOKUP(表1[[#This Row],[名称]],[1]!表1[#Data],4,FALSE)</f>
        <v>9488</v>
      </c>
      <c r="D141" s="5" t="str">
        <f>"gift_"&amp;表1[[#This Row],[价格]]</f>
        <v>gift_30</v>
      </c>
      <c r="E141" s="5">
        <f>VLOOKUP(表1[[#This Row],[iOS]],description!$G$1:$H$5,2,FALSE)</f>
        <v>3904</v>
      </c>
      <c r="F141" s="3" t="s">
        <v>40</v>
      </c>
      <c r="G141" s="3" t="str">
        <f>"[[""r000"","&amp;表1[[#This Row],[价格]]&amp;"]]"</f>
        <v>[["r000",30]]</v>
      </c>
      <c r="H141" s="12">
        <f>VLOOKUP(表1[[#This Row],[名称]],[1]!表1[#Data],5,FALSE)</f>
        <v>30</v>
      </c>
      <c r="I141" s="5" t="str">
        <f>VLOOKUP(表1[[#This Row],[名称]],[1]!表1[#Data],19,FALSE)</f>
        <v>[["i001",400000],["i002",400],["i015",1],["i006",5]]</v>
      </c>
      <c r="J141" s="3">
        <v>1</v>
      </c>
      <c r="K141" s="3">
        <v>1</v>
      </c>
      <c r="L141" s="3" t="str">
        <f t="shared" si="4"/>
        <v>2018/07/14&amp;00:00:00</v>
      </c>
      <c r="M141" s="13" t="str">
        <f t="shared" si="5"/>
        <v>2018/07/14&amp;23:59:59</v>
      </c>
      <c r="N141" s="3">
        <v>1</v>
      </c>
      <c r="O141" s="3">
        <v>1</v>
      </c>
      <c r="P141" s="3">
        <v>0</v>
      </c>
      <c r="Q141" s="5">
        <f>VLOOKUP(表1[[#This Row],[名称]],[1]!表1[#Data],18,FALSE)*10</f>
        <v>3.8</v>
      </c>
      <c r="R141" s="3" t="s">
        <v>43</v>
      </c>
      <c r="S141" s="15" t="s">
        <v>73</v>
      </c>
    </row>
    <row r="142" spans="1:19" x14ac:dyDescent="0.15">
      <c r="A142" s="3">
        <v>10137</v>
      </c>
      <c r="B142" s="5">
        <f>VLOOKUP(表1[[#This Row],[名称]],[1]!表1[#Data],3,FALSE)</f>
        <v>9075</v>
      </c>
      <c r="C142" s="5">
        <f>VLOOKUP(表1[[#This Row],[名称]],[1]!表1[#Data],4,FALSE)</f>
        <v>9496</v>
      </c>
      <c r="D142" s="5" t="str">
        <f>"gift_"&amp;表1[[#This Row],[价格]]</f>
        <v>gift_45</v>
      </c>
      <c r="E142" s="5">
        <f>VLOOKUP(表1[[#This Row],[iOS]],description!$G$1:$H$5,2,FALSE)</f>
        <v>3905</v>
      </c>
      <c r="F142" s="3" t="s">
        <v>40</v>
      </c>
      <c r="G142" s="3" t="str">
        <f>"[[""r000"","&amp;表1[[#This Row],[价格]]&amp;"]]"</f>
        <v>[["r000",45]]</v>
      </c>
      <c r="H142" s="12">
        <f>VLOOKUP(表1[[#This Row],[名称]],[1]!表1[#Data],5,FALSE)</f>
        <v>45</v>
      </c>
      <c r="I142" s="5" t="str">
        <f>VLOOKUP(表1[[#This Row],[名称]],[1]!表1[#Data],19,FALSE)</f>
        <v>[["i017",8],["i002",100],["i004",10],["i006",10]]</v>
      </c>
      <c r="J142" s="3">
        <v>1</v>
      </c>
      <c r="K142" s="3">
        <v>1</v>
      </c>
      <c r="L142" s="3" t="str">
        <f t="shared" si="4"/>
        <v>2018/07/15&amp;00:00:00</v>
      </c>
      <c r="M142" s="13" t="str">
        <f t="shared" si="5"/>
        <v>2018/07/15&amp;23:59:59</v>
      </c>
      <c r="N142" s="3">
        <v>1</v>
      </c>
      <c r="O142" s="3">
        <v>1</v>
      </c>
      <c r="P142" s="3">
        <v>0</v>
      </c>
      <c r="Q142" s="5">
        <f>VLOOKUP(表1[[#This Row],[名称]],[1]!表1[#Data],18,FALSE)*10</f>
        <v>1</v>
      </c>
      <c r="R142" s="11" t="s">
        <v>62</v>
      </c>
      <c r="S142" s="15" t="s">
        <v>74</v>
      </c>
    </row>
    <row r="143" spans="1:19" x14ac:dyDescent="0.15">
      <c r="A143" s="3">
        <v>10138</v>
      </c>
      <c r="B143" s="5">
        <f>VLOOKUP(表1[[#This Row],[名称]],[1]!表1[#Data],3,FALSE)</f>
        <v>9055</v>
      </c>
      <c r="C143" s="5">
        <f>VLOOKUP(表1[[#This Row],[名称]],[1]!表1[#Data],4,FALSE)</f>
        <v>9476</v>
      </c>
      <c r="D143" s="5" t="str">
        <f>"gift_"&amp;表1[[#This Row],[价格]]</f>
        <v>gift_6</v>
      </c>
      <c r="E143" s="5">
        <f>VLOOKUP(表1[[#This Row],[iOS]],description!$G$1:$H$5,2,FALSE)</f>
        <v>3901</v>
      </c>
      <c r="F143" s="3" t="s">
        <v>40</v>
      </c>
      <c r="G143" s="3" t="str">
        <f>"[[""r000"","&amp;表1[[#This Row],[价格]]&amp;"]]"</f>
        <v>[["r000",6]]</v>
      </c>
      <c r="H143" s="12">
        <f>VLOOKUP(表1[[#This Row],[名称]],[1]!表1[#Data],5,FALSE)</f>
        <v>6</v>
      </c>
      <c r="I143" s="5" t="str">
        <f>VLOOKUP(表1[[#This Row],[名称]],[1]!表1[#Data],19,FALSE)</f>
        <v>[["i215",10],["i002",50],["i004",1],["i240",20]]</v>
      </c>
      <c r="J143" s="3">
        <v>1</v>
      </c>
      <c r="K143" s="3">
        <v>1</v>
      </c>
      <c r="L143" s="3" t="str">
        <f t="shared" si="4"/>
        <v>2018/07/16&amp;00:00:00</v>
      </c>
      <c r="M143" s="13" t="str">
        <f t="shared" si="5"/>
        <v>2018/07/16&amp;23:59:59</v>
      </c>
      <c r="N143" s="3">
        <v>1</v>
      </c>
      <c r="O143" s="3">
        <v>1</v>
      </c>
      <c r="P143" s="3">
        <v>0</v>
      </c>
      <c r="Q143" s="5">
        <f>VLOOKUP(表1[[#This Row],[名称]],[1]!表1[#Data],18,FALSE)*10</f>
        <v>2.7</v>
      </c>
      <c r="R143" s="11" t="s">
        <v>58</v>
      </c>
      <c r="S143" s="15" t="s">
        <v>65</v>
      </c>
    </row>
    <row r="144" spans="1:19" x14ac:dyDescent="0.15">
      <c r="A144" s="3">
        <v>10139</v>
      </c>
      <c r="B144" s="5">
        <f>VLOOKUP(表1[[#This Row],[名称]],[1]!表1[#Data],3,FALSE)</f>
        <v>9055</v>
      </c>
      <c r="C144" s="5">
        <f>VLOOKUP(表1[[#This Row],[名称]],[1]!表1[#Data],4,FALSE)</f>
        <v>9476</v>
      </c>
      <c r="D144" s="5" t="str">
        <f>"gift_"&amp;表1[[#This Row],[价格]]</f>
        <v>gift_6</v>
      </c>
      <c r="E144" s="5">
        <f>VLOOKUP(表1[[#This Row],[iOS]],description!$G$1:$H$5,2,FALSE)</f>
        <v>3901</v>
      </c>
      <c r="F144" s="3" t="s">
        <v>40</v>
      </c>
      <c r="G144" s="3" t="str">
        <f>"[[""r000"","&amp;表1[[#This Row],[价格]]&amp;"]]"</f>
        <v>[["r000",6]]</v>
      </c>
      <c r="H144" s="12">
        <f>VLOOKUP(表1[[#This Row],[名称]],[1]!表1[#Data],5,FALSE)</f>
        <v>6</v>
      </c>
      <c r="I144" s="5" t="str">
        <f>VLOOKUP(表1[[#This Row],[名称]],[1]!表1[#Data],19,FALSE)</f>
        <v>[["i006",25],["i001",50000],["i004",1],["i015",1]]</v>
      </c>
      <c r="J144" s="3">
        <v>1</v>
      </c>
      <c r="K144" s="3">
        <v>1</v>
      </c>
      <c r="L144" s="3" t="str">
        <f t="shared" si="4"/>
        <v>2018/07/17&amp;00:00:00</v>
      </c>
      <c r="M144" s="13" t="str">
        <f t="shared" si="5"/>
        <v>2018/07/17&amp;23:59:59</v>
      </c>
      <c r="N144" s="3">
        <v>1</v>
      </c>
      <c r="O144" s="3">
        <v>1</v>
      </c>
      <c r="P144" s="3">
        <v>0</v>
      </c>
      <c r="Q144" s="5">
        <f>VLOOKUP(表1[[#This Row],[名称]],[1]!表1[#Data],18,FALSE)*10</f>
        <v>1.9</v>
      </c>
      <c r="R144" s="11" t="s">
        <v>59</v>
      </c>
      <c r="S144" s="15" t="s">
        <v>69</v>
      </c>
    </row>
    <row r="145" spans="1:19" x14ac:dyDescent="0.15">
      <c r="A145" s="3">
        <v>10140</v>
      </c>
      <c r="B145" s="5">
        <f>VLOOKUP(表1[[#This Row],[名称]],[1]!表1[#Data],3,FALSE)</f>
        <v>9055</v>
      </c>
      <c r="C145" s="5">
        <f>VLOOKUP(表1[[#This Row],[名称]],[1]!表1[#Data],4,FALSE)</f>
        <v>9476</v>
      </c>
      <c r="D145" s="5" t="str">
        <f>"gift_"&amp;表1[[#This Row],[价格]]</f>
        <v>gift_6</v>
      </c>
      <c r="E145" s="5">
        <f>VLOOKUP(表1[[#This Row],[iOS]],description!$G$1:$H$5,2,FALSE)</f>
        <v>3901</v>
      </c>
      <c r="F145" s="3" t="s">
        <v>40</v>
      </c>
      <c r="G145" s="3" t="str">
        <f>"[[""r000"","&amp;表1[[#This Row],[价格]]&amp;"]]"</f>
        <v>[["r000",6]]</v>
      </c>
      <c r="H145" s="12">
        <f>VLOOKUP(表1[[#This Row],[名称]],[1]!表1[#Data],5,FALSE)</f>
        <v>6</v>
      </c>
      <c r="I145" s="5" t="str">
        <f>VLOOKUP(表1[[#This Row],[名称]],[1]!表1[#Data],19,FALSE)</f>
        <v>[["i006",25],["i001",50000],["i004",1],["i015",1]]</v>
      </c>
      <c r="J145" s="3">
        <v>1</v>
      </c>
      <c r="K145" s="3">
        <v>1</v>
      </c>
      <c r="L145" s="3" t="str">
        <f t="shared" si="4"/>
        <v>2018/07/18&amp;00:00:00</v>
      </c>
      <c r="M145" s="13" t="str">
        <f t="shared" si="5"/>
        <v>2018/07/18&amp;23:59:59</v>
      </c>
      <c r="N145" s="3">
        <v>1</v>
      </c>
      <c r="O145" s="3">
        <v>1</v>
      </c>
      <c r="P145" s="3">
        <v>0</v>
      </c>
      <c r="Q145" s="5">
        <f>VLOOKUP(表1[[#This Row],[名称]],[1]!表1[#Data],18,FALSE)*10</f>
        <v>1.9</v>
      </c>
      <c r="R145" s="11" t="s">
        <v>59</v>
      </c>
      <c r="S145" s="15" t="s">
        <v>69</v>
      </c>
    </row>
    <row r="146" spans="1:19" x14ac:dyDescent="0.15">
      <c r="A146" s="3">
        <v>10141</v>
      </c>
      <c r="B146" s="5">
        <f>VLOOKUP(表1[[#This Row],[名称]],[1]!表1[#Data],3,FALSE)</f>
        <v>9055</v>
      </c>
      <c r="C146" s="5">
        <f>VLOOKUP(表1[[#This Row],[名称]],[1]!表1[#Data],4,FALSE)</f>
        <v>9476</v>
      </c>
      <c r="D146" s="5" t="str">
        <f>"gift_"&amp;表1[[#This Row],[价格]]</f>
        <v>gift_6</v>
      </c>
      <c r="E146" s="5">
        <f>VLOOKUP(表1[[#This Row],[iOS]],description!$G$1:$H$5,2,FALSE)</f>
        <v>3901</v>
      </c>
      <c r="F146" s="3" t="s">
        <v>40</v>
      </c>
      <c r="G146" s="3" t="str">
        <f>"[[""r000"","&amp;表1[[#This Row],[价格]]&amp;"]]"</f>
        <v>[["r000",6]]</v>
      </c>
      <c r="H146" s="12">
        <f>VLOOKUP(表1[[#This Row],[名称]],[1]!表1[#Data],5,FALSE)</f>
        <v>6</v>
      </c>
      <c r="I146" s="5" t="str">
        <f>VLOOKUP(表1[[#This Row],[名称]],[1]!表1[#Data],19,FALSE)</f>
        <v>[["i215",10],["i002",50],["i004",1],["i240",20]]</v>
      </c>
      <c r="J146" s="3">
        <v>1</v>
      </c>
      <c r="K146" s="3">
        <v>1</v>
      </c>
      <c r="L146" s="3" t="str">
        <f t="shared" si="4"/>
        <v>2018/07/19&amp;00:00:00</v>
      </c>
      <c r="M146" s="13" t="str">
        <f t="shared" si="5"/>
        <v>2018/07/19&amp;23:59:59</v>
      </c>
      <c r="N146" s="3">
        <v>1</v>
      </c>
      <c r="O146" s="3">
        <v>1</v>
      </c>
      <c r="P146" s="3">
        <v>0</v>
      </c>
      <c r="Q146" s="5">
        <f>VLOOKUP(表1[[#This Row],[名称]],[1]!表1[#Data],18,FALSE)*10</f>
        <v>2.7</v>
      </c>
      <c r="R146" s="11" t="s">
        <v>58</v>
      </c>
      <c r="S146" s="15" t="s">
        <v>65</v>
      </c>
    </row>
    <row r="147" spans="1:19" x14ac:dyDescent="0.15">
      <c r="A147" s="3">
        <v>10142</v>
      </c>
      <c r="B147" s="5">
        <f>VLOOKUP(表1[[#This Row],[名称]],[1]!表1[#Data],3,FALSE)</f>
        <v>9075</v>
      </c>
      <c r="C147" s="5">
        <f>VLOOKUP(表1[[#This Row],[名称]],[1]!表1[#Data],4,FALSE)</f>
        <v>9496</v>
      </c>
      <c r="D147" s="5" t="str">
        <f>"gift_"&amp;表1[[#This Row],[价格]]</f>
        <v>gift_45</v>
      </c>
      <c r="E147" s="5">
        <f>VLOOKUP(表1[[#This Row],[iOS]],description!$G$1:$H$5,2,FALSE)</f>
        <v>3905</v>
      </c>
      <c r="F147" s="3" t="s">
        <v>40</v>
      </c>
      <c r="G147" s="3" t="str">
        <f>"[[""r000"","&amp;表1[[#This Row],[价格]]&amp;"]]"</f>
        <v>[["r000",45]]</v>
      </c>
      <c r="H147" s="12">
        <f>VLOOKUP(表1[[#This Row],[名称]],[1]!表1[#Data],5,FALSE)</f>
        <v>45</v>
      </c>
      <c r="I147" s="5" t="str">
        <f>VLOOKUP(表1[[#This Row],[名称]],[1]!表1[#Data],19,FALSE)</f>
        <v>[["i017",8],["i002",100],["i004",10],["i006",10]]</v>
      </c>
      <c r="J147" s="3">
        <v>1</v>
      </c>
      <c r="K147" s="3">
        <v>1</v>
      </c>
      <c r="L147" s="3" t="str">
        <f t="shared" si="4"/>
        <v>2018/07/20&amp;00:00:00</v>
      </c>
      <c r="M147" s="13" t="str">
        <f t="shared" si="5"/>
        <v>2018/07/20&amp;23:59:59</v>
      </c>
      <c r="N147" s="3">
        <v>1</v>
      </c>
      <c r="O147" s="3">
        <v>1</v>
      </c>
      <c r="P147" s="3">
        <v>0</v>
      </c>
      <c r="Q147" s="5">
        <f>VLOOKUP(表1[[#This Row],[名称]],[1]!表1[#Data],18,FALSE)*10</f>
        <v>1</v>
      </c>
      <c r="R147" s="11" t="s">
        <v>62</v>
      </c>
      <c r="S147" s="15" t="s">
        <v>74</v>
      </c>
    </row>
    <row r="148" spans="1:19" x14ac:dyDescent="0.15">
      <c r="A148" s="3">
        <v>10143</v>
      </c>
      <c r="B148" s="5">
        <f>VLOOKUP(表1[[#This Row],[名称]],[1]!表1[#Data],3,FALSE)</f>
        <v>9067</v>
      </c>
      <c r="C148" s="5">
        <f>VLOOKUP(表1[[#This Row],[名称]],[1]!表1[#Data],4,FALSE)</f>
        <v>9488</v>
      </c>
      <c r="D148" s="5" t="str">
        <f>"gift_"&amp;表1[[#This Row],[价格]]</f>
        <v>gift_30</v>
      </c>
      <c r="E148" s="5">
        <f>VLOOKUP(表1[[#This Row],[iOS]],description!$G$1:$H$5,2,FALSE)</f>
        <v>3904</v>
      </c>
      <c r="F148" s="3" t="s">
        <v>40</v>
      </c>
      <c r="G148" s="3" t="str">
        <f>"[[""r000"","&amp;表1[[#This Row],[价格]]&amp;"]]"</f>
        <v>[["r000",30]]</v>
      </c>
      <c r="H148" s="12">
        <f>VLOOKUP(表1[[#This Row],[名称]],[1]!表1[#Data],5,FALSE)</f>
        <v>30</v>
      </c>
      <c r="I148" s="5" t="str">
        <f>VLOOKUP(表1[[#This Row],[名称]],[1]!表1[#Data],19,FALSE)</f>
        <v>[["i001",400000],["i002",400],["i015",1],["i006",5]]</v>
      </c>
      <c r="J148" s="3">
        <v>1</v>
      </c>
      <c r="K148" s="3">
        <v>1</v>
      </c>
      <c r="L148" s="3" t="str">
        <f t="shared" si="4"/>
        <v>2018/07/21&amp;00:00:00</v>
      </c>
      <c r="M148" s="13" t="str">
        <f t="shared" si="5"/>
        <v>2018/07/21&amp;23:59:59</v>
      </c>
      <c r="N148" s="3">
        <v>1</v>
      </c>
      <c r="O148" s="3">
        <v>1</v>
      </c>
      <c r="P148" s="3">
        <v>0</v>
      </c>
      <c r="Q148" s="5">
        <f>VLOOKUP(表1[[#This Row],[名称]],[1]!表1[#Data],18,FALSE)*10</f>
        <v>3.8</v>
      </c>
      <c r="R148" s="3" t="s">
        <v>43</v>
      </c>
      <c r="S148" s="15" t="s">
        <v>73</v>
      </c>
    </row>
    <row r="149" spans="1:19" x14ac:dyDescent="0.15">
      <c r="A149" s="3">
        <v>10144</v>
      </c>
      <c r="B149" s="5">
        <f>VLOOKUP(表1[[#This Row],[名称]],[1]!表1[#Data],3,FALSE)</f>
        <v>9055</v>
      </c>
      <c r="C149" s="5">
        <f>VLOOKUP(表1[[#This Row],[名称]],[1]!表1[#Data],4,FALSE)</f>
        <v>9476</v>
      </c>
      <c r="D149" s="5" t="str">
        <f>"gift_"&amp;表1[[#This Row],[价格]]</f>
        <v>gift_6</v>
      </c>
      <c r="E149" s="5">
        <f>VLOOKUP(表1[[#This Row],[iOS]],description!$G$1:$H$5,2,FALSE)</f>
        <v>3901</v>
      </c>
      <c r="F149" s="3" t="s">
        <v>40</v>
      </c>
      <c r="G149" s="3" t="str">
        <f>"[[""r000"","&amp;表1[[#This Row],[价格]]&amp;"]]"</f>
        <v>[["r000",6]]</v>
      </c>
      <c r="H149" s="12">
        <f>VLOOKUP(表1[[#This Row],[名称]],[1]!表1[#Data],5,FALSE)</f>
        <v>6</v>
      </c>
      <c r="I149" s="5" t="str">
        <f>VLOOKUP(表1[[#This Row],[名称]],[1]!表1[#Data],19,FALSE)</f>
        <v>[["i400",20],["i002",50],["i015",1],["i220",2]]</v>
      </c>
      <c r="J149" s="3">
        <v>1</v>
      </c>
      <c r="K149" s="3">
        <v>1</v>
      </c>
      <c r="L149" s="3" t="str">
        <f t="shared" si="4"/>
        <v>2018/07/22&amp;00:00:00</v>
      </c>
      <c r="M149" s="13" t="str">
        <f t="shared" si="5"/>
        <v>2018/07/22&amp;23:59:59</v>
      </c>
      <c r="N149" s="3">
        <v>1</v>
      </c>
      <c r="O149" s="3">
        <v>1</v>
      </c>
      <c r="P149" s="3">
        <v>0</v>
      </c>
      <c r="Q149" s="5">
        <f>VLOOKUP(表1[[#This Row],[名称]],[1]!表1[#Data],18,FALSE)*10</f>
        <v>1.9</v>
      </c>
      <c r="R149" s="11" t="s">
        <v>57</v>
      </c>
      <c r="S149" s="15" t="s">
        <v>72</v>
      </c>
    </row>
    <row r="150" spans="1:19" x14ac:dyDescent="0.15">
      <c r="A150" s="3">
        <v>10145</v>
      </c>
      <c r="B150" s="5">
        <f>VLOOKUP(表1[[#This Row],[名称]],[1]!表1[#Data],3,FALSE)</f>
        <v>9072</v>
      </c>
      <c r="C150" s="5">
        <f>VLOOKUP(表1[[#This Row],[名称]],[1]!表1[#Data],4,FALSE)</f>
        <v>9493</v>
      </c>
      <c r="D150" s="5" t="str">
        <f>"gift_"&amp;表1[[#This Row],[价格]]</f>
        <v>gift_18</v>
      </c>
      <c r="E150" s="5">
        <f>VLOOKUP(表1[[#This Row],[iOS]],description!$G$1:$H$5,2,FALSE)</f>
        <v>3903</v>
      </c>
      <c r="F150" s="3" t="s">
        <v>40</v>
      </c>
      <c r="G150" s="3" t="str">
        <f>"[[""r000"","&amp;表1[[#This Row],[价格]]&amp;"]]"</f>
        <v>[["r000",18]]</v>
      </c>
      <c r="H150" s="12">
        <f>VLOOKUP(表1[[#This Row],[名称]],[1]!表1[#Data],5,FALSE)</f>
        <v>18</v>
      </c>
      <c r="I150" s="5" t="str">
        <f>VLOOKUP(表1[[#This Row],[名称]],[1]!表1[#Data],19,FALSE)</f>
        <v>[["i001",300000],["i002",300],["i015",1],["i400",2]]</v>
      </c>
      <c r="J150" s="3">
        <v>1</v>
      </c>
      <c r="K150" s="3">
        <v>1</v>
      </c>
      <c r="L150" s="3" t="str">
        <f t="shared" si="4"/>
        <v>2018/07/23&amp;00:00:00</v>
      </c>
      <c r="M150" s="13" t="str">
        <f t="shared" si="5"/>
        <v>2018/07/23&amp;23:59:59</v>
      </c>
      <c r="N150" s="3">
        <v>1</v>
      </c>
      <c r="O150" s="3">
        <v>1</v>
      </c>
      <c r="P150" s="3">
        <v>0</v>
      </c>
      <c r="Q150" s="5">
        <f>VLOOKUP(表1[[#This Row],[名称]],[1]!表1[#Data],18,FALSE)*10</f>
        <v>4</v>
      </c>
      <c r="R150" s="3" t="s">
        <v>42</v>
      </c>
      <c r="S150" s="15" t="s">
        <v>71</v>
      </c>
    </row>
    <row r="151" spans="1:19" x14ac:dyDescent="0.15">
      <c r="A151" s="3">
        <v>10146</v>
      </c>
      <c r="B151" s="5">
        <f>VLOOKUP(表1[[#This Row],[名称]],[1]!表1[#Data],3,FALSE)</f>
        <v>9056</v>
      </c>
      <c r="C151" s="5">
        <f>VLOOKUP(表1[[#This Row],[名称]],[1]!表1[#Data],4,FALSE)</f>
        <v>9477</v>
      </c>
      <c r="D151" s="5" t="str">
        <f>"gift_"&amp;表1[[#This Row],[价格]]</f>
        <v>gift_12</v>
      </c>
      <c r="E151" s="5">
        <f>VLOOKUP(表1[[#This Row],[iOS]],description!$G$1:$H$5,2,FALSE)</f>
        <v>3902</v>
      </c>
      <c r="F151" s="3" t="s">
        <v>40</v>
      </c>
      <c r="G151" s="3" t="str">
        <f>"[[""r000"","&amp;表1[[#This Row],[价格]]&amp;"]]"</f>
        <v>[["r000",12]]</v>
      </c>
      <c r="H151" s="12">
        <f>VLOOKUP(表1[[#This Row],[名称]],[1]!表1[#Data],5,FALSE)</f>
        <v>12</v>
      </c>
      <c r="I151" s="5" t="str">
        <f>VLOOKUP(表1[[#This Row],[名称]],[1]!表1[#Data],19,FALSE)</f>
        <v>[["i240",180],["i002",150],["i001",50000],["i220",5]]</v>
      </c>
      <c r="J151" s="3">
        <v>1</v>
      </c>
      <c r="K151" s="3">
        <v>1</v>
      </c>
      <c r="L151" s="3" t="str">
        <f t="shared" si="4"/>
        <v>2018/07/24&amp;00:00:00</v>
      </c>
      <c r="M151" s="13" t="str">
        <f t="shared" si="5"/>
        <v>2018/07/24&amp;23:59:59</v>
      </c>
      <c r="N151" s="3">
        <v>1</v>
      </c>
      <c r="O151" s="3">
        <v>1</v>
      </c>
      <c r="P151" s="3">
        <v>0</v>
      </c>
      <c r="Q151" s="5">
        <f>VLOOKUP(表1[[#This Row],[名称]],[1]!表1[#Data],18,FALSE)*10</f>
        <v>2.5</v>
      </c>
      <c r="R151" s="11" t="s">
        <v>56</v>
      </c>
      <c r="S151" s="15" t="s">
        <v>70</v>
      </c>
    </row>
    <row r="152" spans="1:19" x14ac:dyDescent="0.15">
      <c r="A152" s="3">
        <v>10147</v>
      </c>
      <c r="B152" s="5">
        <f>VLOOKUP(表1[[#This Row],[名称]],[1]!表1[#Data],3,FALSE)</f>
        <v>9055</v>
      </c>
      <c r="C152" s="5">
        <f>VLOOKUP(表1[[#This Row],[名称]],[1]!表1[#Data],4,FALSE)</f>
        <v>9476</v>
      </c>
      <c r="D152" s="5" t="str">
        <f>"gift_"&amp;表1[[#This Row],[价格]]</f>
        <v>gift_6</v>
      </c>
      <c r="E152" s="5">
        <f>VLOOKUP(表1[[#This Row],[iOS]],description!$G$1:$H$5,2,FALSE)</f>
        <v>3901</v>
      </c>
      <c r="F152" s="3" t="s">
        <v>40</v>
      </c>
      <c r="G152" s="3" t="str">
        <f>"[[""r000"","&amp;表1[[#This Row],[价格]]&amp;"]]"</f>
        <v>[["r000",6]]</v>
      </c>
      <c r="H152" s="12">
        <f>VLOOKUP(表1[[#This Row],[名称]],[1]!表1[#Data],5,FALSE)</f>
        <v>6</v>
      </c>
      <c r="I152" s="5" t="str">
        <f>VLOOKUP(表1[[#This Row],[名称]],[1]!表1[#Data],19,FALSE)</f>
        <v>[["i006",25],["i001",50000],["i004",1],["i015",1]]</v>
      </c>
      <c r="J152" s="3">
        <v>1</v>
      </c>
      <c r="K152" s="3">
        <v>1</v>
      </c>
      <c r="L152" s="3" t="str">
        <f t="shared" si="4"/>
        <v>2018/07/25&amp;00:00:00</v>
      </c>
      <c r="M152" s="13" t="str">
        <f t="shared" si="5"/>
        <v>2018/07/25&amp;23:59:59</v>
      </c>
      <c r="N152" s="3">
        <v>1</v>
      </c>
      <c r="O152" s="3">
        <v>1</v>
      </c>
      <c r="P152" s="3">
        <v>0</v>
      </c>
      <c r="Q152" s="5">
        <f>VLOOKUP(表1[[#This Row],[名称]],[1]!表1[#Data],18,FALSE)*10</f>
        <v>1.9</v>
      </c>
      <c r="R152" s="11" t="s">
        <v>59</v>
      </c>
      <c r="S152" s="15" t="s">
        <v>69</v>
      </c>
    </row>
    <row r="153" spans="1:19" x14ac:dyDescent="0.15">
      <c r="A153" s="3">
        <v>10148</v>
      </c>
      <c r="B153" s="5">
        <f>VLOOKUP(表1[[#This Row],[名称]],[1]!表1[#Data],3,FALSE)</f>
        <v>9055</v>
      </c>
      <c r="C153" s="5">
        <f>VLOOKUP(表1[[#This Row],[名称]],[1]!表1[#Data],4,FALSE)</f>
        <v>9476</v>
      </c>
      <c r="D153" s="5" t="str">
        <f>"gift_"&amp;表1[[#This Row],[价格]]</f>
        <v>gift_6</v>
      </c>
      <c r="E153" s="5">
        <f>VLOOKUP(表1[[#This Row],[iOS]],description!$G$1:$H$5,2,FALSE)</f>
        <v>3901</v>
      </c>
      <c r="F153" s="3" t="s">
        <v>40</v>
      </c>
      <c r="G153" s="3" t="str">
        <f>"[[""r000"","&amp;表1[[#This Row],[价格]]&amp;"]]"</f>
        <v>[["r000",6]]</v>
      </c>
      <c r="H153" s="12">
        <f>VLOOKUP(表1[[#This Row],[名称]],[1]!表1[#Data],5,FALSE)</f>
        <v>6</v>
      </c>
      <c r="I153" s="5" t="str">
        <f>VLOOKUP(表1[[#This Row],[名称]],[1]!表1[#Data],19,FALSE)</f>
        <v>[["i011",50],["i001",100000],["i004",1],["i015",1]]</v>
      </c>
      <c r="J153" s="3">
        <v>1</v>
      </c>
      <c r="K153" s="3">
        <v>1</v>
      </c>
      <c r="L153" s="3" t="str">
        <f t="shared" si="4"/>
        <v>2018/07/26&amp;00:00:00</v>
      </c>
      <c r="M153" s="13" t="str">
        <f t="shared" si="5"/>
        <v>2018/07/26&amp;23:59:59</v>
      </c>
      <c r="N153" s="3">
        <v>1</v>
      </c>
      <c r="O153" s="3">
        <v>1</v>
      </c>
      <c r="P153" s="3">
        <v>0</v>
      </c>
      <c r="Q153" s="5">
        <f>VLOOKUP(表1[[#This Row],[名称]],[1]!表1[#Data],18,FALSE)*10</f>
        <v>2.4</v>
      </c>
      <c r="R153" s="11" t="s">
        <v>60</v>
      </c>
      <c r="S153" s="15" t="s">
        <v>68</v>
      </c>
    </row>
    <row r="154" spans="1:19" x14ac:dyDescent="0.15">
      <c r="A154" s="3">
        <v>10149</v>
      </c>
      <c r="B154" s="5">
        <f>VLOOKUP(表1[[#This Row],[名称]],[1]!表1[#Data],3,FALSE)</f>
        <v>9072</v>
      </c>
      <c r="C154" s="5">
        <f>VLOOKUP(表1[[#This Row],[名称]],[1]!表1[#Data],4,FALSE)</f>
        <v>9493</v>
      </c>
      <c r="D154" s="5" t="str">
        <f>"gift_"&amp;表1[[#This Row],[价格]]</f>
        <v>gift_18</v>
      </c>
      <c r="E154" s="5">
        <f>VLOOKUP(表1[[#This Row],[iOS]],description!$G$1:$H$5,2,FALSE)</f>
        <v>3903</v>
      </c>
      <c r="F154" s="3" t="s">
        <v>40</v>
      </c>
      <c r="G154" s="3" t="str">
        <f>"[[""r000"","&amp;表1[[#This Row],[价格]]&amp;"]]"</f>
        <v>[["r000",18]]</v>
      </c>
      <c r="H154" s="12">
        <f>VLOOKUP(表1[[#This Row],[名称]],[1]!表1[#Data],5,FALSE)</f>
        <v>18</v>
      </c>
      <c r="I154" s="5" t="str">
        <f>VLOOKUP(表1[[#This Row],[名称]],[1]!表1[#Data],19,FALSE)</f>
        <v>[["i016",10],["i001",50000],["i400",5],["i004",5]]</v>
      </c>
      <c r="J154" s="3">
        <v>1</v>
      </c>
      <c r="K154" s="3">
        <v>1</v>
      </c>
      <c r="L154" s="3" t="str">
        <f t="shared" si="4"/>
        <v>2018/07/27&amp;00:00:00</v>
      </c>
      <c r="M154" s="13" t="str">
        <f t="shared" si="5"/>
        <v>2018/07/27&amp;23:59:59</v>
      </c>
      <c r="N154" s="3">
        <v>1</v>
      </c>
      <c r="O154" s="3">
        <v>1</v>
      </c>
      <c r="P154" s="3">
        <v>0</v>
      </c>
      <c r="Q154" s="5">
        <f>VLOOKUP(表1[[#This Row],[名称]],[1]!表1[#Data],18,FALSE)*10</f>
        <v>1.5</v>
      </c>
      <c r="R154" s="11" t="s">
        <v>61</v>
      </c>
      <c r="S154" s="15" t="s">
        <v>67</v>
      </c>
    </row>
    <row r="155" spans="1:19" x14ac:dyDescent="0.15">
      <c r="A155" s="3">
        <v>10150</v>
      </c>
      <c r="B155" s="5">
        <f>VLOOKUP(表1[[#This Row],[名称]],[1]!表1[#Data],3,FALSE)</f>
        <v>9056</v>
      </c>
      <c r="C155" s="5">
        <f>VLOOKUP(表1[[#This Row],[名称]],[1]!表1[#Data],4,FALSE)</f>
        <v>9477</v>
      </c>
      <c r="D155" s="5" t="str">
        <f>"gift_"&amp;表1[[#This Row],[价格]]</f>
        <v>gift_12</v>
      </c>
      <c r="E155" s="5">
        <f>VLOOKUP(表1[[#This Row],[iOS]],description!$G$1:$H$5,2,FALSE)</f>
        <v>3902</v>
      </c>
      <c r="F155" s="3" t="s">
        <v>40</v>
      </c>
      <c r="G155" s="3" t="str">
        <f>"[[""r000"","&amp;表1[[#This Row],[价格]]&amp;"]]"</f>
        <v>[["r000",12]]</v>
      </c>
      <c r="H155" s="12">
        <f>VLOOKUP(表1[[#This Row],[名称]],[1]!表1[#Data],5,FALSE)</f>
        <v>12</v>
      </c>
      <c r="I155" s="5" t="str">
        <f>VLOOKUP(表1[[#This Row],[名称]],[1]!表1[#Data],19,FALSE)</f>
        <v>[["i001",200000],["i002",200],["i400",2],["i220",10]]</v>
      </c>
      <c r="J155" s="3">
        <v>1</v>
      </c>
      <c r="K155" s="3">
        <v>1</v>
      </c>
      <c r="L155" s="3" t="str">
        <f t="shared" si="4"/>
        <v>2018/07/28&amp;00:00:00</v>
      </c>
      <c r="M155" s="13" t="str">
        <f t="shared" si="5"/>
        <v>2018/07/28&amp;23:59:59</v>
      </c>
      <c r="N155" s="3">
        <v>1</v>
      </c>
      <c r="O155" s="3">
        <v>1</v>
      </c>
      <c r="P155" s="3">
        <v>0</v>
      </c>
      <c r="Q155" s="5">
        <f>VLOOKUP(表1[[#This Row],[名称]],[1]!表1[#Data],18,FALSE)*10</f>
        <v>3.8</v>
      </c>
      <c r="R155" s="3" t="s">
        <v>41</v>
      </c>
      <c r="S155" s="15" t="s">
        <v>66</v>
      </c>
    </row>
    <row r="156" spans="1:19" x14ac:dyDescent="0.15">
      <c r="A156" s="3">
        <v>10151</v>
      </c>
      <c r="B156" s="5">
        <f>VLOOKUP(表1[[#This Row],[名称]],[1]!表1[#Data],3,FALSE)</f>
        <v>9055</v>
      </c>
      <c r="C156" s="5">
        <f>VLOOKUP(表1[[#This Row],[名称]],[1]!表1[#Data],4,FALSE)</f>
        <v>9476</v>
      </c>
      <c r="D156" s="5" t="str">
        <f>"gift_"&amp;表1[[#This Row],[价格]]</f>
        <v>gift_6</v>
      </c>
      <c r="E156" s="5">
        <f>VLOOKUP(表1[[#This Row],[iOS]],description!$G$1:$H$5,2,FALSE)</f>
        <v>3901</v>
      </c>
      <c r="F156" s="3" t="s">
        <v>40</v>
      </c>
      <c r="G156" s="3" t="str">
        <f>"[[""r000"","&amp;表1[[#This Row],[价格]]&amp;"]]"</f>
        <v>[["r000",6]]</v>
      </c>
      <c r="H156" s="12">
        <f>VLOOKUP(表1[[#This Row],[名称]],[1]!表1[#Data],5,FALSE)</f>
        <v>6</v>
      </c>
      <c r="I156" s="5" t="str">
        <f>VLOOKUP(表1[[#This Row],[名称]],[1]!表1[#Data],19,FALSE)</f>
        <v>[["i215",10],["i002",50],["i004",1],["i240",20]]</v>
      </c>
      <c r="J156" s="3">
        <v>1</v>
      </c>
      <c r="K156" s="3">
        <v>1</v>
      </c>
      <c r="L156" s="3" t="str">
        <f t="shared" si="4"/>
        <v>2018/07/29&amp;00:00:00</v>
      </c>
      <c r="M156" s="13" t="str">
        <f t="shared" si="5"/>
        <v>2018/07/29&amp;23:59:59</v>
      </c>
      <c r="N156" s="3">
        <v>1</v>
      </c>
      <c r="O156" s="3">
        <v>1</v>
      </c>
      <c r="P156" s="3">
        <v>0</v>
      </c>
      <c r="Q156" s="5">
        <f>VLOOKUP(表1[[#This Row],[名称]],[1]!表1[#Data],18,FALSE)*10</f>
        <v>2.7</v>
      </c>
      <c r="R156" s="11" t="s">
        <v>58</v>
      </c>
      <c r="S156" s="15" t="s">
        <v>65</v>
      </c>
    </row>
    <row r="157" spans="1:19" x14ac:dyDescent="0.15">
      <c r="A157" s="3">
        <v>10152</v>
      </c>
      <c r="B157" s="5">
        <f>VLOOKUP(表1[[#This Row],[名称]],[1]!表1[#Data],3,FALSE)</f>
        <v>9056</v>
      </c>
      <c r="C157" s="5">
        <f>VLOOKUP(表1[[#This Row],[名称]],[1]!表1[#Data],4,FALSE)</f>
        <v>9477</v>
      </c>
      <c r="D157" s="5" t="str">
        <f>"gift_"&amp;表1[[#This Row],[价格]]</f>
        <v>gift_12</v>
      </c>
      <c r="E157" s="5">
        <f>VLOOKUP(表1[[#This Row],[iOS]],description!$G$1:$H$5,2,FALSE)</f>
        <v>3902</v>
      </c>
      <c r="F157" s="3" t="s">
        <v>40</v>
      </c>
      <c r="G157" s="3" t="str">
        <f>"[[""r000"","&amp;表1[[#This Row],[价格]]&amp;"]]"</f>
        <v>[["r000",12]]</v>
      </c>
      <c r="H157" s="12">
        <f>VLOOKUP(表1[[#This Row],[名称]],[1]!表1[#Data],5,FALSE)</f>
        <v>12</v>
      </c>
      <c r="I157" s="5" t="str">
        <f>VLOOKUP(表1[[#This Row],[名称]],[1]!表1[#Data],19,FALSE)</f>
        <v>[["i015",8],["i002",100],["i400",2],["i220",2]]</v>
      </c>
      <c r="J157" s="3">
        <v>1</v>
      </c>
      <c r="K157" s="3">
        <v>1</v>
      </c>
      <c r="L157" s="3" t="str">
        <f t="shared" si="4"/>
        <v>2018/07/30&amp;00:00:00</v>
      </c>
      <c r="M157" s="13" t="str">
        <f t="shared" si="5"/>
        <v>2018/07/30&amp;23:59:59</v>
      </c>
      <c r="N157" s="3">
        <v>1</v>
      </c>
      <c r="O157" s="3">
        <v>1</v>
      </c>
      <c r="P157" s="3">
        <v>0</v>
      </c>
      <c r="Q157" s="5">
        <f>VLOOKUP(表1[[#This Row],[名称]],[1]!表1[#Data],18,FALSE)*10</f>
        <v>3</v>
      </c>
      <c r="R157" s="11" t="s">
        <v>55</v>
      </c>
      <c r="S157" s="15" t="s">
        <v>64</v>
      </c>
    </row>
    <row r="158" spans="1:19" x14ac:dyDescent="0.15">
      <c r="A158" s="3">
        <v>10153</v>
      </c>
      <c r="B158" s="5">
        <f>VLOOKUP(表1[[#This Row],[名称]],[1]!表1[#Data],3,FALSE)</f>
        <v>9055</v>
      </c>
      <c r="C158" s="5">
        <f>VLOOKUP(表1[[#This Row],[名称]],[1]!表1[#Data],4,FALSE)</f>
        <v>9476</v>
      </c>
      <c r="D158" s="5" t="str">
        <f>"gift_"&amp;表1[[#This Row],[价格]]</f>
        <v>gift_6</v>
      </c>
      <c r="E158" s="5">
        <f>VLOOKUP(表1[[#This Row],[iOS]],description!$G$1:$H$5,2,FALSE)</f>
        <v>3901</v>
      </c>
      <c r="F158" s="3" t="s">
        <v>40</v>
      </c>
      <c r="G158" s="3" t="str">
        <f>"[[""r000"","&amp;表1[[#This Row],[价格]]&amp;"]]"</f>
        <v>[["r000",6]]</v>
      </c>
      <c r="H158" s="12">
        <f>VLOOKUP(表1[[#This Row],[名称]],[1]!表1[#Data],5,FALSE)</f>
        <v>6</v>
      </c>
      <c r="I158" s="5" t="str">
        <f>VLOOKUP(表1[[#This Row],[名称]],[1]!表1[#Data],19,FALSE)</f>
        <v>[["i001",100000],["i002",100],["i400",1],["i220",5]]</v>
      </c>
      <c r="J158" s="3">
        <v>1</v>
      </c>
      <c r="K158" s="3">
        <v>1</v>
      </c>
      <c r="L158" s="3" t="str">
        <f t="shared" si="4"/>
        <v>2018/07/31&amp;00:00:00</v>
      </c>
      <c r="M158" s="13" t="str">
        <f t="shared" si="5"/>
        <v>2018/07/31&amp;23:59:59</v>
      </c>
      <c r="N158" s="3">
        <v>1</v>
      </c>
      <c r="O158" s="3">
        <v>1</v>
      </c>
      <c r="P158" s="3">
        <v>0</v>
      </c>
      <c r="Q158" s="5">
        <f>VLOOKUP(表1[[#This Row],[名称]],[1]!表1[#Data],18,FALSE)*10</f>
        <v>3.5999999999999996</v>
      </c>
      <c r="R158" s="3" t="s">
        <v>39</v>
      </c>
      <c r="S158" s="15" t="s">
        <v>63</v>
      </c>
    </row>
    <row r="159" spans="1:19" x14ac:dyDescent="0.15">
      <c r="A159" s="3">
        <v>10154</v>
      </c>
      <c r="B159" s="5">
        <f>VLOOKUP(表1[[#This Row],[名称]],[1]!表1[#Data],3,FALSE)</f>
        <v>9075</v>
      </c>
      <c r="C159" s="5">
        <f>VLOOKUP(表1[[#This Row],[名称]],[1]!表1[#Data],4,FALSE)</f>
        <v>9496</v>
      </c>
      <c r="D159" s="5" t="str">
        <f>"gift_"&amp;表1[[#This Row],[价格]]</f>
        <v>gift_45</v>
      </c>
      <c r="E159" s="5">
        <f>VLOOKUP(表1[[#This Row],[iOS]],description!$G$1:$H$5,2,FALSE)</f>
        <v>3905</v>
      </c>
      <c r="F159" s="3" t="s">
        <v>40</v>
      </c>
      <c r="G159" s="3" t="str">
        <f>"[[""r000"","&amp;表1[[#This Row],[价格]]&amp;"]]"</f>
        <v>[["r000",45]]</v>
      </c>
      <c r="H159" s="12">
        <f>VLOOKUP(表1[[#This Row],[名称]],[1]!表1[#Data],5,FALSE)</f>
        <v>45</v>
      </c>
      <c r="I159" s="5" t="str">
        <f>VLOOKUP(表1[[#This Row],[名称]],[1]!表1[#Data],19,FALSE)</f>
        <v>[["i001",500000],["i002",500],["i015",1],["i004",4]]</v>
      </c>
      <c r="J159" s="3">
        <v>1</v>
      </c>
      <c r="K159" s="3">
        <v>1</v>
      </c>
      <c r="L159" s="3" t="str">
        <f t="shared" si="4"/>
        <v>2018/08/01&amp;00:00:00</v>
      </c>
      <c r="M159" s="13" t="str">
        <f t="shared" si="5"/>
        <v>2018/08/01&amp;23:59:59</v>
      </c>
      <c r="N159" s="3">
        <v>1</v>
      </c>
      <c r="O159" s="3">
        <v>1</v>
      </c>
      <c r="P159" s="3">
        <v>0</v>
      </c>
      <c r="Q159" s="5">
        <f>VLOOKUP(表1[[#This Row],[名称]],[1]!表1[#Data],18,FALSE)*10</f>
        <v>3.8</v>
      </c>
      <c r="R159" s="3" t="s">
        <v>44</v>
      </c>
      <c r="S159" s="15" t="s">
        <v>75</v>
      </c>
    </row>
    <row r="160" spans="1:19" x14ac:dyDescent="0.15">
      <c r="A160" s="3">
        <v>10155</v>
      </c>
      <c r="B160" s="5">
        <f>VLOOKUP(表1[[#This Row],[名称]],[1]!表1[#Data],3,FALSE)</f>
        <v>9055</v>
      </c>
      <c r="C160" s="5">
        <f>VLOOKUP(表1[[#This Row],[名称]],[1]!表1[#Data],4,FALSE)</f>
        <v>9476</v>
      </c>
      <c r="D160" s="5" t="str">
        <f>"gift_"&amp;表1[[#This Row],[价格]]</f>
        <v>gift_6</v>
      </c>
      <c r="E160" s="5">
        <f>VLOOKUP(表1[[#This Row],[iOS]],description!$G$1:$H$5,2,FALSE)</f>
        <v>3901</v>
      </c>
      <c r="F160" s="3" t="s">
        <v>40</v>
      </c>
      <c r="G160" s="3" t="str">
        <f>"[[""r000"","&amp;表1[[#This Row],[价格]]&amp;"]]"</f>
        <v>[["r000",6]]</v>
      </c>
      <c r="H160" s="14">
        <f>VLOOKUP(表1[[#This Row],[名称]],[1]!表1[#Data],5,FALSE)</f>
        <v>6</v>
      </c>
      <c r="I160" s="5" t="str">
        <f>VLOOKUP(表1[[#This Row],[名称]],[1]!表1[#Data],19,FALSE)</f>
        <v>[["i215",10],["i002",50],["i004",1],["i240",20]]</v>
      </c>
      <c r="J160" s="3">
        <v>1</v>
      </c>
      <c r="K160" s="3">
        <v>1</v>
      </c>
      <c r="L160" s="3" t="str">
        <f t="shared" si="4"/>
        <v>2018/08/02&amp;00:00:00</v>
      </c>
      <c r="M160" s="13" t="str">
        <f t="shared" si="5"/>
        <v>2018/08/02&amp;23:59:59</v>
      </c>
      <c r="N160" s="3">
        <v>1</v>
      </c>
      <c r="O160" s="3">
        <v>1</v>
      </c>
      <c r="P160" s="3">
        <v>0</v>
      </c>
      <c r="Q160" s="5">
        <f>VLOOKUP(表1[[#This Row],[名称]],[1]!表1[#Data],18,FALSE)*10</f>
        <v>2.7</v>
      </c>
      <c r="R160" s="11" t="s">
        <v>58</v>
      </c>
      <c r="S160" s="15" t="s">
        <v>65</v>
      </c>
    </row>
    <row r="161" spans="1:19" x14ac:dyDescent="0.15">
      <c r="A161" s="3">
        <v>10156</v>
      </c>
      <c r="B161" s="5">
        <f>VLOOKUP(表1[[#This Row],[名称]],[1]!表1[#Data],3,FALSE)</f>
        <v>9075</v>
      </c>
      <c r="C161" s="5">
        <f>VLOOKUP(表1[[#This Row],[名称]],[1]!表1[#Data],4,FALSE)</f>
        <v>9496</v>
      </c>
      <c r="D161" s="5" t="str">
        <f>"gift_"&amp;表1[[#This Row],[价格]]</f>
        <v>gift_45</v>
      </c>
      <c r="E161" s="5">
        <f>VLOOKUP(表1[[#This Row],[iOS]],description!$G$1:$H$5,2,FALSE)</f>
        <v>3905</v>
      </c>
      <c r="F161" s="3" t="s">
        <v>40</v>
      </c>
      <c r="G161" s="3" t="str">
        <f>"[[""r000"","&amp;表1[[#This Row],[价格]]&amp;"]]"</f>
        <v>[["r000",45]]</v>
      </c>
      <c r="H161" s="14">
        <f>VLOOKUP(表1[[#This Row],[名称]],[1]!表1[#Data],5,FALSE)</f>
        <v>45</v>
      </c>
      <c r="I161" s="5" t="str">
        <f>VLOOKUP(表1[[#This Row],[名称]],[1]!表1[#Data],19,FALSE)</f>
        <v>[["i017",8],["i002",100],["i004",10],["i006",10]]</v>
      </c>
      <c r="J161" s="3">
        <v>1</v>
      </c>
      <c r="K161" s="3">
        <v>1</v>
      </c>
      <c r="L161" s="3" t="str">
        <f t="shared" si="4"/>
        <v>2018/08/03&amp;00:00:00</v>
      </c>
      <c r="M161" s="13" t="str">
        <f t="shared" si="5"/>
        <v>2018/08/03&amp;23:59:59</v>
      </c>
      <c r="N161" s="3">
        <v>1</v>
      </c>
      <c r="O161" s="3">
        <v>1</v>
      </c>
      <c r="P161" s="3">
        <v>0</v>
      </c>
      <c r="Q161" s="5">
        <f>VLOOKUP(表1[[#This Row],[名称]],[1]!表1[#Data],18,FALSE)*10</f>
        <v>1</v>
      </c>
      <c r="R161" s="11" t="s">
        <v>62</v>
      </c>
      <c r="S161" s="15" t="s">
        <v>74</v>
      </c>
    </row>
    <row r="162" spans="1:19" x14ac:dyDescent="0.15">
      <c r="A162" s="3">
        <v>10157</v>
      </c>
      <c r="B162" s="5">
        <f>VLOOKUP(表1[[#This Row],[名称]],[1]!表1[#Data],3,FALSE)</f>
        <v>9067</v>
      </c>
      <c r="C162" s="5">
        <f>VLOOKUP(表1[[#This Row],[名称]],[1]!表1[#Data],4,FALSE)</f>
        <v>9488</v>
      </c>
      <c r="D162" s="5" t="str">
        <f>"gift_"&amp;表1[[#This Row],[价格]]</f>
        <v>gift_30</v>
      </c>
      <c r="E162" s="5">
        <f>VLOOKUP(表1[[#This Row],[iOS]],description!$G$1:$H$5,2,FALSE)</f>
        <v>3904</v>
      </c>
      <c r="F162" s="3" t="s">
        <v>40</v>
      </c>
      <c r="G162" s="3" t="str">
        <f>"[[""r000"","&amp;表1[[#This Row],[价格]]&amp;"]]"</f>
        <v>[["r000",30]]</v>
      </c>
      <c r="H162" s="14">
        <f>VLOOKUP(表1[[#This Row],[名称]],[1]!表1[#Data],5,FALSE)</f>
        <v>30</v>
      </c>
      <c r="I162" s="5" t="str">
        <f>VLOOKUP(表1[[#This Row],[名称]],[1]!表1[#Data],19,FALSE)</f>
        <v>[["i001",400000],["i002",400],["i015",1],["i006",5]]</v>
      </c>
      <c r="J162" s="3">
        <v>1</v>
      </c>
      <c r="K162" s="3">
        <v>1</v>
      </c>
      <c r="L162" s="3" t="str">
        <f t="shared" si="4"/>
        <v>2018/08/04&amp;00:00:00</v>
      </c>
      <c r="M162" s="13" t="str">
        <f t="shared" si="5"/>
        <v>2018/08/04&amp;23:59:59</v>
      </c>
      <c r="N162" s="3">
        <v>1</v>
      </c>
      <c r="O162" s="3">
        <v>1</v>
      </c>
      <c r="P162" s="3">
        <v>0</v>
      </c>
      <c r="Q162" s="5">
        <f>VLOOKUP(表1[[#This Row],[名称]],[1]!表1[#Data],18,FALSE)*10</f>
        <v>3.8</v>
      </c>
      <c r="R162" s="3" t="s">
        <v>43</v>
      </c>
      <c r="S162" s="15" t="s">
        <v>73</v>
      </c>
    </row>
    <row r="163" spans="1:19" x14ac:dyDescent="0.15">
      <c r="A163" s="3">
        <v>10158</v>
      </c>
      <c r="B163" s="5">
        <f>VLOOKUP(表1[[#This Row],[名称]],[1]!表1[#Data],3,FALSE)</f>
        <v>9055</v>
      </c>
      <c r="C163" s="5">
        <f>VLOOKUP(表1[[#This Row],[名称]],[1]!表1[#Data],4,FALSE)</f>
        <v>9476</v>
      </c>
      <c r="D163" s="5" t="str">
        <f>"gift_"&amp;表1[[#This Row],[价格]]</f>
        <v>gift_6</v>
      </c>
      <c r="E163" s="5">
        <f>VLOOKUP(表1[[#This Row],[iOS]],description!$G$1:$H$5,2,FALSE)</f>
        <v>3901</v>
      </c>
      <c r="F163" s="3" t="s">
        <v>40</v>
      </c>
      <c r="G163" s="3" t="str">
        <f>"[[""r000"","&amp;表1[[#This Row],[价格]]&amp;"]]"</f>
        <v>[["r000",6]]</v>
      </c>
      <c r="H163" s="14">
        <f>VLOOKUP(表1[[#This Row],[名称]],[1]!表1[#Data],5,FALSE)</f>
        <v>6</v>
      </c>
      <c r="I163" s="5" t="str">
        <f>VLOOKUP(表1[[#This Row],[名称]],[1]!表1[#Data],19,FALSE)</f>
        <v>[["i400",20],["i002",50],["i015",1],["i220",2]]</v>
      </c>
      <c r="J163" s="3">
        <v>1</v>
      </c>
      <c r="K163" s="3">
        <v>1</v>
      </c>
      <c r="L163" s="3" t="str">
        <f t="shared" si="4"/>
        <v>2018/08/05&amp;00:00:00</v>
      </c>
      <c r="M163" s="13" t="str">
        <f t="shared" si="5"/>
        <v>2018/08/05&amp;23:59:59</v>
      </c>
      <c r="N163" s="3">
        <v>1</v>
      </c>
      <c r="O163" s="3">
        <v>1</v>
      </c>
      <c r="P163" s="3">
        <v>0</v>
      </c>
      <c r="Q163" s="5">
        <f>VLOOKUP(表1[[#This Row],[名称]],[1]!表1[#Data],18,FALSE)*10</f>
        <v>1.9</v>
      </c>
      <c r="R163" s="11" t="s">
        <v>57</v>
      </c>
      <c r="S163" s="15" t="s">
        <v>72</v>
      </c>
    </row>
    <row r="164" spans="1:19" x14ac:dyDescent="0.15">
      <c r="A164" s="3">
        <v>10159</v>
      </c>
      <c r="B164" s="5">
        <f>VLOOKUP(表1[[#This Row],[名称]],[1]!表1[#Data],3,FALSE)</f>
        <v>9072</v>
      </c>
      <c r="C164" s="5">
        <f>VLOOKUP(表1[[#This Row],[名称]],[1]!表1[#Data],4,FALSE)</f>
        <v>9493</v>
      </c>
      <c r="D164" s="5" t="str">
        <f>"gift_"&amp;表1[[#This Row],[价格]]</f>
        <v>gift_18</v>
      </c>
      <c r="E164" s="5">
        <f>VLOOKUP(表1[[#This Row],[iOS]],description!$G$1:$H$5,2,FALSE)</f>
        <v>3903</v>
      </c>
      <c r="F164" s="3" t="s">
        <v>40</v>
      </c>
      <c r="G164" s="3" t="str">
        <f>"[[""r000"","&amp;表1[[#This Row],[价格]]&amp;"]]"</f>
        <v>[["r000",18]]</v>
      </c>
      <c r="H164" s="14">
        <f>VLOOKUP(表1[[#This Row],[名称]],[1]!表1[#Data],5,FALSE)</f>
        <v>18</v>
      </c>
      <c r="I164" s="5" t="str">
        <f>VLOOKUP(表1[[#This Row],[名称]],[1]!表1[#Data],19,FALSE)</f>
        <v>[["i001",300000],["i002",300],["i015",1],["i400",2]]</v>
      </c>
      <c r="J164" s="3">
        <v>1</v>
      </c>
      <c r="K164" s="3">
        <v>1</v>
      </c>
      <c r="L164" s="3" t="str">
        <f t="shared" si="4"/>
        <v>2018/08/06&amp;00:00:00</v>
      </c>
      <c r="M164" s="13" t="str">
        <f t="shared" si="5"/>
        <v>2018/08/06&amp;23:59:59</v>
      </c>
      <c r="N164" s="3">
        <v>1</v>
      </c>
      <c r="O164" s="3">
        <v>1</v>
      </c>
      <c r="P164" s="3">
        <v>0</v>
      </c>
      <c r="Q164" s="5">
        <f>VLOOKUP(表1[[#This Row],[名称]],[1]!表1[#Data],18,FALSE)*10</f>
        <v>4</v>
      </c>
      <c r="R164" s="3" t="s">
        <v>42</v>
      </c>
      <c r="S164" s="15" t="s">
        <v>71</v>
      </c>
    </row>
    <row r="165" spans="1:19" x14ac:dyDescent="0.15">
      <c r="A165" s="3">
        <v>10160</v>
      </c>
      <c r="B165" s="5">
        <f>VLOOKUP(表1[[#This Row],[名称]],[1]!表1[#Data],3,FALSE)</f>
        <v>9056</v>
      </c>
      <c r="C165" s="5">
        <f>VLOOKUP(表1[[#This Row],[名称]],[1]!表1[#Data],4,FALSE)</f>
        <v>9477</v>
      </c>
      <c r="D165" s="5" t="str">
        <f>"gift_"&amp;表1[[#This Row],[价格]]</f>
        <v>gift_12</v>
      </c>
      <c r="E165" s="5">
        <f>VLOOKUP(表1[[#This Row],[iOS]],description!$G$1:$H$5,2,FALSE)</f>
        <v>3902</v>
      </c>
      <c r="F165" s="3" t="s">
        <v>40</v>
      </c>
      <c r="G165" s="3" t="str">
        <f>"[[""r000"","&amp;表1[[#This Row],[价格]]&amp;"]]"</f>
        <v>[["r000",12]]</v>
      </c>
      <c r="H165" s="14">
        <f>VLOOKUP(表1[[#This Row],[名称]],[1]!表1[#Data],5,FALSE)</f>
        <v>12</v>
      </c>
      <c r="I165" s="5" t="str">
        <f>VLOOKUP(表1[[#This Row],[名称]],[1]!表1[#Data],19,FALSE)</f>
        <v>[["i240",180],["i002",150],["i001",50000],["i220",5]]</v>
      </c>
      <c r="J165" s="3">
        <v>1</v>
      </c>
      <c r="K165" s="3">
        <v>1</v>
      </c>
      <c r="L165" s="3" t="str">
        <f t="shared" si="4"/>
        <v>2018/08/07&amp;00:00:00</v>
      </c>
      <c r="M165" s="13" t="str">
        <f t="shared" si="5"/>
        <v>2018/08/07&amp;23:59:59</v>
      </c>
      <c r="N165" s="3">
        <v>1</v>
      </c>
      <c r="O165" s="3">
        <v>1</v>
      </c>
      <c r="P165" s="3">
        <v>0</v>
      </c>
      <c r="Q165" s="5">
        <f>VLOOKUP(表1[[#This Row],[名称]],[1]!表1[#Data],18,FALSE)*10</f>
        <v>2.5</v>
      </c>
      <c r="R165" s="11" t="s">
        <v>56</v>
      </c>
      <c r="S165" s="15" t="s">
        <v>70</v>
      </c>
    </row>
    <row r="166" spans="1:19" x14ac:dyDescent="0.15">
      <c r="A166" s="3">
        <v>10161</v>
      </c>
      <c r="B166" s="5">
        <f>VLOOKUP(表1[[#This Row],[名称]],[1]!表1[#Data],3,FALSE)</f>
        <v>9055</v>
      </c>
      <c r="C166" s="5">
        <f>VLOOKUP(表1[[#This Row],[名称]],[1]!表1[#Data],4,FALSE)</f>
        <v>9476</v>
      </c>
      <c r="D166" s="5" t="str">
        <f>"gift_"&amp;表1[[#This Row],[价格]]</f>
        <v>gift_6</v>
      </c>
      <c r="E166" s="5">
        <f>VLOOKUP(表1[[#This Row],[iOS]],description!$G$1:$H$5,2,FALSE)</f>
        <v>3901</v>
      </c>
      <c r="F166" s="3" t="s">
        <v>40</v>
      </c>
      <c r="G166" s="3" t="str">
        <f>"[[""r000"","&amp;表1[[#This Row],[价格]]&amp;"]]"</f>
        <v>[["r000",6]]</v>
      </c>
      <c r="H166" s="13">
        <f>VLOOKUP(表1[[#This Row],[名称]],[1]!表1[#Data],5,FALSE)</f>
        <v>6</v>
      </c>
      <c r="I166" s="5" t="str">
        <f>VLOOKUP(表1[[#This Row],[名称]],[1]!表1[#Data],19,FALSE)</f>
        <v>[["i006",25],["i001",50000],["i004",1],["i015",1]]</v>
      </c>
      <c r="J166" s="3">
        <v>1</v>
      </c>
      <c r="K166" s="3">
        <v>1</v>
      </c>
      <c r="L166" s="3" t="str">
        <f t="shared" si="4"/>
        <v>2018/08/08&amp;00:00:00</v>
      </c>
      <c r="M166" s="13" t="str">
        <f t="shared" si="5"/>
        <v>2018/08/08&amp;23:59:59</v>
      </c>
      <c r="N166" s="3">
        <v>1</v>
      </c>
      <c r="O166" s="3">
        <v>1</v>
      </c>
      <c r="P166" s="3">
        <v>0</v>
      </c>
      <c r="Q166" s="5">
        <f>VLOOKUP(表1[[#This Row],[名称]],[1]!表1[#Data],18,FALSE)*10</f>
        <v>1.9</v>
      </c>
      <c r="R166" s="11" t="s">
        <v>59</v>
      </c>
      <c r="S166" s="15" t="s">
        <v>69</v>
      </c>
    </row>
    <row r="167" spans="1:19" x14ac:dyDescent="0.15">
      <c r="A167" s="3">
        <v>10162</v>
      </c>
      <c r="B167" s="5">
        <f>VLOOKUP(表1[[#This Row],[名称]],[1]!表1[#Data],3,FALSE)</f>
        <v>9055</v>
      </c>
      <c r="C167" s="5">
        <f>VLOOKUP(表1[[#This Row],[名称]],[1]!表1[#Data],4,FALSE)</f>
        <v>9476</v>
      </c>
      <c r="D167" s="5" t="str">
        <f>"gift_"&amp;表1[[#This Row],[价格]]</f>
        <v>gift_6</v>
      </c>
      <c r="E167" s="5">
        <f>VLOOKUP(表1[[#This Row],[iOS]],description!$G$1:$H$5,2,FALSE)</f>
        <v>3901</v>
      </c>
      <c r="F167" s="3" t="s">
        <v>40</v>
      </c>
      <c r="G167" s="3" t="str">
        <f>"[[""r000"","&amp;表1[[#This Row],[价格]]&amp;"]]"</f>
        <v>[["r000",6]]</v>
      </c>
      <c r="H167" s="13">
        <f>VLOOKUP(表1[[#This Row],[名称]],[1]!表1[#Data],5,FALSE)</f>
        <v>6</v>
      </c>
      <c r="I167" s="5" t="str">
        <f>VLOOKUP(表1[[#This Row],[名称]],[1]!表1[#Data],19,FALSE)</f>
        <v>[["i011",50],["i001",100000],["i004",1],["i015",1]]</v>
      </c>
      <c r="J167" s="3">
        <v>1</v>
      </c>
      <c r="K167" s="3">
        <v>1</v>
      </c>
      <c r="L167" s="3" t="str">
        <f t="shared" si="4"/>
        <v>2018/08/09&amp;00:00:00</v>
      </c>
      <c r="M167" s="13" t="str">
        <f t="shared" si="5"/>
        <v>2018/08/09&amp;23:59:59</v>
      </c>
      <c r="N167" s="3">
        <v>1</v>
      </c>
      <c r="O167" s="3">
        <v>1</v>
      </c>
      <c r="P167" s="3">
        <v>0</v>
      </c>
      <c r="Q167" s="5">
        <f>VLOOKUP(表1[[#This Row],[名称]],[1]!表1[#Data],18,FALSE)*10</f>
        <v>2.4</v>
      </c>
      <c r="R167" s="11" t="s">
        <v>60</v>
      </c>
      <c r="S167" s="15" t="s">
        <v>68</v>
      </c>
    </row>
    <row r="168" spans="1:19" x14ac:dyDescent="0.15">
      <c r="A168" s="3">
        <v>10163</v>
      </c>
      <c r="B168" s="5">
        <f>VLOOKUP(表1[[#This Row],[名称]],[1]!表1[#Data],3,FALSE)</f>
        <v>9072</v>
      </c>
      <c r="C168" s="5">
        <f>VLOOKUP(表1[[#This Row],[名称]],[1]!表1[#Data],4,FALSE)</f>
        <v>9493</v>
      </c>
      <c r="D168" s="5" t="str">
        <f>"gift_"&amp;表1[[#This Row],[价格]]</f>
        <v>gift_18</v>
      </c>
      <c r="E168" s="5">
        <f>VLOOKUP(表1[[#This Row],[iOS]],description!$G$1:$H$5,2,FALSE)</f>
        <v>3903</v>
      </c>
      <c r="F168" s="3" t="s">
        <v>40</v>
      </c>
      <c r="G168" s="3" t="str">
        <f>"[[""r000"","&amp;表1[[#This Row],[价格]]&amp;"]]"</f>
        <v>[["r000",18]]</v>
      </c>
      <c r="H168" s="13">
        <f>VLOOKUP(表1[[#This Row],[名称]],[1]!表1[#Data],5,FALSE)</f>
        <v>18</v>
      </c>
      <c r="I168" s="5" t="str">
        <f>VLOOKUP(表1[[#This Row],[名称]],[1]!表1[#Data],19,FALSE)</f>
        <v>[["i016",10],["i001",50000],["i400",5],["i004",5]]</v>
      </c>
      <c r="J168" s="3">
        <v>1</v>
      </c>
      <c r="K168" s="3">
        <v>1</v>
      </c>
      <c r="L168" s="3" t="str">
        <f t="shared" si="4"/>
        <v>2018/08/10&amp;00:00:00</v>
      </c>
      <c r="M168" s="13" t="str">
        <f t="shared" si="5"/>
        <v>2018/08/10&amp;23:59:59</v>
      </c>
      <c r="N168" s="3">
        <v>1</v>
      </c>
      <c r="O168" s="3">
        <v>1</v>
      </c>
      <c r="P168" s="3">
        <v>0</v>
      </c>
      <c r="Q168" s="5">
        <f>VLOOKUP(表1[[#This Row],[名称]],[1]!表1[#Data],18,FALSE)*10</f>
        <v>1.5</v>
      </c>
      <c r="R168" s="11" t="s">
        <v>61</v>
      </c>
      <c r="S168" s="15" t="s">
        <v>67</v>
      </c>
    </row>
    <row r="169" spans="1:19" x14ac:dyDescent="0.15">
      <c r="A169" s="3">
        <v>10164</v>
      </c>
      <c r="B169" s="5">
        <f>VLOOKUP(表1[[#This Row],[名称]],[1]!表1[#Data],3,FALSE)</f>
        <v>9056</v>
      </c>
      <c r="C169" s="5">
        <f>VLOOKUP(表1[[#This Row],[名称]],[1]!表1[#Data],4,FALSE)</f>
        <v>9477</v>
      </c>
      <c r="D169" s="5" t="str">
        <f>"gift_"&amp;表1[[#This Row],[价格]]</f>
        <v>gift_12</v>
      </c>
      <c r="E169" s="5">
        <f>VLOOKUP(表1[[#This Row],[iOS]],description!$G$1:$H$5,2,FALSE)</f>
        <v>3902</v>
      </c>
      <c r="F169" s="3" t="s">
        <v>40</v>
      </c>
      <c r="G169" s="3" t="str">
        <f>"[[""r000"","&amp;表1[[#This Row],[价格]]&amp;"]]"</f>
        <v>[["r000",12]]</v>
      </c>
      <c r="H169" s="13">
        <f>VLOOKUP(表1[[#This Row],[名称]],[1]!表1[#Data],5,FALSE)</f>
        <v>12</v>
      </c>
      <c r="I169" s="5" t="str">
        <f>VLOOKUP(表1[[#This Row],[名称]],[1]!表1[#Data],19,FALSE)</f>
        <v>[["i001",200000],["i002",200],["i400",2],["i220",10]]</v>
      </c>
      <c r="J169" s="3">
        <v>1</v>
      </c>
      <c r="K169" s="3">
        <v>1</v>
      </c>
      <c r="L169" s="3" t="str">
        <f t="shared" si="4"/>
        <v>2018/08/11&amp;00:00:00</v>
      </c>
      <c r="M169" s="13" t="str">
        <f t="shared" si="5"/>
        <v>2018/08/11&amp;23:59:59</v>
      </c>
      <c r="N169" s="3">
        <v>1</v>
      </c>
      <c r="O169" s="3">
        <v>1</v>
      </c>
      <c r="P169" s="3">
        <v>0</v>
      </c>
      <c r="Q169" s="5">
        <f>VLOOKUP(表1[[#This Row],[名称]],[1]!表1[#Data],18,FALSE)*10</f>
        <v>3.8</v>
      </c>
      <c r="R169" s="3" t="s">
        <v>41</v>
      </c>
      <c r="S169" s="15" t="s">
        <v>66</v>
      </c>
    </row>
    <row r="170" spans="1:19" x14ac:dyDescent="0.15">
      <c r="A170" s="3">
        <v>10165</v>
      </c>
      <c r="B170" s="5">
        <f>VLOOKUP(表1[[#This Row],[名称]],[1]!表1[#Data],3,FALSE)</f>
        <v>9055</v>
      </c>
      <c r="C170" s="5">
        <f>VLOOKUP(表1[[#This Row],[名称]],[1]!表1[#Data],4,FALSE)</f>
        <v>9476</v>
      </c>
      <c r="D170" s="5" t="str">
        <f>"gift_"&amp;表1[[#This Row],[价格]]</f>
        <v>gift_6</v>
      </c>
      <c r="E170" s="5">
        <f>VLOOKUP(表1[[#This Row],[iOS]],description!$G$1:$H$5,2,FALSE)</f>
        <v>3901</v>
      </c>
      <c r="F170" s="3" t="s">
        <v>40</v>
      </c>
      <c r="G170" s="3" t="str">
        <f>"[[""r000"","&amp;表1[[#This Row],[价格]]&amp;"]]"</f>
        <v>[["r000",6]]</v>
      </c>
      <c r="H170" s="13">
        <f>VLOOKUP(表1[[#This Row],[名称]],[1]!表1[#Data],5,FALSE)</f>
        <v>6</v>
      </c>
      <c r="I170" s="5" t="str">
        <f>VLOOKUP(表1[[#This Row],[名称]],[1]!表1[#Data],19,FALSE)</f>
        <v>[["i215",10],["i002",50],["i004",1],["i240",20]]</v>
      </c>
      <c r="J170" s="3">
        <v>1</v>
      </c>
      <c r="K170" s="3">
        <v>1</v>
      </c>
      <c r="L170" s="3" t="str">
        <f t="shared" si="4"/>
        <v>2018/08/12&amp;00:00:00</v>
      </c>
      <c r="M170" s="13" t="str">
        <f t="shared" si="5"/>
        <v>2018/08/12&amp;23:59:59</v>
      </c>
      <c r="N170" s="3">
        <v>1</v>
      </c>
      <c r="O170" s="3">
        <v>1</v>
      </c>
      <c r="P170" s="3">
        <v>0</v>
      </c>
      <c r="Q170" s="5">
        <f>VLOOKUP(表1[[#This Row],[名称]],[1]!表1[#Data],18,FALSE)*10</f>
        <v>2.7</v>
      </c>
      <c r="R170" s="11" t="s">
        <v>58</v>
      </c>
      <c r="S170" s="15" t="s">
        <v>65</v>
      </c>
    </row>
    <row r="171" spans="1:19" x14ac:dyDescent="0.15">
      <c r="A171" s="3">
        <v>10166</v>
      </c>
      <c r="B171" s="5">
        <f>VLOOKUP(表1[[#This Row],[名称]],[1]!表1[#Data],3,FALSE)</f>
        <v>9056</v>
      </c>
      <c r="C171" s="5">
        <f>VLOOKUP(表1[[#This Row],[名称]],[1]!表1[#Data],4,FALSE)</f>
        <v>9477</v>
      </c>
      <c r="D171" s="5" t="str">
        <f>"gift_"&amp;表1[[#This Row],[价格]]</f>
        <v>gift_12</v>
      </c>
      <c r="E171" s="5">
        <f>VLOOKUP(表1[[#This Row],[iOS]],description!$G$1:$H$5,2,FALSE)</f>
        <v>3902</v>
      </c>
      <c r="F171" s="3" t="s">
        <v>40</v>
      </c>
      <c r="G171" s="3" t="str">
        <f>"[[""r000"","&amp;表1[[#This Row],[价格]]&amp;"]]"</f>
        <v>[["r000",12]]</v>
      </c>
      <c r="H171" s="13">
        <f>VLOOKUP(表1[[#This Row],[名称]],[1]!表1[#Data],5,FALSE)</f>
        <v>12</v>
      </c>
      <c r="I171" s="5" t="str">
        <f>VLOOKUP(表1[[#This Row],[名称]],[1]!表1[#Data],19,FALSE)</f>
        <v>[["i015",8],["i002",100],["i400",2],["i220",2]]</v>
      </c>
      <c r="J171" s="3">
        <v>1</v>
      </c>
      <c r="K171" s="3">
        <v>1</v>
      </c>
      <c r="L171" s="3" t="str">
        <f t="shared" si="4"/>
        <v>2018/08/13&amp;00:00:00</v>
      </c>
      <c r="M171" s="13" t="str">
        <f t="shared" si="5"/>
        <v>2018/08/13&amp;23:59:59</v>
      </c>
      <c r="N171" s="3">
        <v>1</v>
      </c>
      <c r="O171" s="3">
        <v>1</v>
      </c>
      <c r="P171" s="3">
        <v>0</v>
      </c>
      <c r="Q171" s="5">
        <f>VLOOKUP(表1[[#This Row],[名称]],[1]!表1[#Data],18,FALSE)*10</f>
        <v>3</v>
      </c>
      <c r="R171" s="11" t="s">
        <v>55</v>
      </c>
      <c r="S171" s="15" t="s">
        <v>64</v>
      </c>
    </row>
    <row r="172" spans="1:19" x14ac:dyDescent="0.15">
      <c r="A172" s="3">
        <v>10167</v>
      </c>
      <c r="B172" s="5">
        <f>VLOOKUP(表1[[#This Row],[名称]],[1]!表1[#Data],3,FALSE)</f>
        <v>9055</v>
      </c>
      <c r="C172" s="5">
        <f>VLOOKUP(表1[[#This Row],[名称]],[1]!表1[#Data],4,FALSE)</f>
        <v>9476</v>
      </c>
      <c r="D172" s="5" t="str">
        <f>"gift_"&amp;表1[[#This Row],[价格]]</f>
        <v>gift_6</v>
      </c>
      <c r="E172" s="5">
        <f>VLOOKUP(表1[[#This Row],[iOS]],description!$G$1:$H$5,2,FALSE)</f>
        <v>3901</v>
      </c>
      <c r="F172" s="3" t="s">
        <v>40</v>
      </c>
      <c r="G172" s="3" t="str">
        <f>"[[""r000"","&amp;表1[[#This Row],[价格]]&amp;"]]"</f>
        <v>[["r000",6]]</v>
      </c>
      <c r="H172" s="13">
        <f>VLOOKUP(表1[[#This Row],[名称]],[1]!表1[#Data],5,FALSE)</f>
        <v>6</v>
      </c>
      <c r="I172" s="5" t="str">
        <f>VLOOKUP(表1[[#This Row],[名称]],[1]!表1[#Data],19,FALSE)</f>
        <v>[["i001",100000],["i002",100],["i400",1],["i220",5]]</v>
      </c>
      <c r="J172" s="3">
        <v>1</v>
      </c>
      <c r="K172" s="3">
        <v>1</v>
      </c>
      <c r="L172" s="3" t="str">
        <f t="shared" si="4"/>
        <v>2018/08/14&amp;00:00:00</v>
      </c>
      <c r="M172" s="13" t="str">
        <f t="shared" si="5"/>
        <v>2018/08/14&amp;23:59:59</v>
      </c>
      <c r="N172" s="3">
        <v>1</v>
      </c>
      <c r="O172" s="3">
        <v>1</v>
      </c>
      <c r="P172" s="3">
        <v>0</v>
      </c>
      <c r="Q172" s="5">
        <f>VLOOKUP(表1[[#This Row],[名称]],[1]!表1[#Data],18,FALSE)*10</f>
        <v>3.5999999999999996</v>
      </c>
      <c r="R172" s="3" t="s">
        <v>39</v>
      </c>
      <c r="S172" s="15" t="s">
        <v>63</v>
      </c>
    </row>
    <row r="173" spans="1:19" x14ac:dyDescent="0.15">
      <c r="A173" s="3">
        <v>10168</v>
      </c>
      <c r="B173" s="5">
        <f>VLOOKUP(表1[[#This Row],[名称]],[1]!表1[#Data],3,FALSE)</f>
        <v>9055</v>
      </c>
      <c r="C173" s="5">
        <f>VLOOKUP(表1[[#This Row],[名称]],[1]!表1[#Data],4,FALSE)</f>
        <v>9476</v>
      </c>
      <c r="D173" s="5" t="str">
        <f>"gift_"&amp;表1[[#This Row],[价格]]</f>
        <v>gift_6</v>
      </c>
      <c r="E173" s="5">
        <f>VLOOKUP(表1[[#This Row],[iOS]],description!$G$1:$H$5,2,FALSE)</f>
        <v>3901</v>
      </c>
      <c r="F173" s="3" t="s">
        <v>40</v>
      </c>
      <c r="G173" s="3" t="str">
        <f>"[[""r000"","&amp;表1[[#This Row],[价格]]&amp;"]]"</f>
        <v>[["r000",6]]</v>
      </c>
      <c r="H173" s="13">
        <f>VLOOKUP(表1[[#This Row],[名称]],[1]!表1[#Data],5,FALSE)</f>
        <v>6</v>
      </c>
      <c r="I173" s="5" t="str">
        <f>VLOOKUP(表1[[#This Row],[名称]],[1]!表1[#Data],19,FALSE)</f>
        <v>[["i001",100000],["i002",100],["i400",1],["i220",5]]</v>
      </c>
      <c r="J173" s="3">
        <v>1</v>
      </c>
      <c r="K173" s="3">
        <v>1</v>
      </c>
      <c r="L173" s="3" t="str">
        <f t="shared" si="4"/>
        <v>2018/08/15&amp;00:00:00</v>
      </c>
      <c r="M173" s="13" t="str">
        <f t="shared" si="5"/>
        <v>2018/08/15&amp;23:59:59</v>
      </c>
      <c r="N173" s="3">
        <v>1</v>
      </c>
      <c r="O173" s="3">
        <v>1</v>
      </c>
      <c r="P173" s="3">
        <v>0</v>
      </c>
      <c r="Q173" s="5">
        <f>VLOOKUP(表1[[#This Row],[名称]],[1]!表1[#Data],18,FALSE)*10</f>
        <v>3.5999999999999996</v>
      </c>
      <c r="R173" s="3" t="s">
        <v>39</v>
      </c>
      <c r="S173" s="15" t="s">
        <v>63</v>
      </c>
    </row>
    <row r="174" spans="1:19" x14ac:dyDescent="0.15">
      <c r="A174" s="3">
        <v>10169</v>
      </c>
      <c r="B174" s="5">
        <f>VLOOKUP(表1[[#This Row],[名称]],[1]!表1[#Data],3,FALSE)</f>
        <v>9056</v>
      </c>
      <c r="C174" s="5">
        <f>VLOOKUP(表1[[#This Row],[名称]],[1]!表1[#Data],4,FALSE)</f>
        <v>9477</v>
      </c>
      <c r="D174" s="5" t="str">
        <f>"gift_"&amp;表1[[#This Row],[价格]]</f>
        <v>gift_12</v>
      </c>
      <c r="E174" s="5">
        <f>VLOOKUP(表1[[#This Row],[iOS]],description!$G$1:$H$5,2,FALSE)</f>
        <v>3902</v>
      </c>
      <c r="F174" s="3" t="s">
        <v>40</v>
      </c>
      <c r="G174" s="3" t="str">
        <f>"[[""r000"","&amp;表1[[#This Row],[价格]]&amp;"]]"</f>
        <v>[["r000",12]]</v>
      </c>
      <c r="H174" s="13">
        <f>VLOOKUP(表1[[#This Row],[名称]],[1]!表1[#Data],5,FALSE)</f>
        <v>12</v>
      </c>
      <c r="I174" s="5" t="str">
        <f>VLOOKUP(表1[[#This Row],[名称]],[1]!表1[#Data],19,FALSE)</f>
        <v>[["i015",8],["i002",100],["i400",2],["i220",2]]</v>
      </c>
      <c r="J174" s="3">
        <v>1</v>
      </c>
      <c r="K174" s="3">
        <v>1</v>
      </c>
      <c r="L174" s="3" t="str">
        <f t="shared" si="4"/>
        <v>2018/08/16&amp;00:00:00</v>
      </c>
      <c r="M174" s="13" t="str">
        <f t="shared" si="5"/>
        <v>2018/08/16&amp;23:59:59</v>
      </c>
      <c r="N174" s="3">
        <v>1</v>
      </c>
      <c r="O174" s="3">
        <v>1</v>
      </c>
      <c r="P174" s="3">
        <v>0</v>
      </c>
      <c r="Q174" s="5">
        <f>VLOOKUP(表1[[#This Row],[名称]],[1]!表1[#Data],18,FALSE)*10</f>
        <v>3</v>
      </c>
      <c r="R174" s="11" t="s">
        <v>55</v>
      </c>
      <c r="S174" s="15" t="s">
        <v>64</v>
      </c>
    </row>
    <row r="175" spans="1:19" x14ac:dyDescent="0.15">
      <c r="A175" s="3">
        <v>10170</v>
      </c>
      <c r="B175" s="5">
        <f>VLOOKUP(表1[[#This Row],[名称]],[1]!表1[#Data],3,FALSE)</f>
        <v>9055</v>
      </c>
      <c r="C175" s="5">
        <f>VLOOKUP(表1[[#This Row],[名称]],[1]!表1[#Data],4,FALSE)</f>
        <v>9476</v>
      </c>
      <c r="D175" s="5" t="str">
        <f>"gift_"&amp;表1[[#This Row],[价格]]</f>
        <v>gift_6</v>
      </c>
      <c r="E175" s="5">
        <f>VLOOKUP(表1[[#This Row],[iOS]],description!$G$1:$H$5,2,FALSE)</f>
        <v>3901</v>
      </c>
      <c r="F175" s="3" t="s">
        <v>40</v>
      </c>
      <c r="G175" s="3" t="str">
        <f>"[[""r000"","&amp;表1[[#This Row],[价格]]&amp;"]]"</f>
        <v>[["r000",6]]</v>
      </c>
      <c r="H175" s="13">
        <f>VLOOKUP(表1[[#This Row],[名称]],[1]!表1[#Data],5,FALSE)</f>
        <v>6</v>
      </c>
      <c r="I175" s="5" t="str">
        <f>VLOOKUP(表1[[#This Row],[名称]],[1]!表1[#Data],19,FALSE)</f>
        <v>[["i215",10],["i002",50],["i004",1],["i240",20]]</v>
      </c>
      <c r="J175" s="3">
        <v>1</v>
      </c>
      <c r="K175" s="3">
        <v>1</v>
      </c>
      <c r="L175" s="3" t="str">
        <f t="shared" si="4"/>
        <v>2018/08/17&amp;00:00:00</v>
      </c>
      <c r="M175" s="13" t="str">
        <f t="shared" si="5"/>
        <v>2018/08/17&amp;23:59:59</v>
      </c>
      <c r="N175" s="3">
        <v>1</v>
      </c>
      <c r="O175" s="3">
        <v>1</v>
      </c>
      <c r="P175" s="3">
        <v>0</v>
      </c>
      <c r="Q175" s="5">
        <f>VLOOKUP(表1[[#This Row],[名称]],[1]!表1[#Data],18,FALSE)*10</f>
        <v>2.7</v>
      </c>
      <c r="R175" s="11" t="s">
        <v>58</v>
      </c>
      <c r="S175" s="15" t="s">
        <v>65</v>
      </c>
    </row>
    <row r="176" spans="1:19" x14ac:dyDescent="0.15">
      <c r="A176" s="3">
        <v>10171</v>
      </c>
      <c r="B176" s="5">
        <f>VLOOKUP(表1[[#This Row],[名称]],[1]!表1[#Data],3,FALSE)</f>
        <v>9056</v>
      </c>
      <c r="C176" s="5">
        <f>VLOOKUP(表1[[#This Row],[名称]],[1]!表1[#Data],4,FALSE)</f>
        <v>9477</v>
      </c>
      <c r="D176" s="5" t="str">
        <f>"gift_"&amp;表1[[#This Row],[价格]]</f>
        <v>gift_12</v>
      </c>
      <c r="E176" s="5">
        <f>VLOOKUP(表1[[#This Row],[iOS]],description!$G$1:$H$5,2,FALSE)</f>
        <v>3902</v>
      </c>
      <c r="F176" s="3" t="s">
        <v>40</v>
      </c>
      <c r="G176" s="3" t="str">
        <f>"[[""r000"","&amp;表1[[#This Row],[价格]]&amp;"]]"</f>
        <v>[["r000",12]]</v>
      </c>
      <c r="H176" s="13">
        <f>VLOOKUP(表1[[#This Row],[名称]],[1]!表1[#Data],5,FALSE)</f>
        <v>12</v>
      </c>
      <c r="I176" s="5" t="str">
        <f>VLOOKUP(表1[[#This Row],[名称]],[1]!表1[#Data],19,FALSE)</f>
        <v>[["i001",200000],["i002",200],["i400",2],["i220",10]]</v>
      </c>
      <c r="J176" s="3">
        <v>1</v>
      </c>
      <c r="K176" s="3">
        <v>1</v>
      </c>
      <c r="L176" s="3" t="str">
        <f t="shared" si="4"/>
        <v>2018/08/18&amp;00:00:00</v>
      </c>
      <c r="M176" s="13" t="str">
        <f t="shared" si="5"/>
        <v>2018/08/18&amp;23:59:59</v>
      </c>
      <c r="N176" s="3">
        <v>1</v>
      </c>
      <c r="O176" s="3">
        <v>1</v>
      </c>
      <c r="P176" s="3">
        <v>0</v>
      </c>
      <c r="Q176" s="5">
        <f>VLOOKUP(表1[[#This Row],[名称]],[1]!表1[#Data],18,FALSE)*10</f>
        <v>3.8</v>
      </c>
      <c r="R176" s="3" t="s">
        <v>41</v>
      </c>
      <c r="S176" s="15" t="s">
        <v>66</v>
      </c>
    </row>
    <row r="177" spans="1:19" x14ac:dyDescent="0.15">
      <c r="A177" s="3">
        <v>10172</v>
      </c>
      <c r="B177" s="5">
        <f>VLOOKUP(表1[[#This Row],[名称]],[1]!表1[#Data],3,FALSE)</f>
        <v>9072</v>
      </c>
      <c r="C177" s="5">
        <f>VLOOKUP(表1[[#This Row],[名称]],[1]!表1[#Data],4,FALSE)</f>
        <v>9493</v>
      </c>
      <c r="D177" s="5" t="str">
        <f>"gift_"&amp;表1[[#This Row],[价格]]</f>
        <v>gift_18</v>
      </c>
      <c r="E177" s="5">
        <f>VLOOKUP(表1[[#This Row],[iOS]],description!$G$1:$H$5,2,FALSE)</f>
        <v>3903</v>
      </c>
      <c r="F177" s="3" t="s">
        <v>40</v>
      </c>
      <c r="G177" s="3" t="str">
        <f>"[[""r000"","&amp;表1[[#This Row],[价格]]&amp;"]]"</f>
        <v>[["r000",18]]</v>
      </c>
      <c r="H177" s="13">
        <f>VLOOKUP(表1[[#This Row],[名称]],[1]!表1[#Data],5,FALSE)</f>
        <v>18</v>
      </c>
      <c r="I177" s="5" t="str">
        <f>VLOOKUP(表1[[#This Row],[名称]],[1]!表1[#Data],19,FALSE)</f>
        <v>[["i016",10],["i001",50000],["i400",5],["i004",5]]</v>
      </c>
      <c r="J177" s="3">
        <v>1</v>
      </c>
      <c r="K177" s="3">
        <v>1</v>
      </c>
      <c r="L177" s="3" t="str">
        <f t="shared" si="4"/>
        <v>2018/08/19&amp;00:00:00</v>
      </c>
      <c r="M177" s="13" t="str">
        <f t="shared" si="5"/>
        <v>2018/08/19&amp;23:59:59</v>
      </c>
      <c r="N177" s="3">
        <v>1</v>
      </c>
      <c r="O177" s="3">
        <v>1</v>
      </c>
      <c r="P177" s="3">
        <v>0</v>
      </c>
      <c r="Q177" s="5">
        <f>VLOOKUP(表1[[#This Row],[名称]],[1]!表1[#Data],18,FALSE)*10</f>
        <v>1.5</v>
      </c>
      <c r="R177" s="11" t="s">
        <v>61</v>
      </c>
      <c r="S177" s="15" t="s">
        <v>67</v>
      </c>
    </row>
    <row r="178" spans="1:19" x14ac:dyDescent="0.15">
      <c r="A178" s="3">
        <v>10173</v>
      </c>
      <c r="B178" s="5">
        <f>VLOOKUP(表1[[#This Row],[名称]],[1]!表1[#Data],3,FALSE)</f>
        <v>9055</v>
      </c>
      <c r="C178" s="5">
        <f>VLOOKUP(表1[[#This Row],[名称]],[1]!表1[#Data],4,FALSE)</f>
        <v>9476</v>
      </c>
      <c r="D178" s="5" t="str">
        <f>"gift_"&amp;表1[[#This Row],[价格]]</f>
        <v>gift_6</v>
      </c>
      <c r="E178" s="5">
        <f>VLOOKUP(表1[[#This Row],[iOS]],description!$G$1:$H$5,2,FALSE)</f>
        <v>3901</v>
      </c>
      <c r="F178" s="3" t="s">
        <v>40</v>
      </c>
      <c r="G178" s="3" t="str">
        <f>"[[""r000"","&amp;表1[[#This Row],[价格]]&amp;"]]"</f>
        <v>[["r000",6]]</v>
      </c>
      <c r="H178" s="13">
        <f>VLOOKUP(表1[[#This Row],[名称]],[1]!表1[#Data],5,FALSE)</f>
        <v>6</v>
      </c>
      <c r="I178" s="5" t="str">
        <f>VLOOKUP(表1[[#This Row],[名称]],[1]!表1[#Data],19,FALSE)</f>
        <v>[["i011",50],["i001",100000],["i004",1],["i015",1]]</v>
      </c>
      <c r="J178" s="3">
        <v>1</v>
      </c>
      <c r="K178" s="3">
        <v>1</v>
      </c>
      <c r="L178" s="3" t="str">
        <f t="shared" si="4"/>
        <v>2018/08/20&amp;00:00:00</v>
      </c>
      <c r="M178" s="13" t="str">
        <f t="shared" si="5"/>
        <v>2018/08/20&amp;23:59:59</v>
      </c>
      <c r="N178" s="3">
        <v>1</v>
      </c>
      <c r="O178" s="3">
        <v>1</v>
      </c>
      <c r="P178" s="3">
        <v>0</v>
      </c>
      <c r="Q178" s="5">
        <f>VLOOKUP(表1[[#This Row],[名称]],[1]!表1[#Data],18,FALSE)*10</f>
        <v>2.4</v>
      </c>
      <c r="R178" s="11" t="s">
        <v>60</v>
      </c>
      <c r="S178" s="15" t="s">
        <v>68</v>
      </c>
    </row>
    <row r="179" spans="1:19" x14ac:dyDescent="0.15">
      <c r="A179" s="3">
        <v>10174</v>
      </c>
      <c r="B179" s="5">
        <f>VLOOKUP(表1[[#This Row],[名称]],[1]!表1[#Data],3,FALSE)</f>
        <v>9055</v>
      </c>
      <c r="C179" s="5">
        <f>VLOOKUP(表1[[#This Row],[名称]],[1]!表1[#Data],4,FALSE)</f>
        <v>9476</v>
      </c>
      <c r="D179" s="5" t="str">
        <f>"gift_"&amp;表1[[#This Row],[价格]]</f>
        <v>gift_6</v>
      </c>
      <c r="E179" s="5">
        <f>VLOOKUP(表1[[#This Row],[iOS]],description!$G$1:$H$5,2,FALSE)</f>
        <v>3901</v>
      </c>
      <c r="F179" s="3" t="s">
        <v>40</v>
      </c>
      <c r="G179" s="3" t="str">
        <f>"[[""r000"","&amp;表1[[#This Row],[价格]]&amp;"]]"</f>
        <v>[["r000",6]]</v>
      </c>
      <c r="H179" s="13">
        <f>VLOOKUP(表1[[#This Row],[名称]],[1]!表1[#Data],5,FALSE)</f>
        <v>6</v>
      </c>
      <c r="I179" s="5" t="str">
        <f>VLOOKUP(表1[[#This Row],[名称]],[1]!表1[#Data],19,FALSE)</f>
        <v>[["i006",25],["i001",50000],["i004",1],["i015",1]]</v>
      </c>
      <c r="J179" s="3">
        <v>1</v>
      </c>
      <c r="K179" s="3">
        <v>1</v>
      </c>
      <c r="L179" s="3" t="str">
        <f t="shared" si="4"/>
        <v>2018/08/21&amp;00:00:00</v>
      </c>
      <c r="M179" s="13" t="str">
        <f t="shared" si="5"/>
        <v>2018/08/21&amp;23:59:59</v>
      </c>
      <c r="N179" s="3">
        <v>1</v>
      </c>
      <c r="O179" s="3">
        <v>1</v>
      </c>
      <c r="P179" s="3">
        <v>0</v>
      </c>
      <c r="Q179" s="5">
        <f>VLOOKUP(表1[[#This Row],[名称]],[1]!表1[#Data],18,FALSE)*10</f>
        <v>1.9</v>
      </c>
      <c r="R179" s="11" t="s">
        <v>59</v>
      </c>
      <c r="S179" s="15" t="s">
        <v>69</v>
      </c>
    </row>
    <row r="180" spans="1:19" x14ac:dyDescent="0.15">
      <c r="A180" s="3">
        <v>10175</v>
      </c>
      <c r="B180" s="5">
        <f>VLOOKUP(表1[[#This Row],[名称]],[1]!表1[#Data],3,FALSE)</f>
        <v>9056</v>
      </c>
      <c r="C180" s="5">
        <f>VLOOKUP(表1[[#This Row],[名称]],[1]!表1[#Data],4,FALSE)</f>
        <v>9477</v>
      </c>
      <c r="D180" s="5" t="str">
        <f>"gift_"&amp;表1[[#This Row],[价格]]</f>
        <v>gift_12</v>
      </c>
      <c r="E180" s="5">
        <f>VLOOKUP(表1[[#This Row],[iOS]],description!$G$1:$H$5,2,FALSE)</f>
        <v>3902</v>
      </c>
      <c r="F180" s="3" t="s">
        <v>40</v>
      </c>
      <c r="G180" s="3" t="str">
        <f>"[[""r000"","&amp;表1[[#This Row],[价格]]&amp;"]]"</f>
        <v>[["r000",12]]</v>
      </c>
      <c r="H180" s="14">
        <f>VLOOKUP(表1[[#This Row],[名称]],[1]!表1[#Data],5,FALSE)</f>
        <v>12</v>
      </c>
      <c r="I180" s="5" t="str">
        <f>VLOOKUP(表1[[#This Row],[名称]],[1]!表1[#Data],19,FALSE)</f>
        <v>[["i240",180],["i002",150],["i001",50000],["i220",5]]</v>
      </c>
      <c r="J180" s="3">
        <v>1</v>
      </c>
      <c r="K180" s="3">
        <v>1</v>
      </c>
      <c r="L180" s="3" t="str">
        <f t="shared" si="4"/>
        <v>2018/08/22&amp;00:00:00</v>
      </c>
      <c r="M180" s="13" t="str">
        <f t="shared" si="5"/>
        <v>2018/08/22&amp;23:59:59</v>
      </c>
      <c r="N180" s="3">
        <v>1</v>
      </c>
      <c r="O180" s="3">
        <v>1</v>
      </c>
      <c r="P180" s="3">
        <v>0</v>
      </c>
      <c r="Q180" s="5">
        <f>VLOOKUP(表1[[#This Row],[名称]],[1]!表1[#Data],18,FALSE)*10</f>
        <v>2.5</v>
      </c>
      <c r="R180" s="11" t="s">
        <v>56</v>
      </c>
      <c r="S180" s="15" t="s">
        <v>70</v>
      </c>
    </row>
    <row r="181" spans="1:19" x14ac:dyDescent="0.15">
      <c r="A181" s="3">
        <v>10176</v>
      </c>
      <c r="B181" s="5">
        <f>VLOOKUP(表1[[#This Row],[名称]],[1]!表1[#Data],3,FALSE)</f>
        <v>9072</v>
      </c>
      <c r="C181" s="5">
        <f>VLOOKUP(表1[[#This Row],[名称]],[1]!表1[#Data],4,FALSE)</f>
        <v>9493</v>
      </c>
      <c r="D181" s="5" t="str">
        <f>"gift_"&amp;表1[[#This Row],[价格]]</f>
        <v>gift_18</v>
      </c>
      <c r="E181" s="5">
        <f>VLOOKUP(表1[[#This Row],[iOS]],description!$G$1:$H$5,2,FALSE)</f>
        <v>3903</v>
      </c>
      <c r="F181" s="3" t="s">
        <v>40</v>
      </c>
      <c r="G181" s="3" t="str">
        <f>"[[""r000"","&amp;表1[[#This Row],[价格]]&amp;"]]"</f>
        <v>[["r000",18]]</v>
      </c>
      <c r="H181" s="14">
        <f>VLOOKUP(表1[[#This Row],[名称]],[1]!表1[#Data],5,FALSE)</f>
        <v>18</v>
      </c>
      <c r="I181" s="5" t="str">
        <f>VLOOKUP(表1[[#This Row],[名称]],[1]!表1[#Data],19,FALSE)</f>
        <v>[["i001",300000],["i002",300],["i015",1],["i400",2]]</v>
      </c>
      <c r="J181" s="3">
        <v>1</v>
      </c>
      <c r="K181" s="3">
        <v>1</v>
      </c>
      <c r="L181" s="3" t="str">
        <f t="shared" si="4"/>
        <v>2018/08/23&amp;00:00:00</v>
      </c>
      <c r="M181" s="13" t="str">
        <f t="shared" si="5"/>
        <v>2018/08/23&amp;23:59:59</v>
      </c>
      <c r="N181" s="3">
        <v>1</v>
      </c>
      <c r="O181" s="3">
        <v>1</v>
      </c>
      <c r="P181" s="3">
        <v>0</v>
      </c>
      <c r="Q181" s="5">
        <f>VLOOKUP(表1[[#This Row],[名称]],[1]!表1[#Data],18,FALSE)*10</f>
        <v>4</v>
      </c>
      <c r="R181" s="3" t="s">
        <v>42</v>
      </c>
      <c r="S181" s="15" t="s">
        <v>71</v>
      </c>
    </row>
    <row r="182" spans="1:19" x14ac:dyDescent="0.15">
      <c r="A182" s="3">
        <v>10177</v>
      </c>
      <c r="B182" s="5">
        <f>VLOOKUP(表1[[#This Row],[名称]],[1]!表1[#Data],3,FALSE)</f>
        <v>9055</v>
      </c>
      <c r="C182" s="5">
        <f>VLOOKUP(表1[[#This Row],[名称]],[1]!表1[#Data],4,FALSE)</f>
        <v>9476</v>
      </c>
      <c r="D182" s="5" t="str">
        <f>"gift_"&amp;表1[[#This Row],[价格]]</f>
        <v>gift_6</v>
      </c>
      <c r="E182" s="5">
        <f>VLOOKUP(表1[[#This Row],[iOS]],description!$G$1:$H$5,2,FALSE)</f>
        <v>3901</v>
      </c>
      <c r="F182" s="3" t="s">
        <v>40</v>
      </c>
      <c r="G182" s="3" t="str">
        <f>"[[""r000"","&amp;表1[[#This Row],[价格]]&amp;"]]"</f>
        <v>[["r000",6]]</v>
      </c>
      <c r="H182" s="14">
        <f>VLOOKUP(表1[[#This Row],[名称]],[1]!表1[#Data],5,FALSE)</f>
        <v>6</v>
      </c>
      <c r="I182" s="5" t="str">
        <f>VLOOKUP(表1[[#This Row],[名称]],[1]!表1[#Data],19,FALSE)</f>
        <v>[["i400",20],["i002",50],["i015",1],["i220",2]]</v>
      </c>
      <c r="J182" s="3">
        <v>1</v>
      </c>
      <c r="K182" s="3">
        <v>1</v>
      </c>
      <c r="L182" s="3" t="str">
        <f t="shared" si="4"/>
        <v>2018/08/24&amp;00:00:00</v>
      </c>
      <c r="M182" s="13" t="str">
        <f t="shared" si="5"/>
        <v>2018/08/24&amp;23:59:59</v>
      </c>
      <c r="N182" s="3">
        <v>1</v>
      </c>
      <c r="O182" s="3">
        <v>1</v>
      </c>
      <c r="P182" s="3">
        <v>0</v>
      </c>
      <c r="Q182" s="5">
        <f>VLOOKUP(表1[[#This Row],[名称]],[1]!表1[#Data],18,FALSE)*10</f>
        <v>1.9</v>
      </c>
      <c r="R182" s="11" t="s">
        <v>57</v>
      </c>
      <c r="S182" s="15" t="s">
        <v>72</v>
      </c>
    </row>
    <row r="183" spans="1:19" x14ac:dyDescent="0.15">
      <c r="A183" s="3">
        <v>10178</v>
      </c>
      <c r="B183" s="5">
        <f>VLOOKUP(表1[[#This Row],[名称]],[1]!表1[#Data],3,FALSE)</f>
        <v>9067</v>
      </c>
      <c r="C183" s="5">
        <f>VLOOKUP(表1[[#This Row],[名称]],[1]!表1[#Data],4,FALSE)</f>
        <v>9488</v>
      </c>
      <c r="D183" s="5" t="str">
        <f>"gift_"&amp;表1[[#This Row],[价格]]</f>
        <v>gift_30</v>
      </c>
      <c r="E183" s="5">
        <f>VLOOKUP(表1[[#This Row],[iOS]],description!$G$1:$H$5,2,FALSE)</f>
        <v>3904</v>
      </c>
      <c r="F183" s="3" t="s">
        <v>40</v>
      </c>
      <c r="G183" s="3" t="str">
        <f>"[[""r000"","&amp;表1[[#This Row],[价格]]&amp;"]]"</f>
        <v>[["r000",30]]</v>
      </c>
      <c r="H183" s="14">
        <f>VLOOKUP(表1[[#This Row],[名称]],[1]!表1[#Data],5,FALSE)</f>
        <v>30</v>
      </c>
      <c r="I183" s="5" t="str">
        <f>VLOOKUP(表1[[#This Row],[名称]],[1]!表1[#Data],19,FALSE)</f>
        <v>[["i001",400000],["i002",400],["i015",1],["i006",5]]</v>
      </c>
      <c r="J183" s="3">
        <v>1</v>
      </c>
      <c r="K183" s="3">
        <v>1</v>
      </c>
      <c r="L183" s="3" t="str">
        <f t="shared" si="4"/>
        <v>2018/08/25&amp;00:00:00</v>
      </c>
      <c r="M183" s="13" t="str">
        <f t="shared" si="5"/>
        <v>2018/08/25&amp;23:59:59</v>
      </c>
      <c r="N183" s="3">
        <v>1</v>
      </c>
      <c r="O183" s="3">
        <v>1</v>
      </c>
      <c r="P183" s="3">
        <v>0</v>
      </c>
      <c r="Q183" s="5">
        <f>VLOOKUP(表1[[#This Row],[名称]],[1]!表1[#Data],18,FALSE)*10</f>
        <v>3.8</v>
      </c>
      <c r="R183" s="3" t="s">
        <v>43</v>
      </c>
      <c r="S183" s="15" t="s">
        <v>73</v>
      </c>
    </row>
    <row r="184" spans="1:19" x14ac:dyDescent="0.15">
      <c r="A184" s="3">
        <v>10179</v>
      </c>
      <c r="B184" s="5">
        <f>VLOOKUP(表1[[#This Row],[名称]],[1]!表1[#Data],3,FALSE)</f>
        <v>9075</v>
      </c>
      <c r="C184" s="5">
        <f>VLOOKUP(表1[[#This Row],[名称]],[1]!表1[#Data],4,FALSE)</f>
        <v>9496</v>
      </c>
      <c r="D184" s="5" t="str">
        <f>"gift_"&amp;表1[[#This Row],[价格]]</f>
        <v>gift_45</v>
      </c>
      <c r="E184" s="5">
        <f>VLOOKUP(表1[[#This Row],[iOS]],description!$G$1:$H$5,2,FALSE)</f>
        <v>3905</v>
      </c>
      <c r="F184" s="3" t="s">
        <v>40</v>
      </c>
      <c r="G184" s="3" t="str">
        <f>"[[""r000"","&amp;表1[[#This Row],[价格]]&amp;"]]"</f>
        <v>[["r000",45]]</v>
      </c>
      <c r="H184" s="14">
        <f>VLOOKUP(表1[[#This Row],[名称]],[1]!表1[#Data],5,FALSE)</f>
        <v>45</v>
      </c>
      <c r="I184" s="5" t="str">
        <f>VLOOKUP(表1[[#This Row],[名称]],[1]!表1[#Data],19,FALSE)</f>
        <v>[["i017",8],["i002",100],["i004",10],["i006",10]]</v>
      </c>
      <c r="J184" s="3">
        <v>1</v>
      </c>
      <c r="K184" s="3">
        <v>1</v>
      </c>
      <c r="L184" s="3" t="str">
        <f t="shared" si="4"/>
        <v>2018/08/26&amp;00:00:00</v>
      </c>
      <c r="M184" s="13" t="str">
        <f t="shared" si="5"/>
        <v>2018/08/26&amp;23:59:59</v>
      </c>
      <c r="N184" s="3">
        <v>1</v>
      </c>
      <c r="O184" s="3">
        <v>1</v>
      </c>
      <c r="P184" s="3">
        <v>0</v>
      </c>
      <c r="Q184" s="5">
        <f>VLOOKUP(表1[[#This Row],[名称]],[1]!表1[#Data],18,FALSE)*10</f>
        <v>1</v>
      </c>
      <c r="R184" s="11" t="s">
        <v>62</v>
      </c>
      <c r="S184" s="15" t="s">
        <v>74</v>
      </c>
    </row>
    <row r="185" spans="1:19" x14ac:dyDescent="0.15">
      <c r="A185" s="3">
        <v>10180</v>
      </c>
      <c r="B185" s="5">
        <f>VLOOKUP(表1[[#This Row],[名称]],[1]!表1[#Data],3,FALSE)</f>
        <v>9055</v>
      </c>
      <c r="C185" s="5">
        <f>VLOOKUP(表1[[#This Row],[名称]],[1]!表1[#Data],4,FALSE)</f>
        <v>9476</v>
      </c>
      <c r="D185" s="5" t="str">
        <f>"gift_"&amp;表1[[#This Row],[价格]]</f>
        <v>gift_6</v>
      </c>
      <c r="E185" s="5">
        <f>VLOOKUP(表1[[#This Row],[iOS]],description!$G$1:$H$5,2,FALSE)</f>
        <v>3901</v>
      </c>
      <c r="F185" s="3" t="s">
        <v>40</v>
      </c>
      <c r="G185" s="3" t="str">
        <f>"[[""r000"","&amp;表1[[#This Row],[价格]]&amp;"]]"</f>
        <v>[["r000",6]]</v>
      </c>
      <c r="H185" s="14">
        <f>VLOOKUP(表1[[#This Row],[名称]],[1]!表1[#Data],5,FALSE)</f>
        <v>6</v>
      </c>
      <c r="I185" s="5" t="str">
        <f>VLOOKUP(表1[[#This Row],[名称]],[1]!表1[#Data],19,FALSE)</f>
        <v>[["i215",10],["i002",50],["i004",1],["i240",20]]</v>
      </c>
      <c r="J185" s="3">
        <v>1</v>
      </c>
      <c r="K185" s="3">
        <v>1</v>
      </c>
      <c r="L185" s="3" t="str">
        <f t="shared" si="4"/>
        <v>2018/08/27&amp;00:00:00</v>
      </c>
      <c r="M185" s="13" t="str">
        <f t="shared" si="5"/>
        <v>2018/08/27&amp;23:59:59</v>
      </c>
      <c r="N185" s="3">
        <v>1</v>
      </c>
      <c r="O185" s="3">
        <v>1</v>
      </c>
      <c r="P185" s="3">
        <v>0</v>
      </c>
      <c r="Q185" s="5">
        <f>VLOOKUP(表1[[#This Row],[名称]],[1]!表1[#Data],18,FALSE)*10</f>
        <v>2.7</v>
      </c>
      <c r="R185" s="11" t="s">
        <v>58</v>
      </c>
      <c r="S185" s="15" t="s">
        <v>65</v>
      </c>
    </row>
    <row r="186" spans="1:19" x14ac:dyDescent="0.15">
      <c r="A186" s="3">
        <v>10181</v>
      </c>
      <c r="B186" s="5">
        <f>VLOOKUP(表1[[#This Row],[名称]],[1]!表1[#Data],3,FALSE)</f>
        <v>9075</v>
      </c>
      <c r="C186" s="5">
        <f>VLOOKUP(表1[[#This Row],[名称]],[1]!表1[#Data],4,FALSE)</f>
        <v>9496</v>
      </c>
      <c r="D186" s="5" t="str">
        <f>"gift_"&amp;表1[[#This Row],[价格]]</f>
        <v>gift_45</v>
      </c>
      <c r="E186" s="5">
        <f>VLOOKUP(表1[[#This Row],[iOS]],description!$G$1:$H$5,2,FALSE)</f>
        <v>3905</v>
      </c>
      <c r="F186" s="3" t="s">
        <v>40</v>
      </c>
      <c r="G186" s="3" t="str">
        <f>"[[""r000"","&amp;表1[[#This Row],[价格]]&amp;"]]"</f>
        <v>[["r000",45]]</v>
      </c>
      <c r="H186" s="12">
        <f>VLOOKUP(表1[[#This Row],[名称]],[1]!表1[#Data],5,FALSE)</f>
        <v>45</v>
      </c>
      <c r="I186" s="5" t="str">
        <f>VLOOKUP(表1[[#This Row],[名称]],[1]!表1[#Data],19,FALSE)</f>
        <v>[["i001",500000],["i002",500],["i015",1],["i004",4]]</v>
      </c>
      <c r="J186" s="3">
        <v>1</v>
      </c>
      <c r="K186" s="3">
        <v>1</v>
      </c>
      <c r="L186" s="3" t="str">
        <f t="shared" si="4"/>
        <v>2018/08/28&amp;00:00:00</v>
      </c>
      <c r="M186" s="13" t="str">
        <f t="shared" si="5"/>
        <v>2018/08/28&amp;23:59:59</v>
      </c>
      <c r="N186" s="3">
        <v>1</v>
      </c>
      <c r="O186" s="3">
        <v>1</v>
      </c>
      <c r="P186" s="3">
        <v>0</v>
      </c>
      <c r="Q186" s="5">
        <f>VLOOKUP(表1[[#This Row],[名称]],[1]!表1[#Data],18,FALSE)*10</f>
        <v>3.8</v>
      </c>
      <c r="R186" s="3" t="s">
        <v>44</v>
      </c>
      <c r="S186" s="15" t="s">
        <v>75</v>
      </c>
    </row>
    <row r="187" spans="1:19" x14ac:dyDescent="0.15">
      <c r="A187" s="3">
        <v>10182</v>
      </c>
      <c r="B187" s="5">
        <f>VLOOKUP(表1[[#This Row],[名称]],[1]!表1[#Data],3,FALSE)</f>
        <v>9055</v>
      </c>
      <c r="C187" s="5">
        <f>VLOOKUP(表1[[#This Row],[名称]],[1]!表1[#Data],4,FALSE)</f>
        <v>9476</v>
      </c>
      <c r="D187" s="5" t="str">
        <f>"gift_"&amp;表1[[#This Row],[价格]]</f>
        <v>gift_6</v>
      </c>
      <c r="E187" s="5">
        <f>VLOOKUP(表1[[#This Row],[iOS]],description!$G$1:$H$5,2,FALSE)</f>
        <v>3901</v>
      </c>
      <c r="F187" s="3" t="s">
        <v>40</v>
      </c>
      <c r="G187" s="3" t="str">
        <f>"[[""r000"","&amp;表1[[#This Row],[价格]]&amp;"]]"</f>
        <v>[["r000",6]]</v>
      </c>
      <c r="H187" s="12">
        <f>VLOOKUP(表1[[#This Row],[名称]],[1]!表1[#Data],5,FALSE)</f>
        <v>6</v>
      </c>
      <c r="I187" s="5" t="str">
        <f>VLOOKUP(表1[[#This Row],[名称]],[1]!表1[#Data],19,FALSE)</f>
        <v>[["i001",100000],["i002",100],["i400",1],["i220",5]]</v>
      </c>
      <c r="J187" s="3">
        <v>1</v>
      </c>
      <c r="K187" s="3">
        <v>1</v>
      </c>
      <c r="L187" s="3" t="str">
        <f t="shared" si="4"/>
        <v>2018/08/29&amp;00:00:00</v>
      </c>
      <c r="M187" s="13" t="str">
        <f t="shared" si="5"/>
        <v>2018/08/29&amp;23:59:59</v>
      </c>
      <c r="N187" s="3">
        <v>1</v>
      </c>
      <c r="O187" s="3">
        <v>1</v>
      </c>
      <c r="P187" s="3">
        <v>0</v>
      </c>
      <c r="Q187" s="5">
        <f>VLOOKUP(表1[[#This Row],[名称]],[1]!表1[#Data],18,FALSE)*10</f>
        <v>3.5999999999999996</v>
      </c>
      <c r="R187" s="3" t="s">
        <v>39</v>
      </c>
      <c r="S187" s="15" t="s">
        <v>63</v>
      </c>
    </row>
    <row r="188" spans="1:19" x14ac:dyDescent="0.15">
      <c r="A188" s="3">
        <v>10183</v>
      </c>
      <c r="B188" s="5">
        <f>VLOOKUP(表1[[#This Row],[名称]],[1]!表1[#Data],3,FALSE)</f>
        <v>9056</v>
      </c>
      <c r="C188" s="5">
        <f>VLOOKUP(表1[[#This Row],[名称]],[1]!表1[#Data],4,FALSE)</f>
        <v>9477</v>
      </c>
      <c r="D188" s="5" t="str">
        <f>"gift_"&amp;表1[[#This Row],[价格]]</f>
        <v>gift_12</v>
      </c>
      <c r="E188" s="5">
        <f>VLOOKUP(表1[[#This Row],[iOS]],description!$G$1:$H$5,2,FALSE)</f>
        <v>3902</v>
      </c>
      <c r="F188" s="3" t="s">
        <v>40</v>
      </c>
      <c r="G188" s="3" t="str">
        <f>"[[""r000"","&amp;表1[[#This Row],[价格]]&amp;"]]"</f>
        <v>[["r000",12]]</v>
      </c>
      <c r="H188" s="12">
        <f>VLOOKUP(表1[[#This Row],[名称]],[1]!表1[#Data],5,FALSE)</f>
        <v>12</v>
      </c>
      <c r="I188" s="5" t="str">
        <f>VLOOKUP(表1[[#This Row],[名称]],[1]!表1[#Data],19,FALSE)</f>
        <v>[["i015",8],["i002",100],["i400",2],["i220",2]]</v>
      </c>
      <c r="J188" s="3">
        <v>1</v>
      </c>
      <c r="K188" s="3">
        <v>1</v>
      </c>
      <c r="L188" s="3" t="str">
        <f t="shared" si="4"/>
        <v>2018/08/30&amp;00:00:00</v>
      </c>
      <c r="M188" s="13" t="str">
        <f t="shared" si="5"/>
        <v>2018/08/30&amp;23:59:59</v>
      </c>
      <c r="N188" s="3">
        <v>1</v>
      </c>
      <c r="O188" s="3">
        <v>1</v>
      </c>
      <c r="P188" s="3">
        <v>0</v>
      </c>
      <c r="Q188" s="5">
        <f>VLOOKUP(表1[[#This Row],[名称]],[1]!表1[#Data],18,FALSE)*10</f>
        <v>3</v>
      </c>
      <c r="R188" s="11" t="s">
        <v>55</v>
      </c>
      <c r="S188" s="15" t="s">
        <v>64</v>
      </c>
    </row>
    <row r="189" spans="1:19" x14ac:dyDescent="0.15">
      <c r="A189" s="3">
        <v>10184</v>
      </c>
      <c r="B189" s="5">
        <f>VLOOKUP(表1[[#This Row],[名称]],[1]!表1[#Data],3,FALSE)</f>
        <v>9055</v>
      </c>
      <c r="C189" s="5">
        <f>VLOOKUP(表1[[#This Row],[名称]],[1]!表1[#Data],4,FALSE)</f>
        <v>9476</v>
      </c>
      <c r="D189" s="5" t="str">
        <f>"gift_"&amp;表1[[#This Row],[价格]]</f>
        <v>gift_6</v>
      </c>
      <c r="E189" s="5">
        <f>VLOOKUP(表1[[#This Row],[iOS]],description!$G$1:$H$5,2,FALSE)</f>
        <v>3901</v>
      </c>
      <c r="F189" s="3" t="s">
        <v>40</v>
      </c>
      <c r="G189" s="3" t="str">
        <f>"[[""r000"","&amp;表1[[#This Row],[价格]]&amp;"]]"</f>
        <v>[["r000",6]]</v>
      </c>
      <c r="H189" s="12">
        <f>VLOOKUP(表1[[#This Row],[名称]],[1]!表1[#Data],5,FALSE)</f>
        <v>6</v>
      </c>
      <c r="I189" s="5" t="str">
        <f>VLOOKUP(表1[[#This Row],[名称]],[1]!表1[#Data],19,FALSE)</f>
        <v>[["i215",10],["i002",50],["i004",1],["i240",20]]</v>
      </c>
      <c r="J189" s="3">
        <v>1</v>
      </c>
      <c r="K189" s="3">
        <v>1</v>
      </c>
      <c r="L189" s="3" t="str">
        <f t="shared" si="4"/>
        <v>2018/08/31&amp;00:00:00</v>
      </c>
      <c r="M189" s="13" t="str">
        <f t="shared" si="5"/>
        <v>2018/08/31&amp;23:59:59</v>
      </c>
      <c r="N189" s="3">
        <v>1</v>
      </c>
      <c r="O189" s="3">
        <v>1</v>
      </c>
      <c r="P189" s="3">
        <v>0</v>
      </c>
      <c r="Q189" s="5">
        <f>VLOOKUP(表1[[#This Row],[名称]],[1]!表1[#Data],18,FALSE)*10</f>
        <v>2.7</v>
      </c>
      <c r="R189" s="11" t="s">
        <v>58</v>
      </c>
      <c r="S189" s="15" t="s">
        <v>65</v>
      </c>
    </row>
    <row r="190" spans="1:19" x14ac:dyDescent="0.15">
      <c r="A190" s="3">
        <v>10185</v>
      </c>
      <c r="B190" s="5">
        <f>VLOOKUP(表1[[#This Row],[名称]],[1]!表1[#Data],3,FALSE)</f>
        <v>9056</v>
      </c>
      <c r="C190" s="5">
        <f>VLOOKUP(表1[[#This Row],[名称]],[1]!表1[#Data],4,FALSE)</f>
        <v>9477</v>
      </c>
      <c r="D190" s="5" t="str">
        <f>"gift_"&amp;表1[[#This Row],[价格]]</f>
        <v>gift_12</v>
      </c>
      <c r="E190" s="5">
        <f>VLOOKUP(表1[[#This Row],[iOS]],description!$G$1:$H$5,2,FALSE)</f>
        <v>3902</v>
      </c>
      <c r="F190" s="3" t="s">
        <v>40</v>
      </c>
      <c r="G190" s="3" t="str">
        <f>"[[""r000"","&amp;表1[[#This Row],[价格]]&amp;"]]"</f>
        <v>[["r000",12]]</v>
      </c>
      <c r="H190" s="12">
        <f>VLOOKUP(表1[[#This Row],[名称]],[1]!表1[#Data],5,FALSE)</f>
        <v>12</v>
      </c>
      <c r="I190" s="5" t="str">
        <f>VLOOKUP(表1[[#This Row],[名称]],[1]!表1[#Data],19,FALSE)</f>
        <v>[["i001",200000],["i002",200],["i400",2],["i220",10]]</v>
      </c>
      <c r="J190" s="3">
        <v>1</v>
      </c>
      <c r="K190" s="3">
        <v>1</v>
      </c>
      <c r="L190" s="3" t="str">
        <f t="shared" si="4"/>
        <v>2018/09/01&amp;00:00:00</v>
      </c>
      <c r="M190" s="13" t="str">
        <f t="shared" si="5"/>
        <v>2018/09/01&amp;23:59:59</v>
      </c>
      <c r="N190" s="3">
        <v>1</v>
      </c>
      <c r="O190" s="3">
        <v>1</v>
      </c>
      <c r="P190" s="3">
        <v>0</v>
      </c>
      <c r="Q190" s="5">
        <f>VLOOKUP(表1[[#This Row],[名称]],[1]!表1[#Data],18,FALSE)*10</f>
        <v>3.8</v>
      </c>
      <c r="R190" s="3" t="s">
        <v>41</v>
      </c>
      <c r="S190" s="15" t="s">
        <v>66</v>
      </c>
    </row>
    <row r="191" spans="1:19" x14ac:dyDescent="0.15">
      <c r="A191" s="3">
        <v>10186</v>
      </c>
      <c r="B191" s="5">
        <f>VLOOKUP(表1[[#This Row],[名称]],[1]!表1[#Data],3,FALSE)</f>
        <v>9072</v>
      </c>
      <c r="C191" s="5">
        <f>VLOOKUP(表1[[#This Row],[名称]],[1]!表1[#Data],4,FALSE)</f>
        <v>9493</v>
      </c>
      <c r="D191" s="5" t="str">
        <f>"gift_"&amp;表1[[#This Row],[价格]]</f>
        <v>gift_18</v>
      </c>
      <c r="E191" s="5">
        <f>VLOOKUP(表1[[#This Row],[iOS]],description!$G$1:$H$5,2,FALSE)</f>
        <v>3903</v>
      </c>
      <c r="F191" s="3" t="s">
        <v>40</v>
      </c>
      <c r="G191" s="3" t="str">
        <f>"[[""r000"","&amp;表1[[#This Row],[价格]]&amp;"]]"</f>
        <v>[["r000",18]]</v>
      </c>
      <c r="H191" s="12">
        <f>VLOOKUP(表1[[#This Row],[名称]],[1]!表1[#Data],5,FALSE)</f>
        <v>18</v>
      </c>
      <c r="I191" s="5" t="str">
        <f>VLOOKUP(表1[[#This Row],[名称]],[1]!表1[#Data],19,FALSE)</f>
        <v>[["i016",10],["i001",50000],["i400",5],["i004",5]]</v>
      </c>
      <c r="J191" s="3">
        <v>1</v>
      </c>
      <c r="K191" s="3">
        <v>1</v>
      </c>
      <c r="L191" s="3" t="str">
        <f t="shared" si="4"/>
        <v>2018/09/02&amp;00:00:00</v>
      </c>
      <c r="M191" s="13" t="str">
        <f t="shared" si="5"/>
        <v>2018/09/02&amp;23:59:59</v>
      </c>
      <c r="N191" s="3">
        <v>1</v>
      </c>
      <c r="O191" s="3">
        <v>1</v>
      </c>
      <c r="P191" s="3">
        <v>0</v>
      </c>
      <c r="Q191" s="5">
        <f>VLOOKUP(表1[[#This Row],[名称]],[1]!表1[#Data],18,FALSE)*10</f>
        <v>1.5</v>
      </c>
      <c r="R191" s="11" t="s">
        <v>61</v>
      </c>
      <c r="S191" s="15" t="s">
        <v>67</v>
      </c>
    </row>
    <row r="192" spans="1:19" x14ac:dyDescent="0.15">
      <c r="A192" s="3">
        <v>10187</v>
      </c>
      <c r="B192" s="5">
        <f>VLOOKUP(表1[[#This Row],[名称]],[1]!表1[#Data],3,FALSE)</f>
        <v>9055</v>
      </c>
      <c r="C192" s="5">
        <f>VLOOKUP(表1[[#This Row],[名称]],[1]!表1[#Data],4,FALSE)</f>
        <v>9476</v>
      </c>
      <c r="D192" s="5" t="str">
        <f>"gift_"&amp;表1[[#This Row],[价格]]</f>
        <v>gift_6</v>
      </c>
      <c r="E192" s="5">
        <f>VLOOKUP(表1[[#This Row],[iOS]],description!$G$1:$H$5,2,FALSE)</f>
        <v>3901</v>
      </c>
      <c r="F192" s="3" t="s">
        <v>40</v>
      </c>
      <c r="G192" s="3" t="str">
        <f>"[[""r000"","&amp;表1[[#This Row],[价格]]&amp;"]]"</f>
        <v>[["r000",6]]</v>
      </c>
      <c r="H192" s="12">
        <f>VLOOKUP(表1[[#This Row],[名称]],[1]!表1[#Data],5,FALSE)</f>
        <v>6</v>
      </c>
      <c r="I192" s="5" t="str">
        <f>VLOOKUP(表1[[#This Row],[名称]],[1]!表1[#Data],19,FALSE)</f>
        <v>[["i011",50],["i001",100000],["i004",1],["i015",1]]</v>
      </c>
      <c r="J192" s="3">
        <v>1</v>
      </c>
      <c r="K192" s="3">
        <v>1</v>
      </c>
      <c r="L192" s="3" t="str">
        <f t="shared" si="4"/>
        <v>2018/09/03&amp;00:00:00</v>
      </c>
      <c r="M192" s="13" t="str">
        <f t="shared" si="5"/>
        <v>2018/09/03&amp;23:59:59</v>
      </c>
      <c r="N192" s="3">
        <v>1</v>
      </c>
      <c r="O192" s="3">
        <v>1</v>
      </c>
      <c r="P192" s="3">
        <v>0</v>
      </c>
      <c r="Q192" s="5">
        <f>VLOOKUP(表1[[#This Row],[名称]],[1]!表1[#Data],18,FALSE)*10</f>
        <v>2.4</v>
      </c>
      <c r="R192" s="11" t="s">
        <v>60</v>
      </c>
      <c r="S192" s="15" t="s">
        <v>68</v>
      </c>
    </row>
    <row r="193" spans="1:19" x14ac:dyDescent="0.15">
      <c r="A193" s="3">
        <v>10188</v>
      </c>
      <c r="B193" s="5">
        <f>VLOOKUP(表1[[#This Row],[名称]],[1]!表1[#Data],3,FALSE)</f>
        <v>9055</v>
      </c>
      <c r="C193" s="5">
        <f>VLOOKUP(表1[[#This Row],[名称]],[1]!表1[#Data],4,FALSE)</f>
        <v>9476</v>
      </c>
      <c r="D193" s="5" t="str">
        <f>"gift_"&amp;表1[[#This Row],[价格]]</f>
        <v>gift_6</v>
      </c>
      <c r="E193" s="5">
        <f>VLOOKUP(表1[[#This Row],[iOS]],description!$G$1:$H$5,2,FALSE)</f>
        <v>3901</v>
      </c>
      <c r="F193" s="3" t="s">
        <v>40</v>
      </c>
      <c r="G193" s="3" t="str">
        <f>"[[""r000"","&amp;表1[[#This Row],[价格]]&amp;"]]"</f>
        <v>[["r000",6]]</v>
      </c>
      <c r="H193" s="12">
        <f>VLOOKUP(表1[[#This Row],[名称]],[1]!表1[#Data],5,FALSE)</f>
        <v>6</v>
      </c>
      <c r="I193" s="5" t="str">
        <f>VLOOKUP(表1[[#This Row],[名称]],[1]!表1[#Data],19,FALSE)</f>
        <v>[["i006",25],["i001",50000],["i004",1],["i015",1]]</v>
      </c>
      <c r="J193" s="3">
        <v>1</v>
      </c>
      <c r="K193" s="3">
        <v>1</v>
      </c>
      <c r="L193" s="3" t="str">
        <f t="shared" si="4"/>
        <v>2018/09/04&amp;00:00:00</v>
      </c>
      <c r="M193" s="13" t="str">
        <f t="shared" si="5"/>
        <v>2018/09/04&amp;23:59:59</v>
      </c>
      <c r="N193" s="3">
        <v>1</v>
      </c>
      <c r="O193" s="3">
        <v>1</v>
      </c>
      <c r="P193" s="3">
        <v>0</v>
      </c>
      <c r="Q193" s="5">
        <f>VLOOKUP(表1[[#This Row],[名称]],[1]!表1[#Data],18,FALSE)*10</f>
        <v>1.9</v>
      </c>
      <c r="R193" s="11" t="s">
        <v>59</v>
      </c>
      <c r="S193" s="15" t="s">
        <v>69</v>
      </c>
    </row>
    <row r="194" spans="1:19" x14ac:dyDescent="0.15">
      <c r="A194" s="3">
        <v>10189</v>
      </c>
      <c r="B194" s="5">
        <f>VLOOKUP(表1[[#This Row],[名称]],[1]!表1[#Data],3,FALSE)</f>
        <v>9056</v>
      </c>
      <c r="C194" s="5">
        <f>VLOOKUP(表1[[#This Row],[名称]],[1]!表1[#Data],4,FALSE)</f>
        <v>9477</v>
      </c>
      <c r="D194" s="5" t="str">
        <f>"gift_"&amp;表1[[#This Row],[价格]]</f>
        <v>gift_12</v>
      </c>
      <c r="E194" s="5">
        <f>VLOOKUP(表1[[#This Row],[iOS]],description!$G$1:$H$5,2,FALSE)</f>
        <v>3902</v>
      </c>
      <c r="F194" s="3" t="s">
        <v>40</v>
      </c>
      <c r="G194" s="3" t="str">
        <f>"[[""r000"","&amp;表1[[#This Row],[价格]]&amp;"]]"</f>
        <v>[["r000",12]]</v>
      </c>
      <c r="H194" s="12">
        <f>VLOOKUP(表1[[#This Row],[名称]],[1]!表1[#Data],5,FALSE)</f>
        <v>12</v>
      </c>
      <c r="I194" s="5" t="str">
        <f>VLOOKUP(表1[[#This Row],[名称]],[1]!表1[#Data],19,FALSE)</f>
        <v>[["i240",180],["i002",150],["i001",50000],["i220",5]]</v>
      </c>
      <c r="J194" s="3">
        <v>1</v>
      </c>
      <c r="K194" s="3">
        <v>1</v>
      </c>
      <c r="L194" s="3" t="str">
        <f t="shared" si="4"/>
        <v>2018/09/05&amp;00:00:00</v>
      </c>
      <c r="M194" s="13" t="str">
        <f t="shared" si="5"/>
        <v>2018/09/05&amp;23:59:59</v>
      </c>
      <c r="N194" s="3">
        <v>1</v>
      </c>
      <c r="O194" s="3">
        <v>1</v>
      </c>
      <c r="P194" s="3">
        <v>0</v>
      </c>
      <c r="Q194" s="5">
        <f>VLOOKUP(表1[[#This Row],[名称]],[1]!表1[#Data],18,FALSE)*10</f>
        <v>2.5</v>
      </c>
      <c r="R194" s="11" t="s">
        <v>56</v>
      </c>
      <c r="S194" s="15" t="s">
        <v>70</v>
      </c>
    </row>
    <row r="195" spans="1:19" x14ac:dyDescent="0.15">
      <c r="A195" s="3">
        <v>10190</v>
      </c>
      <c r="B195" s="5">
        <f>VLOOKUP(表1[[#This Row],[名称]],[1]!表1[#Data],3,FALSE)</f>
        <v>9072</v>
      </c>
      <c r="C195" s="5">
        <f>VLOOKUP(表1[[#This Row],[名称]],[1]!表1[#Data],4,FALSE)</f>
        <v>9493</v>
      </c>
      <c r="D195" s="5" t="str">
        <f>"gift_"&amp;表1[[#This Row],[价格]]</f>
        <v>gift_18</v>
      </c>
      <c r="E195" s="5">
        <f>VLOOKUP(表1[[#This Row],[iOS]],description!$G$1:$H$5,2,FALSE)</f>
        <v>3903</v>
      </c>
      <c r="F195" s="3" t="s">
        <v>40</v>
      </c>
      <c r="G195" s="3" t="str">
        <f>"[[""r000"","&amp;表1[[#This Row],[价格]]&amp;"]]"</f>
        <v>[["r000",18]]</v>
      </c>
      <c r="H195" s="12">
        <f>VLOOKUP(表1[[#This Row],[名称]],[1]!表1[#Data],5,FALSE)</f>
        <v>18</v>
      </c>
      <c r="I195" s="5" t="str">
        <f>VLOOKUP(表1[[#This Row],[名称]],[1]!表1[#Data],19,FALSE)</f>
        <v>[["i001",300000],["i002",300],["i015",1],["i400",2]]</v>
      </c>
      <c r="J195" s="3">
        <v>1</v>
      </c>
      <c r="K195" s="3">
        <v>1</v>
      </c>
      <c r="L195" s="3" t="str">
        <f t="shared" si="4"/>
        <v>2018/09/06&amp;00:00:00</v>
      </c>
      <c r="M195" s="13" t="str">
        <f t="shared" si="5"/>
        <v>2018/09/06&amp;23:59:59</v>
      </c>
      <c r="N195" s="3">
        <v>1</v>
      </c>
      <c r="O195" s="3">
        <v>1</v>
      </c>
      <c r="P195" s="3">
        <v>0</v>
      </c>
      <c r="Q195" s="5">
        <f>VLOOKUP(表1[[#This Row],[名称]],[1]!表1[#Data],18,FALSE)*10</f>
        <v>4</v>
      </c>
      <c r="R195" s="3" t="s">
        <v>42</v>
      </c>
      <c r="S195" s="15" t="s">
        <v>71</v>
      </c>
    </row>
    <row r="196" spans="1:19" x14ac:dyDescent="0.15">
      <c r="A196" s="3">
        <v>10191</v>
      </c>
      <c r="B196" s="5">
        <f>VLOOKUP(表1[[#This Row],[名称]],[1]!表1[#Data],3,FALSE)</f>
        <v>9055</v>
      </c>
      <c r="C196" s="5">
        <f>VLOOKUP(表1[[#This Row],[名称]],[1]!表1[#Data],4,FALSE)</f>
        <v>9476</v>
      </c>
      <c r="D196" s="5" t="str">
        <f>"gift_"&amp;表1[[#This Row],[价格]]</f>
        <v>gift_6</v>
      </c>
      <c r="E196" s="5">
        <f>VLOOKUP(表1[[#This Row],[iOS]],description!$G$1:$H$5,2,FALSE)</f>
        <v>3901</v>
      </c>
      <c r="F196" s="3" t="s">
        <v>40</v>
      </c>
      <c r="G196" s="3" t="str">
        <f>"[[""r000"","&amp;表1[[#This Row],[价格]]&amp;"]]"</f>
        <v>[["r000",6]]</v>
      </c>
      <c r="H196" s="12">
        <f>VLOOKUP(表1[[#This Row],[名称]],[1]!表1[#Data],5,FALSE)</f>
        <v>6</v>
      </c>
      <c r="I196" s="5" t="str">
        <f>VLOOKUP(表1[[#This Row],[名称]],[1]!表1[#Data],19,FALSE)</f>
        <v>[["i400",20],["i002",50],["i015",1],["i220",2]]</v>
      </c>
      <c r="J196" s="3">
        <v>1</v>
      </c>
      <c r="K196" s="3">
        <v>1</v>
      </c>
      <c r="L196" s="3" t="str">
        <f t="shared" si="4"/>
        <v>2018/09/07&amp;00:00:00</v>
      </c>
      <c r="M196" s="13" t="str">
        <f t="shared" si="5"/>
        <v>2018/09/07&amp;23:59:59</v>
      </c>
      <c r="N196" s="3">
        <v>1</v>
      </c>
      <c r="O196" s="3">
        <v>1</v>
      </c>
      <c r="P196" s="3">
        <v>0</v>
      </c>
      <c r="Q196" s="5">
        <f>VLOOKUP(表1[[#This Row],[名称]],[1]!表1[#Data],18,FALSE)*10</f>
        <v>1.9</v>
      </c>
      <c r="R196" s="11" t="s">
        <v>57</v>
      </c>
      <c r="S196" s="15" t="s">
        <v>72</v>
      </c>
    </row>
    <row r="197" spans="1:19" x14ac:dyDescent="0.15">
      <c r="A197" s="3">
        <v>10192</v>
      </c>
      <c r="B197" s="5">
        <f>VLOOKUP(表1[[#This Row],[名称]],[1]!表1[#Data],3,FALSE)</f>
        <v>9067</v>
      </c>
      <c r="C197" s="5">
        <f>VLOOKUP(表1[[#This Row],[名称]],[1]!表1[#Data],4,FALSE)</f>
        <v>9488</v>
      </c>
      <c r="D197" s="5" t="str">
        <f>"gift_"&amp;表1[[#This Row],[价格]]</f>
        <v>gift_30</v>
      </c>
      <c r="E197" s="5">
        <f>VLOOKUP(表1[[#This Row],[iOS]],description!$G$1:$H$5,2,FALSE)</f>
        <v>3904</v>
      </c>
      <c r="F197" s="3" t="s">
        <v>40</v>
      </c>
      <c r="G197" s="3" t="str">
        <f>"[[""r000"","&amp;表1[[#This Row],[价格]]&amp;"]]"</f>
        <v>[["r000",30]]</v>
      </c>
      <c r="H197" s="12">
        <f>VLOOKUP(表1[[#This Row],[名称]],[1]!表1[#Data],5,FALSE)</f>
        <v>30</v>
      </c>
      <c r="I197" s="5" t="str">
        <f>VLOOKUP(表1[[#This Row],[名称]],[1]!表1[#Data],19,FALSE)</f>
        <v>[["i001",400000],["i002",400],["i015",1],["i006",5]]</v>
      </c>
      <c r="J197" s="3">
        <v>1</v>
      </c>
      <c r="K197" s="3">
        <v>1</v>
      </c>
      <c r="L197" s="3" t="str">
        <f t="shared" ref="L197:L228" si="6">YEAR(43159+ROW()-5)&amp;"/"&amp;IF(MONTH(43159+ROW()-5)&lt;10,"0","")&amp;MONTH(43159+ROW()-5)&amp;"/"&amp;IF(DAY(43159+ROW()-5)&lt;10,"0","")&amp;DAY(43159+ROW()-5)&amp;"&amp;00:00:00"</f>
        <v>2018/09/08&amp;00:00:00</v>
      </c>
      <c r="M197" s="13" t="str">
        <f t="shared" ref="M197:M228" si="7">YEAR(43159+ROW()-5)&amp;"/"&amp;IF(MONTH(43159+ROW()-5)&lt;10,"0","")&amp;MONTH(43159+ROW()-5)&amp;"/"&amp;IF(DAY(43159+ROW()-5)&lt;10,"0","")&amp;DAY(43159+ROW()-5)&amp;"&amp;23:59:59"</f>
        <v>2018/09/08&amp;23:59:59</v>
      </c>
      <c r="N197" s="3">
        <v>1</v>
      </c>
      <c r="O197" s="3">
        <v>1</v>
      </c>
      <c r="P197" s="3">
        <v>0</v>
      </c>
      <c r="Q197" s="5">
        <f>VLOOKUP(表1[[#This Row],[名称]],[1]!表1[#Data],18,FALSE)*10</f>
        <v>3.8</v>
      </c>
      <c r="R197" s="3" t="s">
        <v>43</v>
      </c>
      <c r="S197" s="15" t="s">
        <v>73</v>
      </c>
    </row>
    <row r="198" spans="1:19" x14ac:dyDescent="0.15">
      <c r="A198" s="3">
        <v>10193</v>
      </c>
      <c r="B198" s="5">
        <f>VLOOKUP(表1[[#This Row],[名称]],[1]!表1[#Data],3,FALSE)</f>
        <v>9075</v>
      </c>
      <c r="C198" s="5">
        <f>VLOOKUP(表1[[#This Row],[名称]],[1]!表1[#Data],4,FALSE)</f>
        <v>9496</v>
      </c>
      <c r="D198" s="5" t="str">
        <f>"gift_"&amp;表1[[#This Row],[价格]]</f>
        <v>gift_45</v>
      </c>
      <c r="E198" s="5">
        <f>VLOOKUP(表1[[#This Row],[iOS]],description!$G$1:$H$5,2,FALSE)</f>
        <v>3905</v>
      </c>
      <c r="F198" s="3" t="s">
        <v>40</v>
      </c>
      <c r="G198" s="3" t="str">
        <f>"[[""r000"","&amp;表1[[#This Row],[价格]]&amp;"]]"</f>
        <v>[["r000",45]]</v>
      </c>
      <c r="H198" s="12">
        <f>VLOOKUP(表1[[#This Row],[名称]],[1]!表1[#Data],5,FALSE)</f>
        <v>45</v>
      </c>
      <c r="I198" s="5" t="str">
        <f>VLOOKUP(表1[[#This Row],[名称]],[1]!表1[#Data],19,FALSE)</f>
        <v>[["i017",8],["i002",100],["i004",10],["i006",10]]</v>
      </c>
      <c r="J198" s="3">
        <v>1</v>
      </c>
      <c r="K198" s="3">
        <v>1</v>
      </c>
      <c r="L198" s="3" t="str">
        <f t="shared" si="6"/>
        <v>2018/09/09&amp;00:00:00</v>
      </c>
      <c r="M198" s="13" t="str">
        <f t="shared" si="7"/>
        <v>2018/09/09&amp;23:59:59</v>
      </c>
      <c r="N198" s="3">
        <v>1</v>
      </c>
      <c r="O198" s="3">
        <v>1</v>
      </c>
      <c r="P198" s="3">
        <v>0</v>
      </c>
      <c r="Q198" s="5">
        <f>VLOOKUP(表1[[#This Row],[名称]],[1]!表1[#Data],18,FALSE)*10</f>
        <v>1</v>
      </c>
      <c r="R198" s="11" t="s">
        <v>62</v>
      </c>
      <c r="S198" s="15" t="s">
        <v>74</v>
      </c>
    </row>
    <row r="199" spans="1:19" x14ac:dyDescent="0.15">
      <c r="A199" s="3">
        <v>10194</v>
      </c>
      <c r="B199" s="5">
        <f>VLOOKUP(表1[[#This Row],[名称]],[1]!表1[#Data],3,FALSE)</f>
        <v>9055</v>
      </c>
      <c r="C199" s="5">
        <f>VLOOKUP(表1[[#This Row],[名称]],[1]!表1[#Data],4,FALSE)</f>
        <v>9476</v>
      </c>
      <c r="D199" s="5" t="str">
        <f>"gift_"&amp;表1[[#This Row],[价格]]</f>
        <v>gift_6</v>
      </c>
      <c r="E199" s="5">
        <f>VLOOKUP(表1[[#This Row],[iOS]],description!$G$1:$H$5,2,FALSE)</f>
        <v>3901</v>
      </c>
      <c r="F199" s="3" t="s">
        <v>40</v>
      </c>
      <c r="G199" s="3" t="str">
        <f>"[[""r000"","&amp;表1[[#This Row],[价格]]&amp;"]]"</f>
        <v>[["r000",6]]</v>
      </c>
      <c r="H199" s="12">
        <f>VLOOKUP(表1[[#This Row],[名称]],[1]!表1[#Data],5,FALSE)</f>
        <v>6</v>
      </c>
      <c r="I199" s="5" t="str">
        <f>VLOOKUP(表1[[#This Row],[名称]],[1]!表1[#Data],19,FALSE)</f>
        <v>[["i215",10],["i002",50],["i004",1],["i240",20]]</v>
      </c>
      <c r="J199" s="3">
        <v>1</v>
      </c>
      <c r="K199" s="3">
        <v>1</v>
      </c>
      <c r="L199" s="3" t="str">
        <f t="shared" si="6"/>
        <v>2018/09/10&amp;00:00:00</v>
      </c>
      <c r="M199" s="13" t="str">
        <f t="shared" si="7"/>
        <v>2018/09/10&amp;23:59:59</v>
      </c>
      <c r="N199" s="3">
        <v>1</v>
      </c>
      <c r="O199" s="3">
        <v>1</v>
      </c>
      <c r="P199" s="3">
        <v>0</v>
      </c>
      <c r="Q199" s="5">
        <f>VLOOKUP(表1[[#This Row],[名称]],[1]!表1[#Data],18,FALSE)*10</f>
        <v>2.7</v>
      </c>
      <c r="R199" s="11" t="s">
        <v>58</v>
      </c>
      <c r="S199" s="15" t="s">
        <v>65</v>
      </c>
    </row>
    <row r="200" spans="1:19" x14ac:dyDescent="0.15">
      <c r="A200" s="3">
        <v>10195</v>
      </c>
      <c r="B200" s="5">
        <f>VLOOKUP(表1[[#This Row],[名称]],[1]!表1[#Data],3,FALSE)</f>
        <v>9055</v>
      </c>
      <c r="C200" s="5">
        <f>VLOOKUP(表1[[#This Row],[名称]],[1]!表1[#Data],4,FALSE)</f>
        <v>9476</v>
      </c>
      <c r="D200" s="5" t="str">
        <f>"gift_"&amp;表1[[#This Row],[价格]]</f>
        <v>gift_6</v>
      </c>
      <c r="E200" s="5">
        <f>VLOOKUP(表1[[#This Row],[iOS]],description!$G$1:$H$5,2,FALSE)</f>
        <v>3901</v>
      </c>
      <c r="F200" s="3" t="s">
        <v>40</v>
      </c>
      <c r="G200" s="3" t="str">
        <f>"[[""r000"","&amp;表1[[#This Row],[价格]]&amp;"]]"</f>
        <v>[["r000",6]]</v>
      </c>
      <c r="H200" s="12">
        <f>VLOOKUP(表1[[#This Row],[名称]],[1]!表1[#Data],5,FALSE)</f>
        <v>6</v>
      </c>
      <c r="I200" s="5" t="str">
        <f>VLOOKUP(表1[[#This Row],[名称]],[1]!表1[#Data],19,FALSE)</f>
        <v>[["i006",25],["i001",50000],["i004",1],["i015",1]]</v>
      </c>
      <c r="J200" s="3">
        <v>1</v>
      </c>
      <c r="K200" s="3">
        <v>1</v>
      </c>
      <c r="L200" s="3" t="str">
        <f t="shared" si="6"/>
        <v>2018/09/11&amp;00:00:00</v>
      </c>
      <c r="M200" s="13" t="str">
        <f t="shared" si="7"/>
        <v>2018/09/11&amp;23:59:59</v>
      </c>
      <c r="N200" s="3">
        <v>1</v>
      </c>
      <c r="O200" s="3">
        <v>1</v>
      </c>
      <c r="P200" s="3">
        <v>0</v>
      </c>
      <c r="Q200" s="5">
        <f>VLOOKUP(表1[[#This Row],[名称]],[1]!表1[#Data],18,FALSE)*10</f>
        <v>1.9</v>
      </c>
      <c r="R200" s="11" t="s">
        <v>59</v>
      </c>
      <c r="S200" s="15" t="s">
        <v>69</v>
      </c>
    </row>
    <row r="201" spans="1:19" x14ac:dyDescent="0.15">
      <c r="A201" s="3">
        <v>10196</v>
      </c>
      <c r="B201" s="5">
        <f>VLOOKUP(表1[[#This Row],[名称]],[1]!表1[#Data],3,FALSE)</f>
        <v>9055</v>
      </c>
      <c r="C201" s="5">
        <f>VLOOKUP(表1[[#This Row],[名称]],[1]!表1[#Data],4,FALSE)</f>
        <v>9476</v>
      </c>
      <c r="D201" s="5" t="str">
        <f>"gift_"&amp;表1[[#This Row],[价格]]</f>
        <v>gift_6</v>
      </c>
      <c r="E201" s="5">
        <f>VLOOKUP(表1[[#This Row],[iOS]],description!$G$1:$H$5,2,FALSE)</f>
        <v>3901</v>
      </c>
      <c r="F201" s="3" t="s">
        <v>40</v>
      </c>
      <c r="G201" s="3" t="str">
        <f>"[[""r000"","&amp;表1[[#This Row],[价格]]&amp;"]]"</f>
        <v>[["r000",6]]</v>
      </c>
      <c r="H201" s="12">
        <f>VLOOKUP(表1[[#This Row],[名称]],[1]!表1[#Data],5,FALSE)</f>
        <v>6</v>
      </c>
      <c r="I201" s="5" t="str">
        <f>VLOOKUP(表1[[#This Row],[名称]],[1]!表1[#Data],19,FALSE)</f>
        <v>[["i006",25],["i001",50000],["i004",1],["i015",1]]</v>
      </c>
      <c r="J201" s="3">
        <v>1</v>
      </c>
      <c r="K201" s="3">
        <v>1</v>
      </c>
      <c r="L201" s="3" t="str">
        <f t="shared" si="6"/>
        <v>2018/09/12&amp;00:00:00</v>
      </c>
      <c r="M201" s="13" t="str">
        <f t="shared" si="7"/>
        <v>2018/09/12&amp;23:59:59</v>
      </c>
      <c r="N201" s="3">
        <v>1</v>
      </c>
      <c r="O201" s="3">
        <v>1</v>
      </c>
      <c r="P201" s="3">
        <v>0</v>
      </c>
      <c r="Q201" s="5">
        <f>VLOOKUP(表1[[#This Row],[名称]],[1]!表1[#Data],18,FALSE)*10</f>
        <v>1.9</v>
      </c>
      <c r="R201" s="11" t="s">
        <v>59</v>
      </c>
      <c r="S201" s="15" t="s">
        <v>69</v>
      </c>
    </row>
    <row r="202" spans="1:19" x14ac:dyDescent="0.15">
      <c r="A202" s="3">
        <v>10197</v>
      </c>
      <c r="B202" s="5">
        <f>VLOOKUP(表1[[#This Row],[名称]],[1]!表1[#Data],3,FALSE)</f>
        <v>9055</v>
      </c>
      <c r="C202" s="5">
        <f>VLOOKUP(表1[[#This Row],[名称]],[1]!表1[#Data],4,FALSE)</f>
        <v>9476</v>
      </c>
      <c r="D202" s="5" t="str">
        <f>"gift_"&amp;表1[[#This Row],[价格]]</f>
        <v>gift_6</v>
      </c>
      <c r="E202" s="5">
        <f>VLOOKUP(表1[[#This Row],[iOS]],description!$G$1:$H$5,2,FALSE)</f>
        <v>3901</v>
      </c>
      <c r="F202" s="3" t="s">
        <v>40</v>
      </c>
      <c r="G202" s="3" t="str">
        <f>"[[""r000"","&amp;表1[[#This Row],[价格]]&amp;"]]"</f>
        <v>[["r000",6]]</v>
      </c>
      <c r="H202" s="12">
        <f>VLOOKUP(表1[[#This Row],[名称]],[1]!表1[#Data],5,FALSE)</f>
        <v>6</v>
      </c>
      <c r="I202" s="5" t="str">
        <f>VLOOKUP(表1[[#This Row],[名称]],[1]!表1[#Data],19,FALSE)</f>
        <v>[["i215",10],["i002",50],["i004",1],["i240",20]]</v>
      </c>
      <c r="J202" s="3">
        <v>1</v>
      </c>
      <c r="K202" s="3">
        <v>1</v>
      </c>
      <c r="L202" s="3" t="str">
        <f t="shared" si="6"/>
        <v>2018/09/13&amp;00:00:00</v>
      </c>
      <c r="M202" s="13" t="str">
        <f t="shared" si="7"/>
        <v>2018/09/13&amp;23:59:59</v>
      </c>
      <c r="N202" s="3">
        <v>1</v>
      </c>
      <c r="O202" s="3">
        <v>1</v>
      </c>
      <c r="P202" s="3">
        <v>0</v>
      </c>
      <c r="Q202" s="5">
        <f>VLOOKUP(表1[[#This Row],[名称]],[1]!表1[#Data],18,FALSE)*10</f>
        <v>2.7</v>
      </c>
      <c r="R202" s="11" t="s">
        <v>58</v>
      </c>
      <c r="S202" s="15" t="s">
        <v>65</v>
      </c>
    </row>
    <row r="203" spans="1:19" x14ac:dyDescent="0.15">
      <c r="A203" s="3">
        <v>10198</v>
      </c>
      <c r="B203" s="5">
        <f>VLOOKUP(表1[[#This Row],[名称]],[1]!表1[#Data],3,FALSE)</f>
        <v>9075</v>
      </c>
      <c r="C203" s="5">
        <f>VLOOKUP(表1[[#This Row],[名称]],[1]!表1[#Data],4,FALSE)</f>
        <v>9496</v>
      </c>
      <c r="D203" s="5" t="str">
        <f>"gift_"&amp;表1[[#This Row],[价格]]</f>
        <v>gift_45</v>
      </c>
      <c r="E203" s="5">
        <f>VLOOKUP(表1[[#This Row],[iOS]],description!$G$1:$H$5,2,FALSE)</f>
        <v>3905</v>
      </c>
      <c r="F203" s="3" t="s">
        <v>40</v>
      </c>
      <c r="G203" s="3" t="str">
        <f>"[[""r000"","&amp;表1[[#This Row],[价格]]&amp;"]]"</f>
        <v>[["r000",45]]</v>
      </c>
      <c r="H203" s="12">
        <f>VLOOKUP(表1[[#This Row],[名称]],[1]!表1[#Data],5,FALSE)</f>
        <v>45</v>
      </c>
      <c r="I203" s="5" t="str">
        <f>VLOOKUP(表1[[#This Row],[名称]],[1]!表1[#Data],19,FALSE)</f>
        <v>[["i017",8],["i002",100],["i004",10],["i006",10]]</v>
      </c>
      <c r="J203" s="3">
        <v>1</v>
      </c>
      <c r="K203" s="3">
        <v>1</v>
      </c>
      <c r="L203" s="3" t="str">
        <f t="shared" si="6"/>
        <v>2018/09/14&amp;00:00:00</v>
      </c>
      <c r="M203" s="13" t="str">
        <f t="shared" si="7"/>
        <v>2018/09/14&amp;23:59:59</v>
      </c>
      <c r="N203" s="3">
        <v>1</v>
      </c>
      <c r="O203" s="3">
        <v>1</v>
      </c>
      <c r="P203" s="3">
        <v>0</v>
      </c>
      <c r="Q203" s="5">
        <f>VLOOKUP(表1[[#This Row],[名称]],[1]!表1[#Data],18,FALSE)*10</f>
        <v>1</v>
      </c>
      <c r="R203" s="11" t="s">
        <v>62</v>
      </c>
      <c r="S203" s="15" t="s">
        <v>74</v>
      </c>
    </row>
    <row r="204" spans="1:19" x14ac:dyDescent="0.15">
      <c r="A204" s="3">
        <v>10199</v>
      </c>
      <c r="B204" s="5">
        <f>VLOOKUP(表1[[#This Row],[名称]],[1]!表1[#Data],3,FALSE)</f>
        <v>9067</v>
      </c>
      <c r="C204" s="5">
        <f>VLOOKUP(表1[[#This Row],[名称]],[1]!表1[#Data],4,FALSE)</f>
        <v>9488</v>
      </c>
      <c r="D204" s="5" t="str">
        <f>"gift_"&amp;表1[[#This Row],[价格]]</f>
        <v>gift_30</v>
      </c>
      <c r="E204" s="5">
        <f>VLOOKUP(表1[[#This Row],[iOS]],description!$G$1:$H$5,2,FALSE)</f>
        <v>3904</v>
      </c>
      <c r="F204" s="3" t="s">
        <v>40</v>
      </c>
      <c r="G204" s="3" t="str">
        <f>"[[""r000"","&amp;表1[[#This Row],[价格]]&amp;"]]"</f>
        <v>[["r000",30]]</v>
      </c>
      <c r="H204" s="12">
        <f>VLOOKUP(表1[[#This Row],[名称]],[1]!表1[#Data],5,FALSE)</f>
        <v>30</v>
      </c>
      <c r="I204" s="5" t="str">
        <f>VLOOKUP(表1[[#This Row],[名称]],[1]!表1[#Data],19,FALSE)</f>
        <v>[["i001",400000],["i002",400],["i015",1],["i006",5]]</v>
      </c>
      <c r="J204" s="3">
        <v>1</v>
      </c>
      <c r="K204" s="3">
        <v>1</v>
      </c>
      <c r="L204" s="3" t="str">
        <f t="shared" si="6"/>
        <v>2018/09/15&amp;00:00:00</v>
      </c>
      <c r="M204" s="13" t="str">
        <f t="shared" si="7"/>
        <v>2018/09/15&amp;23:59:59</v>
      </c>
      <c r="N204" s="3">
        <v>1</v>
      </c>
      <c r="O204" s="3">
        <v>1</v>
      </c>
      <c r="P204" s="3">
        <v>0</v>
      </c>
      <c r="Q204" s="5">
        <f>VLOOKUP(表1[[#This Row],[名称]],[1]!表1[#Data],18,FALSE)*10</f>
        <v>3.8</v>
      </c>
      <c r="R204" s="3" t="s">
        <v>43</v>
      </c>
      <c r="S204" s="15" t="s">
        <v>73</v>
      </c>
    </row>
    <row r="205" spans="1:19" x14ac:dyDescent="0.15">
      <c r="A205" s="3">
        <v>10200</v>
      </c>
      <c r="B205" s="5">
        <f>VLOOKUP(表1[[#This Row],[名称]],[1]!表1[#Data],3,FALSE)</f>
        <v>9055</v>
      </c>
      <c r="C205" s="5">
        <f>VLOOKUP(表1[[#This Row],[名称]],[1]!表1[#Data],4,FALSE)</f>
        <v>9476</v>
      </c>
      <c r="D205" s="5" t="str">
        <f>"gift_"&amp;表1[[#This Row],[价格]]</f>
        <v>gift_6</v>
      </c>
      <c r="E205" s="5">
        <f>VLOOKUP(表1[[#This Row],[iOS]],description!$G$1:$H$5,2,FALSE)</f>
        <v>3901</v>
      </c>
      <c r="F205" s="3" t="s">
        <v>40</v>
      </c>
      <c r="G205" s="3" t="str">
        <f>"[[""r000"","&amp;表1[[#This Row],[价格]]&amp;"]]"</f>
        <v>[["r000",6]]</v>
      </c>
      <c r="H205" s="12">
        <f>VLOOKUP(表1[[#This Row],[名称]],[1]!表1[#Data],5,FALSE)</f>
        <v>6</v>
      </c>
      <c r="I205" s="5" t="str">
        <f>VLOOKUP(表1[[#This Row],[名称]],[1]!表1[#Data],19,FALSE)</f>
        <v>[["i400",20],["i002",50],["i015",1],["i220",2]]</v>
      </c>
      <c r="J205" s="3">
        <v>1</v>
      </c>
      <c r="K205" s="3">
        <v>1</v>
      </c>
      <c r="L205" s="3" t="str">
        <f t="shared" si="6"/>
        <v>2018/09/16&amp;00:00:00</v>
      </c>
      <c r="M205" s="13" t="str">
        <f t="shared" si="7"/>
        <v>2018/09/16&amp;23:59:59</v>
      </c>
      <c r="N205" s="3">
        <v>1</v>
      </c>
      <c r="O205" s="3">
        <v>1</v>
      </c>
      <c r="P205" s="3">
        <v>0</v>
      </c>
      <c r="Q205" s="5">
        <f>VLOOKUP(表1[[#This Row],[名称]],[1]!表1[#Data],18,FALSE)*10</f>
        <v>1.9</v>
      </c>
      <c r="R205" s="11" t="s">
        <v>57</v>
      </c>
      <c r="S205" s="15" t="s">
        <v>72</v>
      </c>
    </row>
    <row r="206" spans="1:19" x14ac:dyDescent="0.15">
      <c r="A206" s="3">
        <v>10201</v>
      </c>
      <c r="B206" s="5">
        <f>VLOOKUP(表1[[#This Row],[名称]],[1]!表1[#Data],3,FALSE)</f>
        <v>9072</v>
      </c>
      <c r="C206" s="5">
        <f>VLOOKUP(表1[[#This Row],[名称]],[1]!表1[#Data],4,FALSE)</f>
        <v>9493</v>
      </c>
      <c r="D206" s="5" t="str">
        <f>"gift_"&amp;表1[[#This Row],[价格]]</f>
        <v>gift_18</v>
      </c>
      <c r="E206" s="5">
        <f>VLOOKUP(表1[[#This Row],[iOS]],description!$G$1:$H$5,2,FALSE)</f>
        <v>3903</v>
      </c>
      <c r="F206" s="3" t="s">
        <v>40</v>
      </c>
      <c r="G206" s="3" t="str">
        <f>"[[""r000"","&amp;表1[[#This Row],[价格]]&amp;"]]"</f>
        <v>[["r000",18]]</v>
      </c>
      <c r="H206" s="12">
        <f>VLOOKUP(表1[[#This Row],[名称]],[1]!表1[#Data],5,FALSE)</f>
        <v>18</v>
      </c>
      <c r="I206" s="5" t="str">
        <f>VLOOKUP(表1[[#This Row],[名称]],[1]!表1[#Data],19,FALSE)</f>
        <v>[["i001",300000],["i002",300],["i015",1],["i400",2]]</v>
      </c>
      <c r="J206" s="3">
        <v>1</v>
      </c>
      <c r="K206" s="3">
        <v>1</v>
      </c>
      <c r="L206" s="3" t="str">
        <f t="shared" si="6"/>
        <v>2018/09/17&amp;00:00:00</v>
      </c>
      <c r="M206" s="13" t="str">
        <f t="shared" si="7"/>
        <v>2018/09/17&amp;23:59:59</v>
      </c>
      <c r="N206" s="3">
        <v>1</v>
      </c>
      <c r="O206" s="3">
        <v>1</v>
      </c>
      <c r="P206" s="3">
        <v>0</v>
      </c>
      <c r="Q206" s="5">
        <f>VLOOKUP(表1[[#This Row],[名称]],[1]!表1[#Data],18,FALSE)*10</f>
        <v>4</v>
      </c>
      <c r="R206" s="3" t="s">
        <v>42</v>
      </c>
      <c r="S206" s="15" t="s">
        <v>71</v>
      </c>
    </row>
    <row r="207" spans="1:19" x14ac:dyDescent="0.15">
      <c r="A207" s="3">
        <v>10202</v>
      </c>
      <c r="B207" s="5">
        <f>VLOOKUP(表1[[#This Row],[名称]],[1]!表1[#Data],3,FALSE)</f>
        <v>9056</v>
      </c>
      <c r="C207" s="5">
        <f>VLOOKUP(表1[[#This Row],[名称]],[1]!表1[#Data],4,FALSE)</f>
        <v>9477</v>
      </c>
      <c r="D207" s="5" t="str">
        <f>"gift_"&amp;表1[[#This Row],[价格]]</f>
        <v>gift_12</v>
      </c>
      <c r="E207" s="5">
        <f>VLOOKUP(表1[[#This Row],[iOS]],description!$G$1:$H$5,2,FALSE)</f>
        <v>3902</v>
      </c>
      <c r="F207" s="3" t="s">
        <v>40</v>
      </c>
      <c r="G207" s="3" t="str">
        <f>"[[""r000"","&amp;表1[[#This Row],[价格]]&amp;"]]"</f>
        <v>[["r000",12]]</v>
      </c>
      <c r="H207" s="12">
        <f>VLOOKUP(表1[[#This Row],[名称]],[1]!表1[#Data],5,FALSE)</f>
        <v>12</v>
      </c>
      <c r="I207" s="5" t="str">
        <f>VLOOKUP(表1[[#This Row],[名称]],[1]!表1[#Data],19,FALSE)</f>
        <v>[["i240",180],["i002",150],["i001",50000],["i220",5]]</v>
      </c>
      <c r="J207" s="3">
        <v>1</v>
      </c>
      <c r="K207" s="3">
        <v>1</v>
      </c>
      <c r="L207" s="3" t="str">
        <f t="shared" si="6"/>
        <v>2018/09/18&amp;00:00:00</v>
      </c>
      <c r="M207" s="13" t="str">
        <f t="shared" si="7"/>
        <v>2018/09/18&amp;23:59:59</v>
      </c>
      <c r="N207" s="3">
        <v>1</v>
      </c>
      <c r="O207" s="3">
        <v>1</v>
      </c>
      <c r="P207" s="3">
        <v>0</v>
      </c>
      <c r="Q207" s="5">
        <f>VLOOKUP(表1[[#This Row],[名称]],[1]!表1[#Data],18,FALSE)*10</f>
        <v>2.5</v>
      </c>
      <c r="R207" s="11" t="s">
        <v>56</v>
      </c>
      <c r="S207" s="15" t="s">
        <v>70</v>
      </c>
    </row>
    <row r="208" spans="1:19" x14ac:dyDescent="0.15">
      <c r="A208" s="3">
        <v>10203</v>
      </c>
      <c r="B208" s="5">
        <f>VLOOKUP(表1[[#This Row],[名称]],[1]!表1[#Data],3,FALSE)</f>
        <v>9055</v>
      </c>
      <c r="C208" s="5">
        <f>VLOOKUP(表1[[#This Row],[名称]],[1]!表1[#Data],4,FALSE)</f>
        <v>9476</v>
      </c>
      <c r="D208" s="5" t="str">
        <f>"gift_"&amp;表1[[#This Row],[价格]]</f>
        <v>gift_6</v>
      </c>
      <c r="E208" s="5">
        <f>VLOOKUP(表1[[#This Row],[iOS]],description!$G$1:$H$5,2,FALSE)</f>
        <v>3901</v>
      </c>
      <c r="F208" s="3" t="s">
        <v>40</v>
      </c>
      <c r="G208" s="3" t="str">
        <f>"[[""r000"","&amp;表1[[#This Row],[价格]]&amp;"]]"</f>
        <v>[["r000",6]]</v>
      </c>
      <c r="H208" s="12">
        <f>VLOOKUP(表1[[#This Row],[名称]],[1]!表1[#Data],5,FALSE)</f>
        <v>6</v>
      </c>
      <c r="I208" s="5" t="str">
        <f>VLOOKUP(表1[[#This Row],[名称]],[1]!表1[#Data],19,FALSE)</f>
        <v>[["i006",25],["i001",50000],["i004",1],["i015",1]]</v>
      </c>
      <c r="J208" s="3">
        <v>1</v>
      </c>
      <c r="K208" s="3">
        <v>1</v>
      </c>
      <c r="L208" s="3" t="str">
        <f t="shared" si="6"/>
        <v>2018/09/19&amp;00:00:00</v>
      </c>
      <c r="M208" s="13" t="str">
        <f t="shared" si="7"/>
        <v>2018/09/19&amp;23:59:59</v>
      </c>
      <c r="N208" s="3">
        <v>1</v>
      </c>
      <c r="O208" s="3">
        <v>1</v>
      </c>
      <c r="P208" s="3">
        <v>0</v>
      </c>
      <c r="Q208" s="5">
        <f>VLOOKUP(表1[[#This Row],[名称]],[1]!表1[#Data],18,FALSE)*10</f>
        <v>1.9</v>
      </c>
      <c r="R208" s="11" t="s">
        <v>59</v>
      </c>
      <c r="S208" s="15" t="s">
        <v>69</v>
      </c>
    </row>
    <row r="209" spans="1:19" x14ac:dyDescent="0.15">
      <c r="A209" s="3">
        <v>10204</v>
      </c>
      <c r="B209" s="5">
        <f>VLOOKUP(表1[[#This Row],[名称]],[1]!表1[#Data],3,FALSE)</f>
        <v>9055</v>
      </c>
      <c r="C209" s="5">
        <f>VLOOKUP(表1[[#This Row],[名称]],[1]!表1[#Data],4,FALSE)</f>
        <v>9476</v>
      </c>
      <c r="D209" s="5" t="str">
        <f>"gift_"&amp;表1[[#This Row],[价格]]</f>
        <v>gift_6</v>
      </c>
      <c r="E209" s="5">
        <f>VLOOKUP(表1[[#This Row],[iOS]],description!$G$1:$H$5,2,FALSE)</f>
        <v>3901</v>
      </c>
      <c r="F209" s="3" t="s">
        <v>40</v>
      </c>
      <c r="G209" s="3" t="str">
        <f>"[[""r000"","&amp;表1[[#This Row],[价格]]&amp;"]]"</f>
        <v>[["r000",6]]</v>
      </c>
      <c r="H209" s="12">
        <f>VLOOKUP(表1[[#This Row],[名称]],[1]!表1[#Data],5,FALSE)</f>
        <v>6</v>
      </c>
      <c r="I209" s="5" t="str">
        <f>VLOOKUP(表1[[#This Row],[名称]],[1]!表1[#Data],19,FALSE)</f>
        <v>[["i011",50],["i001",100000],["i004",1],["i015",1]]</v>
      </c>
      <c r="J209" s="3">
        <v>1</v>
      </c>
      <c r="K209" s="3">
        <v>1</v>
      </c>
      <c r="L209" s="3" t="str">
        <f t="shared" si="6"/>
        <v>2018/09/20&amp;00:00:00</v>
      </c>
      <c r="M209" s="13" t="str">
        <f t="shared" si="7"/>
        <v>2018/09/20&amp;23:59:59</v>
      </c>
      <c r="N209" s="3">
        <v>1</v>
      </c>
      <c r="O209" s="3">
        <v>1</v>
      </c>
      <c r="P209" s="3">
        <v>0</v>
      </c>
      <c r="Q209" s="5">
        <f>VLOOKUP(表1[[#This Row],[名称]],[1]!表1[#Data],18,FALSE)*10</f>
        <v>2.4</v>
      </c>
      <c r="R209" s="11" t="s">
        <v>60</v>
      </c>
      <c r="S209" s="15" t="s">
        <v>68</v>
      </c>
    </row>
    <row r="210" spans="1:19" x14ac:dyDescent="0.15">
      <c r="A210" s="3">
        <v>10205</v>
      </c>
      <c r="B210" s="5">
        <f>VLOOKUP(表1[[#This Row],[名称]],[1]!表1[#Data],3,FALSE)</f>
        <v>9072</v>
      </c>
      <c r="C210" s="5">
        <f>VLOOKUP(表1[[#This Row],[名称]],[1]!表1[#Data],4,FALSE)</f>
        <v>9493</v>
      </c>
      <c r="D210" s="5" t="str">
        <f>"gift_"&amp;表1[[#This Row],[价格]]</f>
        <v>gift_18</v>
      </c>
      <c r="E210" s="5">
        <f>VLOOKUP(表1[[#This Row],[iOS]],description!$G$1:$H$5,2,FALSE)</f>
        <v>3903</v>
      </c>
      <c r="F210" s="3" t="s">
        <v>40</v>
      </c>
      <c r="G210" s="3" t="str">
        <f>"[[""r000"","&amp;表1[[#This Row],[价格]]&amp;"]]"</f>
        <v>[["r000",18]]</v>
      </c>
      <c r="H210" s="12">
        <f>VLOOKUP(表1[[#This Row],[名称]],[1]!表1[#Data],5,FALSE)</f>
        <v>18</v>
      </c>
      <c r="I210" s="5" t="str">
        <f>VLOOKUP(表1[[#This Row],[名称]],[1]!表1[#Data],19,FALSE)</f>
        <v>[["i016",10],["i001",50000],["i400",5],["i004",5]]</v>
      </c>
      <c r="J210" s="3">
        <v>1</v>
      </c>
      <c r="K210" s="3">
        <v>1</v>
      </c>
      <c r="L210" s="3" t="str">
        <f t="shared" si="6"/>
        <v>2018/09/21&amp;00:00:00</v>
      </c>
      <c r="M210" s="13" t="str">
        <f t="shared" si="7"/>
        <v>2018/09/21&amp;23:59:59</v>
      </c>
      <c r="N210" s="3">
        <v>1</v>
      </c>
      <c r="O210" s="3">
        <v>1</v>
      </c>
      <c r="P210" s="3">
        <v>0</v>
      </c>
      <c r="Q210" s="5">
        <f>VLOOKUP(表1[[#This Row],[名称]],[1]!表1[#Data],18,FALSE)*10</f>
        <v>1.5</v>
      </c>
      <c r="R210" s="11" t="s">
        <v>61</v>
      </c>
      <c r="S210" s="15" t="s">
        <v>67</v>
      </c>
    </row>
    <row r="211" spans="1:19" x14ac:dyDescent="0.15">
      <c r="A211" s="3">
        <v>10206</v>
      </c>
      <c r="B211" s="5">
        <f>VLOOKUP(表1[[#This Row],[名称]],[1]!表1[#Data],3,FALSE)</f>
        <v>9056</v>
      </c>
      <c r="C211" s="5">
        <f>VLOOKUP(表1[[#This Row],[名称]],[1]!表1[#Data],4,FALSE)</f>
        <v>9477</v>
      </c>
      <c r="D211" s="5" t="str">
        <f>"gift_"&amp;表1[[#This Row],[价格]]</f>
        <v>gift_12</v>
      </c>
      <c r="E211" s="5">
        <f>VLOOKUP(表1[[#This Row],[iOS]],description!$G$1:$H$5,2,FALSE)</f>
        <v>3902</v>
      </c>
      <c r="F211" s="3" t="s">
        <v>40</v>
      </c>
      <c r="G211" s="3" t="str">
        <f>"[[""r000"","&amp;表1[[#This Row],[价格]]&amp;"]]"</f>
        <v>[["r000",12]]</v>
      </c>
      <c r="H211" s="12">
        <f>VLOOKUP(表1[[#This Row],[名称]],[1]!表1[#Data],5,FALSE)</f>
        <v>12</v>
      </c>
      <c r="I211" s="5" t="str">
        <f>VLOOKUP(表1[[#This Row],[名称]],[1]!表1[#Data],19,FALSE)</f>
        <v>[["i001",200000],["i002",200],["i400",2],["i220",10]]</v>
      </c>
      <c r="J211" s="3">
        <v>1</v>
      </c>
      <c r="K211" s="3">
        <v>1</v>
      </c>
      <c r="L211" s="3" t="str">
        <f t="shared" si="6"/>
        <v>2018/09/22&amp;00:00:00</v>
      </c>
      <c r="M211" s="13" t="str">
        <f t="shared" si="7"/>
        <v>2018/09/22&amp;23:59:59</v>
      </c>
      <c r="N211" s="3">
        <v>1</v>
      </c>
      <c r="O211" s="3">
        <v>1</v>
      </c>
      <c r="P211" s="3">
        <v>0</v>
      </c>
      <c r="Q211" s="5">
        <f>VLOOKUP(表1[[#This Row],[名称]],[1]!表1[#Data],18,FALSE)*10</f>
        <v>3.8</v>
      </c>
      <c r="R211" s="3" t="s">
        <v>41</v>
      </c>
      <c r="S211" s="15" t="s">
        <v>66</v>
      </c>
    </row>
    <row r="212" spans="1:19" x14ac:dyDescent="0.15">
      <c r="A212" s="3">
        <v>10207</v>
      </c>
      <c r="B212" s="5">
        <f>VLOOKUP(表1[[#This Row],[名称]],[1]!表1[#Data],3,FALSE)</f>
        <v>9055</v>
      </c>
      <c r="C212" s="5">
        <f>VLOOKUP(表1[[#This Row],[名称]],[1]!表1[#Data],4,FALSE)</f>
        <v>9476</v>
      </c>
      <c r="D212" s="5" t="str">
        <f>"gift_"&amp;表1[[#This Row],[价格]]</f>
        <v>gift_6</v>
      </c>
      <c r="E212" s="5">
        <f>VLOOKUP(表1[[#This Row],[iOS]],description!$G$1:$H$5,2,FALSE)</f>
        <v>3901</v>
      </c>
      <c r="F212" s="3" t="s">
        <v>40</v>
      </c>
      <c r="G212" s="3" t="str">
        <f>"[[""r000"","&amp;表1[[#This Row],[价格]]&amp;"]]"</f>
        <v>[["r000",6]]</v>
      </c>
      <c r="H212" s="12">
        <f>VLOOKUP(表1[[#This Row],[名称]],[1]!表1[#Data],5,FALSE)</f>
        <v>6</v>
      </c>
      <c r="I212" s="5" t="str">
        <f>VLOOKUP(表1[[#This Row],[名称]],[1]!表1[#Data],19,FALSE)</f>
        <v>[["i215",10],["i002",50],["i004",1],["i240",20]]</v>
      </c>
      <c r="J212" s="3">
        <v>1</v>
      </c>
      <c r="K212" s="3">
        <v>1</v>
      </c>
      <c r="L212" s="3" t="str">
        <f t="shared" si="6"/>
        <v>2018/09/23&amp;00:00:00</v>
      </c>
      <c r="M212" s="13" t="str">
        <f t="shared" si="7"/>
        <v>2018/09/23&amp;23:59:59</v>
      </c>
      <c r="N212" s="3">
        <v>1</v>
      </c>
      <c r="O212" s="3">
        <v>1</v>
      </c>
      <c r="P212" s="3">
        <v>0</v>
      </c>
      <c r="Q212" s="5">
        <f>VLOOKUP(表1[[#This Row],[名称]],[1]!表1[#Data],18,FALSE)*10</f>
        <v>2.7</v>
      </c>
      <c r="R212" s="11" t="s">
        <v>58</v>
      </c>
      <c r="S212" s="15" t="s">
        <v>65</v>
      </c>
    </row>
    <row r="213" spans="1:19" x14ac:dyDescent="0.15">
      <c r="A213" s="3">
        <v>10208</v>
      </c>
      <c r="B213" s="5">
        <f>VLOOKUP(表1[[#This Row],[名称]],[1]!表1[#Data],3,FALSE)</f>
        <v>9056</v>
      </c>
      <c r="C213" s="5">
        <f>VLOOKUP(表1[[#This Row],[名称]],[1]!表1[#Data],4,FALSE)</f>
        <v>9477</v>
      </c>
      <c r="D213" s="5" t="str">
        <f>"gift_"&amp;表1[[#This Row],[价格]]</f>
        <v>gift_12</v>
      </c>
      <c r="E213" s="5">
        <f>VLOOKUP(表1[[#This Row],[iOS]],description!$G$1:$H$5,2,FALSE)</f>
        <v>3902</v>
      </c>
      <c r="F213" s="3" t="s">
        <v>40</v>
      </c>
      <c r="G213" s="3" t="str">
        <f>"[[""r000"","&amp;表1[[#This Row],[价格]]&amp;"]]"</f>
        <v>[["r000",12]]</v>
      </c>
      <c r="H213" s="12">
        <f>VLOOKUP(表1[[#This Row],[名称]],[1]!表1[#Data],5,FALSE)</f>
        <v>12</v>
      </c>
      <c r="I213" s="5" t="str">
        <f>VLOOKUP(表1[[#This Row],[名称]],[1]!表1[#Data],19,FALSE)</f>
        <v>[["i015",8],["i002",100],["i400",2],["i220",2]]</v>
      </c>
      <c r="J213" s="3">
        <v>1</v>
      </c>
      <c r="K213" s="3">
        <v>1</v>
      </c>
      <c r="L213" s="3" t="str">
        <f t="shared" si="6"/>
        <v>2018/09/24&amp;00:00:00</v>
      </c>
      <c r="M213" s="13" t="str">
        <f t="shared" si="7"/>
        <v>2018/09/24&amp;23:59:59</v>
      </c>
      <c r="N213" s="3">
        <v>1</v>
      </c>
      <c r="O213" s="3">
        <v>1</v>
      </c>
      <c r="P213" s="3">
        <v>0</v>
      </c>
      <c r="Q213" s="5">
        <f>VLOOKUP(表1[[#This Row],[名称]],[1]!表1[#Data],18,FALSE)*10</f>
        <v>3</v>
      </c>
      <c r="R213" s="11" t="s">
        <v>55</v>
      </c>
      <c r="S213" s="15" t="s">
        <v>64</v>
      </c>
    </row>
    <row r="214" spans="1:19" x14ac:dyDescent="0.15">
      <c r="A214" s="3">
        <v>10209</v>
      </c>
      <c r="B214" s="5">
        <f>VLOOKUP(表1[[#This Row],[名称]],[1]!表1[#Data],3,FALSE)</f>
        <v>9055</v>
      </c>
      <c r="C214" s="5">
        <f>VLOOKUP(表1[[#This Row],[名称]],[1]!表1[#Data],4,FALSE)</f>
        <v>9476</v>
      </c>
      <c r="D214" s="5" t="str">
        <f>"gift_"&amp;表1[[#This Row],[价格]]</f>
        <v>gift_6</v>
      </c>
      <c r="E214" s="5">
        <f>VLOOKUP(表1[[#This Row],[iOS]],description!$G$1:$H$5,2,FALSE)</f>
        <v>3901</v>
      </c>
      <c r="F214" s="3" t="s">
        <v>40</v>
      </c>
      <c r="G214" s="3" t="str">
        <f>"[[""r000"","&amp;表1[[#This Row],[价格]]&amp;"]]"</f>
        <v>[["r000",6]]</v>
      </c>
      <c r="H214" s="12">
        <f>VLOOKUP(表1[[#This Row],[名称]],[1]!表1[#Data],5,FALSE)</f>
        <v>6</v>
      </c>
      <c r="I214" s="5" t="str">
        <f>VLOOKUP(表1[[#This Row],[名称]],[1]!表1[#Data],19,FALSE)</f>
        <v>[["i001",100000],["i002",100],["i400",1],["i220",5]]</v>
      </c>
      <c r="J214" s="3">
        <v>1</v>
      </c>
      <c r="K214" s="3">
        <v>1</v>
      </c>
      <c r="L214" s="3" t="str">
        <f t="shared" si="6"/>
        <v>2018/09/25&amp;00:00:00</v>
      </c>
      <c r="M214" s="13" t="str">
        <f t="shared" si="7"/>
        <v>2018/09/25&amp;23:59:59</v>
      </c>
      <c r="N214" s="3">
        <v>1</v>
      </c>
      <c r="O214" s="3">
        <v>1</v>
      </c>
      <c r="P214" s="3">
        <v>0</v>
      </c>
      <c r="Q214" s="5">
        <f>VLOOKUP(表1[[#This Row],[名称]],[1]!表1[#Data],18,FALSE)*10</f>
        <v>3.5999999999999996</v>
      </c>
      <c r="R214" s="3" t="s">
        <v>39</v>
      </c>
      <c r="S214" s="15" t="s">
        <v>63</v>
      </c>
    </row>
    <row r="215" spans="1:19" x14ac:dyDescent="0.15">
      <c r="A215" s="3">
        <v>10210</v>
      </c>
      <c r="B215" s="5">
        <f>VLOOKUP(表1[[#This Row],[名称]],[1]!表1[#Data],3,FALSE)</f>
        <v>9075</v>
      </c>
      <c r="C215" s="5">
        <f>VLOOKUP(表1[[#This Row],[名称]],[1]!表1[#Data],4,FALSE)</f>
        <v>9496</v>
      </c>
      <c r="D215" s="5" t="str">
        <f>"gift_"&amp;表1[[#This Row],[价格]]</f>
        <v>gift_45</v>
      </c>
      <c r="E215" s="5">
        <f>VLOOKUP(表1[[#This Row],[iOS]],description!$G$1:$H$5,2,FALSE)</f>
        <v>3905</v>
      </c>
      <c r="F215" s="3" t="s">
        <v>40</v>
      </c>
      <c r="G215" s="3" t="str">
        <f>"[[""r000"","&amp;表1[[#This Row],[价格]]&amp;"]]"</f>
        <v>[["r000",45]]</v>
      </c>
      <c r="H215" s="12">
        <f>VLOOKUP(表1[[#This Row],[名称]],[1]!表1[#Data],5,FALSE)</f>
        <v>45</v>
      </c>
      <c r="I215" s="5" t="str">
        <f>VLOOKUP(表1[[#This Row],[名称]],[1]!表1[#Data],19,FALSE)</f>
        <v>[["i001",500000],["i002",500],["i015",1],["i004",4]]</v>
      </c>
      <c r="J215" s="3">
        <v>1</v>
      </c>
      <c r="K215" s="3">
        <v>1</v>
      </c>
      <c r="L215" s="3" t="str">
        <f t="shared" si="6"/>
        <v>2018/09/26&amp;00:00:00</v>
      </c>
      <c r="M215" s="13" t="str">
        <f t="shared" si="7"/>
        <v>2018/09/26&amp;23:59:59</v>
      </c>
      <c r="N215" s="3">
        <v>1</v>
      </c>
      <c r="O215" s="3">
        <v>1</v>
      </c>
      <c r="P215" s="3">
        <v>0</v>
      </c>
      <c r="Q215" s="5">
        <f>VLOOKUP(表1[[#This Row],[名称]],[1]!表1[#Data],18,FALSE)*10</f>
        <v>3.8</v>
      </c>
      <c r="R215" s="3" t="s">
        <v>44</v>
      </c>
      <c r="S215" s="15" t="s">
        <v>75</v>
      </c>
    </row>
    <row r="216" spans="1:19" x14ac:dyDescent="0.15">
      <c r="A216" s="3">
        <v>10211</v>
      </c>
      <c r="B216" s="5">
        <f>VLOOKUP(表1[[#This Row],[名称]],[1]!表1[#Data],3,FALSE)</f>
        <v>9055</v>
      </c>
      <c r="C216" s="5">
        <f>VLOOKUP(表1[[#This Row],[名称]],[1]!表1[#Data],4,FALSE)</f>
        <v>9476</v>
      </c>
      <c r="D216" s="5" t="str">
        <f>"gift_"&amp;表1[[#This Row],[价格]]</f>
        <v>gift_6</v>
      </c>
      <c r="E216" s="5">
        <f>VLOOKUP(表1[[#This Row],[iOS]],description!$G$1:$H$5,2,FALSE)</f>
        <v>3901</v>
      </c>
      <c r="F216" s="3" t="s">
        <v>40</v>
      </c>
      <c r="G216" s="3" t="str">
        <f>"[[""r000"","&amp;表1[[#This Row],[价格]]&amp;"]]"</f>
        <v>[["r000",6]]</v>
      </c>
      <c r="H216" s="14">
        <f>VLOOKUP(表1[[#This Row],[名称]],[1]!表1[#Data],5,FALSE)</f>
        <v>6</v>
      </c>
      <c r="I216" s="5" t="str">
        <f>VLOOKUP(表1[[#This Row],[名称]],[1]!表1[#Data],19,FALSE)</f>
        <v>[["i215",10],["i002",50],["i004",1],["i240",20]]</v>
      </c>
      <c r="J216" s="3">
        <v>1</v>
      </c>
      <c r="K216" s="3">
        <v>1</v>
      </c>
      <c r="L216" s="3" t="str">
        <f t="shared" si="6"/>
        <v>2018/09/27&amp;00:00:00</v>
      </c>
      <c r="M216" s="13" t="str">
        <f t="shared" si="7"/>
        <v>2018/09/27&amp;23:59:59</v>
      </c>
      <c r="N216" s="3">
        <v>1</v>
      </c>
      <c r="O216" s="3">
        <v>1</v>
      </c>
      <c r="P216" s="3">
        <v>0</v>
      </c>
      <c r="Q216" s="5">
        <f>VLOOKUP(表1[[#This Row],[名称]],[1]!表1[#Data],18,FALSE)*10</f>
        <v>2.7</v>
      </c>
      <c r="R216" s="11" t="s">
        <v>58</v>
      </c>
      <c r="S216" s="15" t="s">
        <v>65</v>
      </c>
    </row>
    <row r="217" spans="1:19" x14ac:dyDescent="0.15">
      <c r="A217" s="3">
        <v>10212</v>
      </c>
      <c r="B217" s="5">
        <f>VLOOKUP(表1[[#This Row],[名称]],[1]!表1[#Data],3,FALSE)</f>
        <v>9075</v>
      </c>
      <c r="C217" s="5">
        <f>VLOOKUP(表1[[#This Row],[名称]],[1]!表1[#Data],4,FALSE)</f>
        <v>9496</v>
      </c>
      <c r="D217" s="5" t="str">
        <f>"gift_"&amp;表1[[#This Row],[价格]]</f>
        <v>gift_45</v>
      </c>
      <c r="E217" s="5">
        <f>VLOOKUP(表1[[#This Row],[iOS]],description!$G$1:$H$5,2,FALSE)</f>
        <v>3905</v>
      </c>
      <c r="F217" s="3" t="s">
        <v>40</v>
      </c>
      <c r="G217" s="3" t="str">
        <f>"[[""r000"","&amp;表1[[#This Row],[价格]]&amp;"]]"</f>
        <v>[["r000",45]]</v>
      </c>
      <c r="H217" s="14">
        <f>VLOOKUP(表1[[#This Row],[名称]],[1]!表1[#Data],5,FALSE)</f>
        <v>45</v>
      </c>
      <c r="I217" s="5" t="str">
        <f>VLOOKUP(表1[[#This Row],[名称]],[1]!表1[#Data],19,FALSE)</f>
        <v>[["i017",8],["i002",100],["i004",10],["i006",10]]</v>
      </c>
      <c r="J217" s="3">
        <v>1</v>
      </c>
      <c r="K217" s="3">
        <v>1</v>
      </c>
      <c r="L217" s="3" t="str">
        <f t="shared" si="6"/>
        <v>2018/09/28&amp;00:00:00</v>
      </c>
      <c r="M217" s="13" t="str">
        <f t="shared" si="7"/>
        <v>2018/09/28&amp;23:59:59</v>
      </c>
      <c r="N217" s="3">
        <v>1</v>
      </c>
      <c r="O217" s="3">
        <v>1</v>
      </c>
      <c r="P217" s="3">
        <v>0</v>
      </c>
      <c r="Q217" s="5">
        <f>VLOOKUP(表1[[#This Row],[名称]],[1]!表1[#Data],18,FALSE)*10</f>
        <v>1</v>
      </c>
      <c r="R217" s="11" t="s">
        <v>62</v>
      </c>
      <c r="S217" s="15" t="s">
        <v>74</v>
      </c>
    </row>
    <row r="218" spans="1:19" x14ac:dyDescent="0.15">
      <c r="A218" s="3">
        <v>10213</v>
      </c>
      <c r="B218" s="5">
        <f>VLOOKUP(表1[[#This Row],[名称]],[1]!表1[#Data],3,FALSE)</f>
        <v>9067</v>
      </c>
      <c r="C218" s="5">
        <f>VLOOKUP(表1[[#This Row],[名称]],[1]!表1[#Data],4,FALSE)</f>
        <v>9488</v>
      </c>
      <c r="D218" s="5" t="str">
        <f>"gift_"&amp;表1[[#This Row],[价格]]</f>
        <v>gift_30</v>
      </c>
      <c r="E218" s="5">
        <f>VLOOKUP(表1[[#This Row],[iOS]],description!$G$1:$H$5,2,FALSE)</f>
        <v>3904</v>
      </c>
      <c r="F218" s="3" t="s">
        <v>40</v>
      </c>
      <c r="G218" s="3" t="str">
        <f>"[[""r000"","&amp;表1[[#This Row],[价格]]&amp;"]]"</f>
        <v>[["r000",30]]</v>
      </c>
      <c r="H218" s="14">
        <f>VLOOKUP(表1[[#This Row],[名称]],[1]!表1[#Data],5,FALSE)</f>
        <v>30</v>
      </c>
      <c r="I218" s="5" t="str">
        <f>VLOOKUP(表1[[#This Row],[名称]],[1]!表1[#Data],19,FALSE)</f>
        <v>[["i001",400000],["i002",400],["i015",1],["i006",5]]</v>
      </c>
      <c r="J218" s="3">
        <v>1</v>
      </c>
      <c r="K218" s="3">
        <v>1</v>
      </c>
      <c r="L218" s="3" t="str">
        <f t="shared" si="6"/>
        <v>2018/09/29&amp;00:00:00</v>
      </c>
      <c r="M218" s="13" t="str">
        <f t="shared" si="7"/>
        <v>2018/09/29&amp;23:59:59</v>
      </c>
      <c r="N218" s="3">
        <v>1</v>
      </c>
      <c r="O218" s="3">
        <v>1</v>
      </c>
      <c r="P218" s="3">
        <v>0</v>
      </c>
      <c r="Q218" s="5">
        <f>VLOOKUP(表1[[#This Row],[名称]],[1]!表1[#Data],18,FALSE)*10</f>
        <v>3.8</v>
      </c>
      <c r="R218" s="3" t="s">
        <v>43</v>
      </c>
      <c r="S218" s="15" t="s">
        <v>73</v>
      </c>
    </row>
    <row r="219" spans="1:19" x14ac:dyDescent="0.15">
      <c r="A219" s="3">
        <v>10214</v>
      </c>
      <c r="B219" s="5">
        <f>VLOOKUP(表1[[#This Row],[名称]],[1]!表1[#Data],3,FALSE)</f>
        <v>9055</v>
      </c>
      <c r="C219" s="5">
        <f>VLOOKUP(表1[[#This Row],[名称]],[1]!表1[#Data],4,FALSE)</f>
        <v>9476</v>
      </c>
      <c r="D219" s="5" t="str">
        <f>"gift_"&amp;表1[[#This Row],[价格]]</f>
        <v>gift_6</v>
      </c>
      <c r="E219" s="5">
        <f>VLOOKUP(表1[[#This Row],[iOS]],description!$G$1:$H$5,2,FALSE)</f>
        <v>3901</v>
      </c>
      <c r="F219" s="3" t="s">
        <v>40</v>
      </c>
      <c r="G219" s="3" t="str">
        <f>"[[""r000"","&amp;表1[[#This Row],[价格]]&amp;"]]"</f>
        <v>[["r000",6]]</v>
      </c>
      <c r="H219" s="14">
        <f>VLOOKUP(表1[[#This Row],[名称]],[1]!表1[#Data],5,FALSE)</f>
        <v>6</v>
      </c>
      <c r="I219" s="5" t="str">
        <f>VLOOKUP(表1[[#This Row],[名称]],[1]!表1[#Data],19,FALSE)</f>
        <v>[["i400",20],["i002",50],["i015",1],["i220",2]]</v>
      </c>
      <c r="J219" s="3">
        <v>1</v>
      </c>
      <c r="K219" s="3">
        <v>1</v>
      </c>
      <c r="L219" s="3" t="str">
        <f t="shared" si="6"/>
        <v>2018/09/30&amp;00:00:00</v>
      </c>
      <c r="M219" s="13" t="str">
        <f t="shared" si="7"/>
        <v>2018/09/30&amp;23:59:59</v>
      </c>
      <c r="N219" s="3">
        <v>1</v>
      </c>
      <c r="O219" s="3">
        <v>1</v>
      </c>
      <c r="P219" s="3">
        <v>0</v>
      </c>
      <c r="Q219" s="5">
        <f>VLOOKUP(表1[[#This Row],[名称]],[1]!表1[#Data],18,FALSE)*10</f>
        <v>1.9</v>
      </c>
      <c r="R219" s="11" t="s">
        <v>57</v>
      </c>
      <c r="S219" s="15" t="s">
        <v>72</v>
      </c>
    </row>
    <row r="220" spans="1:19" x14ac:dyDescent="0.15">
      <c r="A220" s="3">
        <v>10215</v>
      </c>
      <c r="B220" s="5">
        <f>VLOOKUP(表1[[#This Row],[名称]],[1]!表1[#Data],3,FALSE)</f>
        <v>9072</v>
      </c>
      <c r="C220" s="5">
        <f>VLOOKUP(表1[[#This Row],[名称]],[1]!表1[#Data],4,FALSE)</f>
        <v>9493</v>
      </c>
      <c r="D220" s="5" t="str">
        <f>"gift_"&amp;表1[[#This Row],[价格]]</f>
        <v>gift_18</v>
      </c>
      <c r="E220" s="5">
        <f>VLOOKUP(表1[[#This Row],[iOS]],description!$G$1:$H$5,2,FALSE)</f>
        <v>3903</v>
      </c>
      <c r="F220" s="3" t="s">
        <v>40</v>
      </c>
      <c r="G220" s="3" t="str">
        <f>"[[""r000"","&amp;表1[[#This Row],[价格]]&amp;"]]"</f>
        <v>[["r000",18]]</v>
      </c>
      <c r="H220" s="14">
        <f>VLOOKUP(表1[[#This Row],[名称]],[1]!表1[#Data],5,FALSE)</f>
        <v>18</v>
      </c>
      <c r="I220" s="5" t="str">
        <f>VLOOKUP(表1[[#This Row],[名称]],[1]!表1[#Data],19,FALSE)</f>
        <v>[["i001",300000],["i002",300],["i015",1],["i400",2]]</v>
      </c>
      <c r="J220" s="3">
        <v>1</v>
      </c>
      <c r="K220" s="3">
        <v>1</v>
      </c>
      <c r="L220" s="3" t="str">
        <f t="shared" si="6"/>
        <v>2018/10/01&amp;00:00:00</v>
      </c>
      <c r="M220" s="13" t="str">
        <f t="shared" si="7"/>
        <v>2018/10/01&amp;23:59:59</v>
      </c>
      <c r="N220" s="3">
        <v>1</v>
      </c>
      <c r="O220" s="3">
        <v>1</v>
      </c>
      <c r="P220" s="3">
        <v>0</v>
      </c>
      <c r="Q220" s="5">
        <f>VLOOKUP(表1[[#This Row],[名称]],[1]!表1[#Data],18,FALSE)*10</f>
        <v>4</v>
      </c>
      <c r="R220" s="3" t="s">
        <v>42</v>
      </c>
      <c r="S220" s="15" t="s">
        <v>71</v>
      </c>
    </row>
    <row r="221" spans="1:19" x14ac:dyDescent="0.15">
      <c r="A221" s="3">
        <v>10216</v>
      </c>
      <c r="B221" s="5">
        <f>VLOOKUP(表1[[#This Row],[名称]],[1]!表1[#Data],3,FALSE)</f>
        <v>9056</v>
      </c>
      <c r="C221" s="5">
        <f>VLOOKUP(表1[[#This Row],[名称]],[1]!表1[#Data],4,FALSE)</f>
        <v>9477</v>
      </c>
      <c r="D221" s="5" t="str">
        <f>"gift_"&amp;表1[[#This Row],[价格]]</f>
        <v>gift_12</v>
      </c>
      <c r="E221" s="5">
        <f>VLOOKUP(表1[[#This Row],[iOS]],description!$G$1:$H$5,2,FALSE)</f>
        <v>3902</v>
      </c>
      <c r="F221" s="3" t="s">
        <v>40</v>
      </c>
      <c r="G221" s="3" t="str">
        <f>"[[""r000"","&amp;表1[[#This Row],[价格]]&amp;"]]"</f>
        <v>[["r000",12]]</v>
      </c>
      <c r="H221" s="14">
        <f>VLOOKUP(表1[[#This Row],[名称]],[1]!表1[#Data],5,FALSE)</f>
        <v>12</v>
      </c>
      <c r="I221" s="5" t="str">
        <f>VLOOKUP(表1[[#This Row],[名称]],[1]!表1[#Data],19,FALSE)</f>
        <v>[["i240",180],["i002",150],["i001",50000],["i220",5]]</v>
      </c>
      <c r="J221" s="3">
        <v>1</v>
      </c>
      <c r="K221" s="3">
        <v>1</v>
      </c>
      <c r="L221" s="3" t="str">
        <f t="shared" si="6"/>
        <v>2018/10/02&amp;00:00:00</v>
      </c>
      <c r="M221" s="13" t="str">
        <f t="shared" si="7"/>
        <v>2018/10/02&amp;23:59:59</v>
      </c>
      <c r="N221" s="3">
        <v>1</v>
      </c>
      <c r="O221" s="3">
        <v>1</v>
      </c>
      <c r="P221" s="3">
        <v>0</v>
      </c>
      <c r="Q221" s="5">
        <f>VLOOKUP(表1[[#This Row],[名称]],[1]!表1[#Data],18,FALSE)*10</f>
        <v>2.5</v>
      </c>
      <c r="R221" s="11" t="s">
        <v>56</v>
      </c>
      <c r="S221" s="15" t="s">
        <v>70</v>
      </c>
    </row>
    <row r="222" spans="1:19" x14ac:dyDescent="0.15">
      <c r="A222" s="3">
        <v>10217</v>
      </c>
      <c r="B222" s="5">
        <f>VLOOKUP(表1[[#This Row],[名称]],[1]!表1[#Data],3,FALSE)</f>
        <v>9055</v>
      </c>
      <c r="C222" s="5">
        <f>VLOOKUP(表1[[#This Row],[名称]],[1]!表1[#Data],4,FALSE)</f>
        <v>9476</v>
      </c>
      <c r="D222" s="5" t="str">
        <f>"gift_"&amp;表1[[#This Row],[价格]]</f>
        <v>gift_6</v>
      </c>
      <c r="E222" s="5">
        <f>VLOOKUP(表1[[#This Row],[iOS]],description!$G$1:$H$5,2,FALSE)</f>
        <v>3901</v>
      </c>
      <c r="F222" s="3" t="s">
        <v>40</v>
      </c>
      <c r="G222" s="3" t="str">
        <f>"[[""r000"","&amp;表1[[#This Row],[价格]]&amp;"]]"</f>
        <v>[["r000",6]]</v>
      </c>
      <c r="H222" s="13">
        <f>VLOOKUP(表1[[#This Row],[名称]],[1]!表1[#Data],5,FALSE)</f>
        <v>6</v>
      </c>
      <c r="I222" s="5" t="str">
        <f>VLOOKUP(表1[[#This Row],[名称]],[1]!表1[#Data],19,FALSE)</f>
        <v>[["i006",25],["i001",50000],["i004",1],["i015",1]]</v>
      </c>
      <c r="J222" s="3">
        <v>1</v>
      </c>
      <c r="K222" s="3">
        <v>1</v>
      </c>
      <c r="L222" s="3" t="str">
        <f t="shared" si="6"/>
        <v>2018/10/03&amp;00:00:00</v>
      </c>
      <c r="M222" s="13" t="str">
        <f t="shared" si="7"/>
        <v>2018/10/03&amp;23:59:59</v>
      </c>
      <c r="N222" s="3">
        <v>1</v>
      </c>
      <c r="O222" s="3">
        <v>1</v>
      </c>
      <c r="P222" s="3">
        <v>0</v>
      </c>
      <c r="Q222" s="5">
        <f>VLOOKUP(表1[[#This Row],[名称]],[1]!表1[#Data],18,FALSE)*10</f>
        <v>1.9</v>
      </c>
      <c r="R222" s="11" t="s">
        <v>59</v>
      </c>
      <c r="S222" s="15" t="s">
        <v>69</v>
      </c>
    </row>
    <row r="223" spans="1:19" x14ac:dyDescent="0.15">
      <c r="A223" s="3">
        <v>10218</v>
      </c>
      <c r="B223" s="5">
        <f>VLOOKUP(表1[[#This Row],[名称]],[1]!表1[#Data],3,FALSE)</f>
        <v>9055</v>
      </c>
      <c r="C223" s="5">
        <f>VLOOKUP(表1[[#This Row],[名称]],[1]!表1[#Data],4,FALSE)</f>
        <v>9476</v>
      </c>
      <c r="D223" s="5" t="str">
        <f>"gift_"&amp;表1[[#This Row],[价格]]</f>
        <v>gift_6</v>
      </c>
      <c r="E223" s="5">
        <f>VLOOKUP(表1[[#This Row],[iOS]],description!$G$1:$H$5,2,FALSE)</f>
        <v>3901</v>
      </c>
      <c r="F223" s="3" t="s">
        <v>40</v>
      </c>
      <c r="G223" s="3" t="str">
        <f>"[[""r000"","&amp;表1[[#This Row],[价格]]&amp;"]]"</f>
        <v>[["r000",6]]</v>
      </c>
      <c r="H223" s="13">
        <f>VLOOKUP(表1[[#This Row],[名称]],[1]!表1[#Data],5,FALSE)</f>
        <v>6</v>
      </c>
      <c r="I223" s="5" t="str">
        <f>VLOOKUP(表1[[#This Row],[名称]],[1]!表1[#Data],19,FALSE)</f>
        <v>[["i011",50],["i001",100000],["i004",1],["i015",1]]</v>
      </c>
      <c r="J223" s="3">
        <v>1</v>
      </c>
      <c r="K223" s="3">
        <v>1</v>
      </c>
      <c r="L223" s="3" t="str">
        <f t="shared" si="6"/>
        <v>2018/10/04&amp;00:00:00</v>
      </c>
      <c r="M223" s="13" t="str">
        <f t="shared" si="7"/>
        <v>2018/10/04&amp;23:59:59</v>
      </c>
      <c r="N223" s="3">
        <v>1</v>
      </c>
      <c r="O223" s="3">
        <v>1</v>
      </c>
      <c r="P223" s="3">
        <v>0</v>
      </c>
      <c r="Q223" s="5">
        <f>VLOOKUP(表1[[#This Row],[名称]],[1]!表1[#Data],18,FALSE)*10</f>
        <v>2.4</v>
      </c>
      <c r="R223" s="11" t="s">
        <v>60</v>
      </c>
      <c r="S223" s="15" t="s">
        <v>68</v>
      </c>
    </row>
    <row r="224" spans="1:19" x14ac:dyDescent="0.15">
      <c r="A224" s="3">
        <v>10219</v>
      </c>
      <c r="B224" s="5">
        <f>VLOOKUP(表1[[#This Row],[名称]],[1]!表1[#Data],3,FALSE)</f>
        <v>9072</v>
      </c>
      <c r="C224" s="5">
        <f>VLOOKUP(表1[[#This Row],[名称]],[1]!表1[#Data],4,FALSE)</f>
        <v>9493</v>
      </c>
      <c r="D224" s="5" t="str">
        <f>"gift_"&amp;表1[[#This Row],[价格]]</f>
        <v>gift_18</v>
      </c>
      <c r="E224" s="5">
        <f>VLOOKUP(表1[[#This Row],[iOS]],description!$G$1:$H$5,2,FALSE)</f>
        <v>3903</v>
      </c>
      <c r="F224" s="3" t="s">
        <v>40</v>
      </c>
      <c r="G224" s="3" t="str">
        <f>"[[""r000"","&amp;表1[[#This Row],[价格]]&amp;"]]"</f>
        <v>[["r000",18]]</v>
      </c>
      <c r="H224" s="13">
        <f>VLOOKUP(表1[[#This Row],[名称]],[1]!表1[#Data],5,FALSE)</f>
        <v>18</v>
      </c>
      <c r="I224" s="5" t="str">
        <f>VLOOKUP(表1[[#This Row],[名称]],[1]!表1[#Data],19,FALSE)</f>
        <v>[["i016",10],["i001",50000],["i400",5],["i004",5]]</v>
      </c>
      <c r="J224" s="3">
        <v>1</v>
      </c>
      <c r="K224" s="3">
        <v>1</v>
      </c>
      <c r="L224" s="3" t="str">
        <f t="shared" si="6"/>
        <v>2018/10/05&amp;00:00:00</v>
      </c>
      <c r="M224" s="13" t="str">
        <f t="shared" si="7"/>
        <v>2018/10/05&amp;23:59:59</v>
      </c>
      <c r="N224" s="3">
        <v>1</v>
      </c>
      <c r="O224" s="3">
        <v>1</v>
      </c>
      <c r="P224" s="3">
        <v>0</v>
      </c>
      <c r="Q224" s="5">
        <f>VLOOKUP(表1[[#This Row],[名称]],[1]!表1[#Data],18,FALSE)*10</f>
        <v>1.5</v>
      </c>
      <c r="R224" s="11" t="s">
        <v>61</v>
      </c>
      <c r="S224" s="15" t="s">
        <v>67</v>
      </c>
    </row>
    <row r="225" spans="1:19" x14ac:dyDescent="0.15">
      <c r="A225" s="3">
        <v>10220</v>
      </c>
      <c r="B225" s="5">
        <f>VLOOKUP(表1[[#This Row],[名称]],[1]!表1[#Data],3,FALSE)</f>
        <v>9056</v>
      </c>
      <c r="C225" s="5">
        <f>VLOOKUP(表1[[#This Row],[名称]],[1]!表1[#Data],4,FALSE)</f>
        <v>9477</v>
      </c>
      <c r="D225" s="5" t="str">
        <f>"gift_"&amp;表1[[#This Row],[价格]]</f>
        <v>gift_12</v>
      </c>
      <c r="E225" s="5">
        <f>VLOOKUP(表1[[#This Row],[iOS]],description!$G$1:$H$5,2,FALSE)</f>
        <v>3902</v>
      </c>
      <c r="F225" s="3" t="s">
        <v>40</v>
      </c>
      <c r="G225" s="3" t="str">
        <f>"[[""r000"","&amp;表1[[#This Row],[价格]]&amp;"]]"</f>
        <v>[["r000",12]]</v>
      </c>
      <c r="H225" s="13">
        <f>VLOOKUP(表1[[#This Row],[名称]],[1]!表1[#Data],5,FALSE)</f>
        <v>12</v>
      </c>
      <c r="I225" s="5" t="str">
        <f>VLOOKUP(表1[[#This Row],[名称]],[1]!表1[#Data],19,FALSE)</f>
        <v>[["i001",200000],["i002",200],["i400",2],["i220",10]]</v>
      </c>
      <c r="J225" s="3">
        <v>1</v>
      </c>
      <c r="K225" s="3">
        <v>1</v>
      </c>
      <c r="L225" s="3" t="str">
        <f t="shared" si="6"/>
        <v>2018/10/06&amp;00:00:00</v>
      </c>
      <c r="M225" s="13" t="str">
        <f t="shared" si="7"/>
        <v>2018/10/06&amp;23:59:59</v>
      </c>
      <c r="N225" s="3">
        <v>1</v>
      </c>
      <c r="O225" s="3">
        <v>1</v>
      </c>
      <c r="P225" s="3">
        <v>0</v>
      </c>
      <c r="Q225" s="5">
        <f>VLOOKUP(表1[[#This Row],[名称]],[1]!表1[#Data],18,FALSE)*10</f>
        <v>3.8</v>
      </c>
      <c r="R225" s="3" t="s">
        <v>41</v>
      </c>
      <c r="S225" s="15" t="s">
        <v>66</v>
      </c>
    </row>
    <row r="226" spans="1:19" x14ac:dyDescent="0.15">
      <c r="A226" s="3">
        <v>10221</v>
      </c>
      <c r="B226" s="5">
        <f>VLOOKUP(表1[[#This Row],[名称]],[1]!表1[#Data],3,FALSE)</f>
        <v>9055</v>
      </c>
      <c r="C226" s="5">
        <f>VLOOKUP(表1[[#This Row],[名称]],[1]!表1[#Data],4,FALSE)</f>
        <v>9476</v>
      </c>
      <c r="D226" s="5" t="str">
        <f>"gift_"&amp;表1[[#This Row],[价格]]</f>
        <v>gift_6</v>
      </c>
      <c r="E226" s="5">
        <f>VLOOKUP(表1[[#This Row],[iOS]],description!$G$1:$H$5,2,FALSE)</f>
        <v>3901</v>
      </c>
      <c r="F226" s="3" t="s">
        <v>40</v>
      </c>
      <c r="G226" s="3" t="str">
        <f>"[[""r000"","&amp;表1[[#This Row],[价格]]&amp;"]]"</f>
        <v>[["r000",6]]</v>
      </c>
      <c r="H226" s="13">
        <f>VLOOKUP(表1[[#This Row],[名称]],[1]!表1[#Data],5,FALSE)</f>
        <v>6</v>
      </c>
      <c r="I226" s="5" t="str">
        <f>VLOOKUP(表1[[#This Row],[名称]],[1]!表1[#Data],19,FALSE)</f>
        <v>[["i215",10],["i002",50],["i004",1],["i240",20]]</v>
      </c>
      <c r="J226" s="3">
        <v>1</v>
      </c>
      <c r="K226" s="3">
        <v>1</v>
      </c>
      <c r="L226" s="3" t="str">
        <f t="shared" si="6"/>
        <v>2018/10/07&amp;00:00:00</v>
      </c>
      <c r="M226" s="13" t="str">
        <f t="shared" si="7"/>
        <v>2018/10/07&amp;23:59:59</v>
      </c>
      <c r="N226" s="3">
        <v>1</v>
      </c>
      <c r="O226" s="3">
        <v>1</v>
      </c>
      <c r="P226" s="3">
        <v>0</v>
      </c>
      <c r="Q226" s="5">
        <f>VLOOKUP(表1[[#This Row],[名称]],[1]!表1[#Data],18,FALSE)*10</f>
        <v>2.7</v>
      </c>
      <c r="R226" s="11" t="s">
        <v>58</v>
      </c>
      <c r="S226" s="15" t="s">
        <v>65</v>
      </c>
    </row>
    <row r="227" spans="1:19" x14ac:dyDescent="0.15">
      <c r="A227" s="3">
        <v>10222</v>
      </c>
      <c r="B227" s="5">
        <f>VLOOKUP(表1[[#This Row],[名称]],[1]!表1[#Data],3,FALSE)</f>
        <v>9056</v>
      </c>
      <c r="C227" s="5">
        <f>VLOOKUP(表1[[#This Row],[名称]],[1]!表1[#Data],4,FALSE)</f>
        <v>9477</v>
      </c>
      <c r="D227" s="5" t="str">
        <f>"gift_"&amp;表1[[#This Row],[价格]]</f>
        <v>gift_12</v>
      </c>
      <c r="E227" s="5">
        <f>VLOOKUP(表1[[#This Row],[iOS]],description!$G$1:$H$5,2,FALSE)</f>
        <v>3902</v>
      </c>
      <c r="F227" s="3" t="s">
        <v>40</v>
      </c>
      <c r="G227" s="3" t="str">
        <f>"[[""r000"","&amp;表1[[#This Row],[价格]]&amp;"]]"</f>
        <v>[["r000",12]]</v>
      </c>
      <c r="H227" s="13">
        <f>VLOOKUP(表1[[#This Row],[名称]],[1]!表1[#Data],5,FALSE)</f>
        <v>12</v>
      </c>
      <c r="I227" s="5" t="str">
        <f>VLOOKUP(表1[[#This Row],[名称]],[1]!表1[#Data],19,FALSE)</f>
        <v>[["i015",8],["i002",100],["i400",2],["i220",2]]</v>
      </c>
      <c r="J227" s="3">
        <v>1</v>
      </c>
      <c r="K227" s="3">
        <v>1</v>
      </c>
      <c r="L227" s="3" t="str">
        <f t="shared" si="6"/>
        <v>2018/10/08&amp;00:00:00</v>
      </c>
      <c r="M227" s="13" t="str">
        <f t="shared" si="7"/>
        <v>2018/10/08&amp;23:59:59</v>
      </c>
      <c r="N227" s="3">
        <v>1</v>
      </c>
      <c r="O227" s="3">
        <v>1</v>
      </c>
      <c r="P227" s="3">
        <v>0</v>
      </c>
      <c r="Q227" s="5">
        <f>VLOOKUP(表1[[#This Row],[名称]],[1]!表1[#Data],18,FALSE)*10</f>
        <v>3</v>
      </c>
      <c r="R227" s="11" t="s">
        <v>55</v>
      </c>
      <c r="S227" s="15" t="s">
        <v>64</v>
      </c>
    </row>
    <row r="228" spans="1:19" x14ac:dyDescent="0.15">
      <c r="A228" s="3">
        <v>10223</v>
      </c>
      <c r="B228" s="5">
        <f>VLOOKUP(表1[[#This Row],[名称]],[1]!表1[#Data],3,FALSE)</f>
        <v>9055</v>
      </c>
      <c r="C228" s="5">
        <f>VLOOKUP(表1[[#This Row],[名称]],[1]!表1[#Data],4,FALSE)</f>
        <v>9476</v>
      </c>
      <c r="D228" s="5" t="str">
        <f>"gift_"&amp;表1[[#This Row],[价格]]</f>
        <v>gift_6</v>
      </c>
      <c r="E228" s="5">
        <f>VLOOKUP(表1[[#This Row],[iOS]],description!$G$1:$H$5,2,FALSE)</f>
        <v>3901</v>
      </c>
      <c r="F228" s="3" t="s">
        <v>40</v>
      </c>
      <c r="G228" s="3" t="str">
        <f>"[[""r000"","&amp;表1[[#This Row],[价格]]&amp;"]]"</f>
        <v>[["r000",6]]</v>
      </c>
      <c r="H228" s="13">
        <f>VLOOKUP(表1[[#This Row],[名称]],[1]!表1[#Data],5,FALSE)</f>
        <v>6</v>
      </c>
      <c r="I228" s="5" t="str">
        <f>VLOOKUP(表1[[#This Row],[名称]],[1]!表1[#Data],19,FALSE)</f>
        <v>[["i001",100000],["i002",100],["i400",1],["i220",5]]</v>
      </c>
      <c r="J228" s="3">
        <v>1</v>
      </c>
      <c r="K228" s="3">
        <v>1</v>
      </c>
      <c r="L228" s="3" t="str">
        <f t="shared" si="6"/>
        <v>2018/10/09&amp;00:00:00</v>
      </c>
      <c r="M228" s="13" t="str">
        <f t="shared" si="7"/>
        <v>2018/10/09&amp;23:59:59</v>
      </c>
      <c r="N228" s="3">
        <v>1</v>
      </c>
      <c r="O228" s="3">
        <v>1</v>
      </c>
      <c r="P228" s="3">
        <v>0</v>
      </c>
      <c r="Q228" s="5">
        <f>VLOOKUP(表1[[#This Row],[名称]],[1]!表1[#Data],18,FALSE)*10</f>
        <v>3.5999999999999996</v>
      </c>
      <c r="R228" s="3" t="s">
        <v>39</v>
      </c>
      <c r="S228" s="15" t="s">
        <v>63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CDD1CFE5-237D-439D-B12C-B335B94FA642}"/>
  </dataValidations>
  <pageMargins left="0.69930555555555596" right="0.69930555555555596" top="0.75" bottom="0.75" header="0.3" footer="0.3"/>
  <pageSetup paperSize="9" orientation="portrait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6BB66-3D8D-462D-99B1-5103FA0352BD}">
  <sheetPr codeName="Sheet4"/>
  <dimension ref="A1:AA228"/>
  <sheetViews>
    <sheetView workbookViewId="0">
      <selection activeCell="M5" sqref="M5"/>
    </sheetView>
  </sheetViews>
  <sheetFormatPr defaultColWidth="9" defaultRowHeight="13.5" x14ac:dyDescent="0.15"/>
  <cols>
    <col min="1" max="1" width="6.875" customWidth="1"/>
    <col min="2" max="2" width="10" bestFit="1" customWidth="1"/>
    <col min="3" max="5" width="9.25" customWidth="1"/>
    <col min="6" max="6" width="10.5" bestFit="1" customWidth="1"/>
    <col min="7" max="7" width="12.625" customWidth="1"/>
    <col min="8" max="8" width="10.5" customWidth="1"/>
    <col min="9" max="9" width="52" bestFit="1" customWidth="1"/>
    <col min="10" max="10" width="7" customWidth="1"/>
    <col min="11" max="11" width="10.5" bestFit="1" customWidth="1"/>
    <col min="12" max="12" width="17.25" customWidth="1"/>
    <col min="13" max="13" width="17.375" customWidth="1"/>
    <col min="14" max="14" width="10.75" customWidth="1"/>
    <col min="15" max="15" width="7.875" customWidth="1"/>
    <col min="16" max="16" width="11.875" customWidth="1"/>
    <col min="17" max="17" width="8.125" bestFit="1" customWidth="1"/>
    <col min="18" max="18" width="13.25" customWidth="1"/>
    <col min="19" max="19" width="21.875" customWidth="1"/>
  </cols>
  <sheetData>
    <row r="1" spans="1:27" s="19" customFormat="1" ht="12" customHeight="1" x14ac:dyDescent="0.15">
      <c r="A1" s="18"/>
      <c r="B1" s="19" t="s">
        <v>104</v>
      </c>
      <c r="C1" s="18"/>
      <c r="X1" s="20"/>
    </row>
    <row r="2" spans="1:27" s="23" customFormat="1" ht="12" customHeight="1" x14ac:dyDescent="0.15">
      <c r="A2" s="21" t="s">
        <v>15</v>
      </c>
      <c r="B2" s="22" t="s">
        <v>50</v>
      </c>
      <c r="C2" s="22" t="s">
        <v>52</v>
      </c>
      <c r="D2" s="22" t="s">
        <v>76</v>
      </c>
      <c r="E2" s="22" t="s">
        <v>100</v>
      </c>
      <c r="F2" s="22" t="s">
        <v>16</v>
      </c>
      <c r="G2" s="22" t="s">
        <v>98</v>
      </c>
      <c r="H2" s="22" t="s">
        <v>17</v>
      </c>
      <c r="I2" s="22" t="s">
        <v>18</v>
      </c>
      <c r="J2" s="22" t="s">
        <v>19</v>
      </c>
      <c r="K2" s="22" t="s">
        <v>12</v>
      </c>
      <c r="L2" s="22" t="s">
        <v>20</v>
      </c>
      <c r="M2" s="22" t="s">
        <v>21</v>
      </c>
      <c r="N2" s="22" t="s">
        <v>22</v>
      </c>
      <c r="O2" s="22" t="s">
        <v>23</v>
      </c>
      <c r="P2" s="22" t="s">
        <v>24</v>
      </c>
      <c r="Q2" s="22" t="s">
        <v>25</v>
      </c>
      <c r="R2" s="22" t="s">
        <v>95</v>
      </c>
      <c r="S2" s="22" t="s">
        <v>45</v>
      </c>
      <c r="T2" s="22"/>
      <c r="U2" s="22"/>
      <c r="V2" s="22"/>
      <c r="W2" s="22"/>
      <c r="X2" s="22"/>
      <c r="Y2" s="22"/>
      <c r="Z2" s="22"/>
      <c r="AA2" s="22"/>
    </row>
    <row r="3" spans="1:27" s="26" customFormat="1" ht="12" customHeight="1" x14ac:dyDescent="0.15">
      <c r="A3" s="24" t="s">
        <v>102</v>
      </c>
      <c r="B3" s="25" t="s">
        <v>103</v>
      </c>
      <c r="C3" s="25" t="s">
        <v>26</v>
      </c>
      <c r="D3" s="25" t="s">
        <v>13</v>
      </c>
      <c r="E3" s="25" t="s">
        <v>13</v>
      </c>
      <c r="F3" s="25" t="s">
        <v>13</v>
      </c>
      <c r="G3" s="25" t="s">
        <v>27</v>
      </c>
      <c r="H3" s="25" t="s">
        <v>26</v>
      </c>
      <c r="I3" s="25" t="s">
        <v>27</v>
      </c>
      <c r="J3" s="25" t="s">
        <v>26</v>
      </c>
      <c r="K3" s="25" t="s">
        <v>26</v>
      </c>
      <c r="L3" s="25" t="s">
        <v>13</v>
      </c>
      <c r="M3" s="25" t="s">
        <v>13</v>
      </c>
      <c r="N3" s="25" t="s">
        <v>26</v>
      </c>
      <c r="O3" s="25" t="s">
        <v>26</v>
      </c>
      <c r="P3" s="25" t="s">
        <v>26</v>
      </c>
      <c r="Q3" s="25" t="s">
        <v>54</v>
      </c>
      <c r="R3" s="25" t="s">
        <v>96</v>
      </c>
      <c r="S3" s="25" t="s">
        <v>45</v>
      </c>
      <c r="T3" s="25"/>
      <c r="U3" s="25"/>
      <c r="V3" s="25"/>
      <c r="W3" s="25"/>
      <c r="X3" s="25"/>
      <c r="Y3" s="25"/>
      <c r="Z3" s="25"/>
      <c r="AA3" s="25"/>
    </row>
    <row r="4" spans="1:27" x14ac:dyDescent="0.15">
      <c r="A4" s="3" t="s">
        <v>15</v>
      </c>
      <c r="B4" s="1" t="s">
        <v>51</v>
      </c>
      <c r="C4" s="1" t="s">
        <v>53</v>
      </c>
      <c r="D4" s="1" t="s">
        <v>76</v>
      </c>
      <c r="E4" s="1" t="s">
        <v>101</v>
      </c>
      <c r="F4" s="3" t="s">
        <v>28</v>
      </c>
      <c r="G4" s="1" t="s">
        <v>99</v>
      </c>
      <c r="H4" s="3" t="s">
        <v>29</v>
      </c>
      <c r="I4" s="3" t="s">
        <v>30</v>
      </c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36</v>
      </c>
      <c r="P4" s="3" t="s">
        <v>37</v>
      </c>
      <c r="Q4" s="4" t="s">
        <v>38</v>
      </c>
      <c r="R4" s="3" t="s">
        <v>97</v>
      </c>
      <c r="S4" s="3" t="s">
        <v>14</v>
      </c>
    </row>
    <row r="5" spans="1:27" s="2" customFormat="1" x14ac:dyDescent="0.15">
      <c r="A5" s="3">
        <v>10000</v>
      </c>
      <c r="B5" s="5">
        <f>VLOOKUP(表1_3[[#This Row],[名称]],[1]!表1[#Data],3,FALSE)</f>
        <v>9055</v>
      </c>
      <c r="C5" s="5">
        <f>VLOOKUP(表1_3[[#This Row],[名称]],[1]!表1[#Data],4,FALSE)</f>
        <v>9476</v>
      </c>
      <c r="D5" s="5" t="str">
        <f>"gift_"&amp;表1_3[[#This Row],[价格]]</f>
        <v>gift_1</v>
      </c>
      <c r="E5" s="5" t="str">
        <f>"gift_"&amp;表1_3[[#This Row],[价格]]</f>
        <v>gift_1</v>
      </c>
      <c r="F5" s="3" t="s">
        <v>40</v>
      </c>
      <c r="G5" s="3" t="str">
        <f>"[[""r002"","&amp;表1_3[[#This Row],[价格]]&amp;"]]"</f>
        <v>[["r002",1]]</v>
      </c>
      <c r="H5" s="3">
        <f>INT(VLOOKUP(表1_3[[#This Row],[名称]],[1]!表1[#Data],5,FALSE)/6)</f>
        <v>1</v>
      </c>
      <c r="I5" s="5" t="str">
        <f>VLOOKUP(表1_3[[#This Row],[名称]],[1]!表1[#Data],19,FALSE)</f>
        <v>[["i001",100000],["i002",100],["i400",1],["i220",5]]</v>
      </c>
      <c r="J5" s="3">
        <v>1</v>
      </c>
      <c r="K5" s="3">
        <v>1</v>
      </c>
      <c r="L5" s="3" t="str">
        <f t="shared" ref="L5:L68" si="0">YEAR(43159+ROW()-5)&amp;"/"&amp;IF(MONTH(43159+ROW()-5)&lt;10,"0","")&amp;MONTH(43159+ROW()-5)&amp;"/"&amp;IF(DAY(43159+ROW()-5)&lt;10,"0","")&amp;DAY(43159+ROW()-5)&amp;"&amp;00:00:00"</f>
        <v>2018/02/28&amp;00:00:00</v>
      </c>
      <c r="M5" s="3" t="str">
        <f t="shared" ref="M5:M68" si="1">YEAR(43159+ROW()-5)&amp;"/"&amp;IF(MONTH(43159+ROW()-5)&lt;10,"0","")&amp;MONTH(43159+ROW()-5)&amp;"/"&amp;IF(DAY(43159+ROW()-5)&lt;10,"0","")&amp;DAY(43159+ROW()-5)&amp;"&amp;23:59:59"</f>
        <v>2018/02/28&amp;23:59:59</v>
      </c>
      <c r="N5" s="3">
        <v>1</v>
      </c>
      <c r="O5" s="3">
        <v>1</v>
      </c>
      <c r="P5" s="3">
        <v>0</v>
      </c>
      <c r="Q5" s="5">
        <f>VLOOKUP(表1_3[[#This Row],[名称]],[1]!表1[#Data],18,FALSE)*10</f>
        <v>3.5999999999999996</v>
      </c>
      <c r="R5" s="3" t="s">
        <v>39</v>
      </c>
      <c r="S5" s="5" t="s">
        <v>63</v>
      </c>
    </row>
    <row r="6" spans="1:27" s="2" customFormat="1" ht="14.25" customHeight="1" x14ac:dyDescent="0.15">
      <c r="A6" s="3">
        <v>10001</v>
      </c>
      <c r="B6" s="5">
        <f>VLOOKUP(表1_3[[#This Row],[名称]],[1]!表1[#Data],3,FALSE)</f>
        <v>9056</v>
      </c>
      <c r="C6" s="5">
        <f>VLOOKUP(表1_3[[#This Row],[名称]],[1]!表1[#Data],4,FALSE)</f>
        <v>9477</v>
      </c>
      <c r="D6" s="5" t="str">
        <f>"gift_"&amp;表1_3[[#This Row],[价格]]</f>
        <v>gift_2</v>
      </c>
      <c r="E6" s="5" t="str">
        <f>"gift_"&amp;表1_3[[#This Row],[价格]]</f>
        <v>gift_2</v>
      </c>
      <c r="F6" s="3" t="s">
        <v>40</v>
      </c>
      <c r="G6" s="3" t="str">
        <f>"[[""r002"","&amp;表1_3[[#This Row],[价格]]&amp;"]]"</f>
        <v>[["r002",2]]</v>
      </c>
      <c r="H6" s="3">
        <f>INT(VLOOKUP(表1_3[[#This Row],[名称]],[1]!表1[#Data],5,FALSE)/6)</f>
        <v>2</v>
      </c>
      <c r="I6" s="5" t="str">
        <f>VLOOKUP(表1_3[[#This Row],[名称]],[1]!表1[#Data],19,FALSE)</f>
        <v>[["i015",8],["i002",100],["i400",2],["i220",2]]</v>
      </c>
      <c r="J6" s="3">
        <v>1</v>
      </c>
      <c r="K6" s="3">
        <v>1</v>
      </c>
      <c r="L6" s="3" t="str">
        <f t="shared" si="0"/>
        <v>2018/03/01&amp;00:00:00</v>
      </c>
      <c r="M6" s="3" t="str">
        <f t="shared" si="1"/>
        <v>2018/03/01&amp;23:59:59</v>
      </c>
      <c r="N6" s="3">
        <v>1</v>
      </c>
      <c r="O6" s="3">
        <v>1</v>
      </c>
      <c r="P6" s="3">
        <v>0</v>
      </c>
      <c r="Q6" s="5">
        <f>VLOOKUP(表1_3[[#This Row],[名称]],[1]!表1[#Data],18,FALSE)*10</f>
        <v>3</v>
      </c>
      <c r="R6" s="11" t="s">
        <v>55</v>
      </c>
      <c r="S6" s="5" t="s">
        <v>64</v>
      </c>
    </row>
    <row r="7" spans="1:27" s="2" customFormat="1" ht="14.25" customHeight="1" x14ac:dyDescent="0.15">
      <c r="A7" s="3">
        <v>10002</v>
      </c>
      <c r="B7" s="5">
        <f>VLOOKUP(表1_3[[#This Row],[名称]],[1]!表1[#Data],3,FALSE)</f>
        <v>9055</v>
      </c>
      <c r="C7" s="5">
        <f>VLOOKUP(表1_3[[#This Row],[名称]],[1]!表1[#Data],4,FALSE)</f>
        <v>9476</v>
      </c>
      <c r="D7" s="5" t="str">
        <f>"gift_"&amp;表1_3[[#This Row],[价格]]</f>
        <v>gift_1</v>
      </c>
      <c r="E7" s="5" t="str">
        <f>"gift_"&amp;表1_3[[#This Row],[价格]]</f>
        <v>gift_1</v>
      </c>
      <c r="F7" s="3" t="s">
        <v>40</v>
      </c>
      <c r="G7" s="3" t="str">
        <f>"[[""r002"","&amp;表1_3[[#This Row],[价格]]&amp;"]]"</f>
        <v>[["r002",1]]</v>
      </c>
      <c r="H7" s="3">
        <f>INT(VLOOKUP(表1_3[[#This Row],[名称]],[1]!表1[#Data],5,FALSE)/6)</f>
        <v>1</v>
      </c>
      <c r="I7" s="5" t="str">
        <f>VLOOKUP(表1_3[[#This Row],[名称]],[1]!表1[#Data],19,FALSE)</f>
        <v>[["i215",10],["i002",50],["i004",1],["i240",20]]</v>
      </c>
      <c r="J7" s="3">
        <v>1</v>
      </c>
      <c r="K7" s="3">
        <v>1</v>
      </c>
      <c r="L7" s="3" t="str">
        <f t="shared" si="0"/>
        <v>2018/03/02&amp;00:00:00</v>
      </c>
      <c r="M7" s="3" t="str">
        <f t="shared" si="1"/>
        <v>2018/03/02&amp;23:59:59</v>
      </c>
      <c r="N7" s="3">
        <v>1</v>
      </c>
      <c r="O7" s="3">
        <v>1</v>
      </c>
      <c r="P7" s="3">
        <v>0</v>
      </c>
      <c r="Q7" s="5">
        <f>VLOOKUP(表1_3[[#This Row],[名称]],[1]!表1[#Data],18,FALSE)*10</f>
        <v>2.7</v>
      </c>
      <c r="R7" s="11" t="s">
        <v>58</v>
      </c>
      <c r="S7" s="5" t="s">
        <v>65</v>
      </c>
    </row>
    <row r="8" spans="1:27" s="2" customFormat="1" x14ac:dyDescent="0.15">
      <c r="A8" s="3">
        <v>10003</v>
      </c>
      <c r="B8" s="5">
        <f>VLOOKUP(表1_3[[#This Row],[名称]],[1]!表1[#Data],3,FALSE)</f>
        <v>9056</v>
      </c>
      <c r="C8" s="5">
        <f>VLOOKUP(表1_3[[#This Row],[名称]],[1]!表1[#Data],4,FALSE)</f>
        <v>9477</v>
      </c>
      <c r="D8" s="5" t="str">
        <f>"gift_"&amp;表1_3[[#This Row],[价格]]</f>
        <v>gift_2</v>
      </c>
      <c r="E8" s="5" t="str">
        <f>"gift_"&amp;表1_3[[#This Row],[价格]]</f>
        <v>gift_2</v>
      </c>
      <c r="F8" s="3" t="s">
        <v>40</v>
      </c>
      <c r="G8" s="3" t="str">
        <f>"[[""r002"","&amp;表1_3[[#This Row],[价格]]&amp;"]]"</f>
        <v>[["r002",2]]</v>
      </c>
      <c r="H8" s="3">
        <f>INT(VLOOKUP(表1_3[[#This Row],[名称]],[1]!表1[#Data],5,FALSE)/6)</f>
        <v>2</v>
      </c>
      <c r="I8" s="5" t="str">
        <f>VLOOKUP(表1_3[[#This Row],[名称]],[1]!表1[#Data],19,FALSE)</f>
        <v>[["i001",200000],["i002",200],["i400",2],["i220",10]]</v>
      </c>
      <c r="J8" s="3">
        <v>1</v>
      </c>
      <c r="K8" s="3">
        <v>1</v>
      </c>
      <c r="L8" s="3" t="str">
        <f t="shared" si="0"/>
        <v>2018/03/03&amp;00:00:00</v>
      </c>
      <c r="M8" s="3" t="str">
        <f t="shared" si="1"/>
        <v>2018/03/03&amp;23:59:59</v>
      </c>
      <c r="N8" s="3">
        <v>1</v>
      </c>
      <c r="O8" s="3">
        <v>1</v>
      </c>
      <c r="P8" s="3">
        <v>0</v>
      </c>
      <c r="Q8" s="5">
        <f>VLOOKUP(表1_3[[#This Row],[名称]],[1]!表1[#Data],18,FALSE)*10</f>
        <v>3.8</v>
      </c>
      <c r="R8" s="3" t="s">
        <v>41</v>
      </c>
      <c r="S8" s="5" t="s">
        <v>66</v>
      </c>
    </row>
    <row r="9" spans="1:27" s="2" customFormat="1" ht="14.25" customHeight="1" x14ac:dyDescent="0.15">
      <c r="A9" s="3">
        <v>10004</v>
      </c>
      <c r="B9" s="5">
        <f>VLOOKUP(表1_3[[#This Row],[名称]],[1]!表1[#Data],3,FALSE)</f>
        <v>9072</v>
      </c>
      <c r="C9" s="5">
        <f>VLOOKUP(表1_3[[#This Row],[名称]],[1]!表1[#Data],4,FALSE)</f>
        <v>9493</v>
      </c>
      <c r="D9" s="5" t="str">
        <f>"gift_"&amp;表1_3[[#This Row],[价格]]</f>
        <v>gift_3</v>
      </c>
      <c r="E9" s="5" t="str">
        <f>"gift_"&amp;表1_3[[#This Row],[价格]]</f>
        <v>gift_3</v>
      </c>
      <c r="F9" s="3" t="s">
        <v>40</v>
      </c>
      <c r="G9" s="3" t="str">
        <f>"[[""r002"","&amp;表1_3[[#This Row],[价格]]&amp;"]]"</f>
        <v>[["r002",3]]</v>
      </c>
      <c r="H9" s="3">
        <f>INT(VLOOKUP(表1_3[[#This Row],[名称]],[1]!表1[#Data],5,FALSE)/6)</f>
        <v>3</v>
      </c>
      <c r="I9" s="5" t="str">
        <f>VLOOKUP(表1_3[[#This Row],[名称]],[1]!表1[#Data],19,FALSE)</f>
        <v>[["i016",10],["i001",50000],["i400",5],["i004",5]]</v>
      </c>
      <c r="J9" s="3">
        <v>1</v>
      </c>
      <c r="K9" s="3">
        <v>1</v>
      </c>
      <c r="L9" s="3" t="str">
        <f t="shared" si="0"/>
        <v>2018/03/04&amp;00:00:00</v>
      </c>
      <c r="M9" s="3" t="str">
        <f t="shared" si="1"/>
        <v>2018/03/04&amp;23:59:59</v>
      </c>
      <c r="N9" s="3">
        <v>1</v>
      </c>
      <c r="O9" s="3">
        <v>1</v>
      </c>
      <c r="P9" s="3">
        <v>0</v>
      </c>
      <c r="Q9" s="5">
        <f>VLOOKUP(表1_3[[#This Row],[名称]],[1]!表1[#Data],18,FALSE)*10</f>
        <v>1.5</v>
      </c>
      <c r="R9" s="11" t="s">
        <v>61</v>
      </c>
      <c r="S9" s="5" t="s">
        <v>67</v>
      </c>
    </row>
    <row r="10" spans="1:27" x14ac:dyDescent="0.15">
      <c r="A10" s="3">
        <v>10005</v>
      </c>
      <c r="B10" s="5">
        <f>VLOOKUP(表1_3[[#This Row],[名称]],[1]!表1[#Data],3,FALSE)</f>
        <v>9055</v>
      </c>
      <c r="C10" s="5">
        <f>VLOOKUP(表1_3[[#This Row],[名称]],[1]!表1[#Data],4,FALSE)</f>
        <v>9476</v>
      </c>
      <c r="D10" s="5" t="str">
        <f>"gift_"&amp;表1_3[[#This Row],[价格]]</f>
        <v>gift_1</v>
      </c>
      <c r="E10" s="5" t="str">
        <f>"gift_"&amp;表1_3[[#This Row],[价格]]</f>
        <v>gift_1</v>
      </c>
      <c r="F10" s="3" t="s">
        <v>40</v>
      </c>
      <c r="G10" s="3" t="str">
        <f>"[[""r002"","&amp;表1_3[[#This Row],[价格]]&amp;"]]"</f>
        <v>[["r002",1]]</v>
      </c>
      <c r="H10" s="3">
        <f>INT(VLOOKUP(表1_3[[#This Row],[名称]],[1]!表1[#Data],5,FALSE)/6)</f>
        <v>1</v>
      </c>
      <c r="I10" s="5" t="str">
        <f>VLOOKUP(表1_3[[#This Row],[名称]],[1]!表1[#Data],19,FALSE)</f>
        <v>[["i011",50],["i001",100000],["i004",1],["i015",1]]</v>
      </c>
      <c r="J10" s="3">
        <v>1</v>
      </c>
      <c r="K10" s="3">
        <v>1</v>
      </c>
      <c r="L10" s="3" t="str">
        <f t="shared" si="0"/>
        <v>2018/03/05&amp;00:00:00</v>
      </c>
      <c r="M10" s="3" t="str">
        <f t="shared" si="1"/>
        <v>2018/03/05&amp;23:59:59</v>
      </c>
      <c r="N10" s="3">
        <v>1</v>
      </c>
      <c r="O10" s="3">
        <v>1</v>
      </c>
      <c r="P10" s="3">
        <v>0</v>
      </c>
      <c r="Q10" s="5">
        <f>VLOOKUP(表1_3[[#This Row],[名称]],[1]!表1[#Data],18,FALSE)*10</f>
        <v>2.4</v>
      </c>
      <c r="R10" s="11" t="s">
        <v>60</v>
      </c>
      <c r="S10" s="5" t="s">
        <v>68</v>
      </c>
    </row>
    <row r="11" spans="1:27" ht="13.5" customHeight="1" x14ac:dyDescent="0.15">
      <c r="A11" s="3">
        <v>10006</v>
      </c>
      <c r="B11" s="5">
        <f>VLOOKUP(表1_3[[#This Row],[名称]],[1]!表1[#Data],3,FALSE)</f>
        <v>9055</v>
      </c>
      <c r="C11" s="5">
        <f>VLOOKUP(表1_3[[#This Row],[名称]],[1]!表1[#Data],4,FALSE)</f>
        <v>9476</v>
      </c>
      <c r="D11" s="5" t="str">
        <f>"gift_"&amp;表1_3[[#This Row],[价格]]</f>
        <v>gift_1</v>
      </c>
      <c r="E11" s="5" t="str">
        <f>"gift_"&amp;表1_3[[#This Row],[价格]]</f>
        <v>gift_1</v>
      </c>
      <c r="F11" s="3" t="s">
        <v>40</v>
      </c>
      <c r="G11" s="3" t="str">
        <f>"[[""r002"","&amp;表1_3[[#This Row],[价格]]&amp;"]]"</f>
        <v>[["r002",1]]</v>
      </c>
      <c r="H11" s="3">
        <f>INT(VLOOKUP(表1_3[[#This Row],[名称]],[1]!表1[#Data],5,FALSE)/6)</f>
        <v>1</v>
      </c>
      <c r="I11" s="5" t="str">
        <f>VLOOKUP(表1_3[[#This Row],[名称]],[1]!表1[#Data],19,FALSE)</f>
        <v>[["i006",25],["i001",50000],["i004",1],["i015",1]]</v>
      </c>
      <c r="J11" s="3">
        <v>1</v>
      </c>
      <c r="K11" s="3">
        <v>1</v>
      </c>
      <c r="L11" s="3" t="str">
        <f t="shared" si="0"/>
        <v>2018/03/06&amp;00:00:00</v>
      </c>
      <c r="M11" s="3" t="str">
        <f t="shared" si="1"/>
        <v>2018/03/06&amp;23:59:59</v>
      </c>
      <c r="N11" s="3">
        <v>1</v>
      </c>
      <c r="O11" s="3">
        <v>1</v>
      </c>
      <c r="P11" s="3">
        <v>0</v>
      </c>
      <c r="Q11" s="5">
        <f>VLOOKUP(表1_3[[#This Row],[名称]],[1]!表1[#Data],18,FALSE)*10</f>
        <v>1.9</v>
      </c>
      <c r="R11" s="11" t="s">
        <v>59</v>
      </c>
      <c r="S11" s="5" t="s">
        <v>69</v>
      </c>
    </row>
    <row r="12" spans="1:27" ht="13.5" customHeight="1" x14ac:dyDescent="0.15">
      <c r="A12" s="3">
        <v>10007</v>
      </c>
      <c r="B12" s="5">
        <f>VLOOKUP(表1_3[[#This Row],[名称]],[1]!表1[#Data],3,FALSE)</f>
        <v>9056</v>
      </c>
      <c r="C12" s="5">
        <f>VLOOKUP(表1_3[[#This Row],[名称]],[1]!表1[#Data],4,FALSE)</f>
        <v>9477</v>
      </c>
      <c r="D12" s="5" t="str">
        <f>"gift_"&amp;表1_3[[#This Row],[价格]]</f>
        <v>gift_2</v>
      </c>
      <c r="E12" s="5" t="str">
        <f>"gift_"&amp;表1_3[[#This Row],[价格]]</f>
        <v>gift_2</v>
      </c>
      <c r="F12" s="3" t="s">
        <v>40</v>
      </c>
      <c r="G12" s="3" t="str">
        <f>"[[""r002"","&amp;表1_3[[#This Row],[价格]]&amp;"]]"</f>
        <v>[["r002",2]]</v>
      </c>
      <c r="H12" s="11">
        <f>INT(VLOOKUP(表1_3[[#This Row],[名称]],[1]!表1[#Data],5,FALSE)/6)</f>
        <v>2</v>
      </c>
      <c r="I12" s="5" t="str">
        <f>VLOOKUP(表1_3[[#This Row],[名称]],[1]!表1[#Data],19,FALSE)</f>
        <v>[["i240",180],["i002",150],["i001",50000],["i220",5]]</v>
      </c>
      <c r="J12" s="3">
        <v>1</v>
      </c>
      <c r="K12" s="3">
        <v>1</v>
      </c>
      <c r="L12" s="3" t="str">
        <f t="shared" si="0"/>
        <v>2018/03/07&amp;00:00:00</v>
      </c>
      <c r="M12" s="3" t="str">
        <f t="shared" si="1"/>
        <v>2018/03/07&amp;23:59:59</v>
      </c>
      <c r="N12" s="3">
        <v>1</v>
      </c>
      <c r="O12" s="3">
        <v>1</v>
      </c>
      <c r="P12" s="3">
        <v>0</v>
      </c>
      <c r="Q12" s="5">
        <f>VLOOKUP(表1_3[[#This Row],[名称]],[1]!表1[#Data],18,FALSE)*10</f>
        <v>2.5</v>
      </c>
      <c r="R12" s="11" t="s">
        <v>56</v>
      </c>
      <c r="S12" s="5" t="s">
        <v>70</v>
      </c>
    </row>
    <row r="13" spans="1:27" ht="13.5" customHeight="1" x14ac:dyDescent="0.15">
      <c r="A13" s="3">
        <v>10008</v>
      </c>
      <c r="B13" s="5">
        <f>VLOOKUP(表1_3[[#This Row],[名称]],[1]!表1[#Data],3,FALSE)</f>
        <v>9072</v>
      </c>
      <c r="C13" s="5">
        <f>VLOOKUP(表1_3[[#This Row],[名称]],[1]!表1[#Data],4,FALSE)</f>
        <v>9493</v>
      </c>
      <c r="D13" s="5" t="str">
        <f>"gift_"&amp;表1_3[[#This Row],[价格]]</f>
        <v>gift_3</v>
      </c>
      <c r="E13" s="5" t="str">
        <f>"gift_"&amp;表1_3[[#This Row],[价格]]</f>
        <v>gift_3</v>
      </c>
      <c r="F13" s="3" t="s">
        <v>40</v>
      </c>
      <c r="G13" s="3" t="str">
        <f>"[[""r002"","&amp;表1_3[[#This Row],[价格]]&amp;"]]"</f>
        <v>[["r002",3]]</v>
      </c>
      <c r="H13" s="11">
        <f>INT(VLOOKUP(表1_3[[#This Row],[名称]],[1]!表1[#Data],5,FALSE)/6)</f>
        <v>3</v>
      </c>
      <c r="I13" s="5" t="str">
        <f>VLOOKUP(表1_3[[#This Row],[名称]],[1]!表1[#Data],19,FALSE)</f>
        <v>[["i001",300000],["i002",300],["i015",1],["i400",2]]</v>
      </c>
      <c r="J13" s="3">
        <v>1</v>
      </c>
      <c r="K13" s="3">
        <v>1</v>
      </c>
      <c r="L13" s="3" t="str">
        <f t="shared" si="0"/>
        <v>2018/03/08&amp;00:00:00</v>
      </c>
      <c r="M13" s="3" t="str">
        <f t="shared" si="1"/>
        <v>2018/03/08&amp;23:59:59</v>
      </c>
      <c r="N13" s="3">
        <v>1</v>
      </c>
      <c r="O13" s="3">
        <v>1</v>
      </c>
      <c r="P13" s="3">
        <v>0</v>
      </c>
      <c r="Q13" s="5">
        <f>VLOOKUP(表1_3[[#This Row],[名称]],[1]!表1[#Data],18,FALSE)*10</f>
        <v>4</v>
      </c>
      <c r="R13" s="3" t="s">
        <v>42</v>
      </c>
      <c r="S13" s="5" t="s">
        <v>71</v>
      </c>
    </row>
    <row r="14" spans="1:27" x14ac:dyDescent="0.15">
      <c r="A14" s="3">
        <v>10009</v>
      </c>
      <c r="B14" s="5">
        <f>VLOOKUP(表1_3[[#This Row],[名称]],[1]!表1[#Data],3,FALSE)</f>
        <v>9055</v>
      </c>
      <c r="C14" s="5">
        <f>VLOOKUP(表1_3[[#This Row],[名称]],[1]!表1[#Data],4,FALSE)</f>
        <v>9476</v>
      </c>
      <c r="D14" s="5" t="str">
        <f>"gift_"&amp;表1_3[[#This Row],[价格]]</f>
        <v>gift_1</v>
      </c>
      <c r="E14" s="5" t="str">
        <f>"gift_"&amp;表1_3[[#This Row],[价格]]</f>
        <v>gift_1</v>
      </c>
      <c r="F14" s="3" t="s">
        <v>40</v>
      </c>
      <c r="G14" s="3" t="str">
        <f>"[[""r002"","&amp;表1_3[[#This Row],[价格]]&amp;"]]"</f>
        <v>[["r002",1]]</v>
      </c>
      <c r="H14" s="11">
        <f>INT(VLOOKUP(表1_3[[#This Row],[名称]],[1]!表1[#Data],5,FALSE)/6)</f>
        <v>1</v>
      </c>
      <c r="I14" s="5" t="str">
        <f>VLOOKUP(表1_3[[#This Row],[名称]],[1]!表1[#Data],19,FALSE)</f>
        <v>[["i400",20],["i002",50],["i015",1],["i220",2]]</v>
      </c>
      <c r="J14" s="3">
        <v>1</v>
      </c>
      <c r="K14" s="3">
        <v>1</v>
      </c>
      <c r="L14" s="3" t="str">
        <f t="shared" si="0"/>
        <v>2018/03/09&amp;00:00:00</v>
      </c>
      <c r="M14" s="3" t="str">
        <f t="shared" si="1"/>
        <v>2018/03/09&amp;23:59:59</v>
      </c>
      <c r="N14" s="3">
        <v>1</v>
      </c>
      <c r="O14" s="3">
        <v>1</v>
      </c>
      <c r="P14" s="3">
        <v>0</v>
      </c>
      <c r="Q14" s="5">
        <f>VLOOKUP(表1_3[[#This Row],[名称]],[1]!表1[#Data],18,FALSE)*10</f>
        <v>1.9</v>
      </c>
      <c r="R14" s="11" t="s">
        <v>57</v>
      </c>
      <c r="S14" s="5" t="s">
        <v>72</v>
      </c>
    </row>
    <row r="15" spans="1:27" x14ac:dyDescent="0.15">
      <c r="A15" s="3">
        <v>10010</v>
      </c>
      <c r="B15" s="5">
        <f>VLOOKUP(表1_3[[#This Row],[名称]],[1]!表1[#Data],3,FALSE)</f>
        <v>9067</v>
      </c>
      <c r="C15" s="5">
        <f>VLOOKUP(表1_3[[#This Row],[名称]],[1]!表1[#Data],4,FALSE)</f>
        <v>9488</v>
      </c>
      <c r="D15" s="5" t="str">
        <f>"gift_"&amp;表1_3[[#This Row],[价格]]</f>
        <v>gift_5</v>
      </c>
      <c r="E15" s="5" t="str">
        <f>"gift_"&amp;表1_3[[#This Row],[价格]]</f>
        <v>gift_5</v>
      </c>
      <c r="F15" s="3" t="s">
        <v>40</v>
      </c>
      <c r="G15" s="3" t="str">
        <f>"[[""r002"","&amp;表1_3[[#This Row],[价格]]&amp;"]]"</f>
        <v>[["r002",5]]</v>
      </c>
      <c r="H15" s="11">
        <f>INT(VLOOKUP(表1_3[[#This Row],[名称]],[1]!表1[#Data],5,FALSE)/6)</f>
        <v>5</v>
      </c>
      <c r="I15" s="5" t="str">
        <f>VLOOKUP(表1_3[[#This Row],[名称]],[1]!表1[#Data],19,FALSE)</f>
        <v>[["i001",400000],["i002",400],["i015",1],["i006",5]]</v>
      </c>
      <c r="J15" s="3">
        <v>1</v>
      </c>
      <c r="K15" s="3">
        <v>1</v>
      </c>
      <c r="L15" s="3" t="str">
        <f t="shared" si="0"/>
        <v>2018/03/10&amp;00:00:00</v>
      </c>
      <c r="M15" s="3" t="str">
        <f t="shared" si="1"/>
        <v>2018/03/10&amp;23:59:59</v>
      </c>
      <c r="N15" s="3">
        <v>1</v>
      </c>
      <c r="O15" s="3">
        <v>1</v>
      </c>
      <c r="P15" s="3">
        <v>0</v>
      </c>
      <c r="Q15" s="5">
        <f>VLOOKUP(表1_3[[#This Row],[名称]],[1]!表1[#Data],18,FALSE)*10</f>
        <v>3.8</v>
      </c>
      <c r="R15" s="3" t="s">
        <v>43</v>
      </c>
      <c r="S15" s="5" t="s">
        <v>73</v>
      </c>
    </row>
    <row r="16" spans="1:27" x14ac:dyDescent="0.15">
      <c r="A16" s="3">
        <v>10011</v>
      </c>
      <c r="B16" s="5">
        <f>VLOOKUP(表1_3[[#This Row],[名称]],[1]!表1[#Data],3,FALSE)</f>
        <v>9075</v>
      </c>
      <c r="C16" s="5">
        <f>VLOOKUP(表1_3[[#This Row],[名称]],[1]!表1[#Data],4,FALSE)</f>
        <v>9496</v>
      </c>
      <c r="D16" s="5" t="str">
        <f>"gift_"&amp;表1_3[[#This Row],[价格]]</f>
        <v>gift_7</v>
      </c>
      <c r="E16" s="5" t="str">
        <f>"gift_"&amp;表1_3[[#This Row],[价格]]</f>
        <v>gift_7</v>
      </c>
      <c r="F16" s="3" t="s">
        <v>40</v>
      </c>
      <c r="G16" s="3" t="str">
        <f>"[[""r002"","&amp;表1_3[[#This Row],[价格]]&amp;"]]"</f>
        <v>[["r002",7]]</v>
      </c>
      <c r="H16" s="11">
        <f>INT(VLOOKUP(表1_3[[#This Row],[名称]],[1]!表1[#Data],5,FALSE)/6)</f>
        <v>7</v>
      </c>
      <c r="I16" s="5" t="str">
        <f>VLOOKUP(表1_3[[#This Row],[名称]],[1]!表1[#Data],19,FALSE)</f>
        <v>[["i017",8],["i002",100],["i004",10],["i006",10]]</v>
      </c>
      <c r="J16" s="3">
        <v>1</v>
      </c>
      <c r="K16" s="3">
        <v>1</v>
      </c>
      <c r="L16" s="3" t="str">
        <f t="shared" si="0"/>
        <v>2018/03/11&amp;00:00:00</v>
      </c>
      <c r="M16" s="3" t="str">
        <f t="shared" si="1"/>
        <v>2018/03/11&amp;23:59:59</v>
      </c>
      <c r="N16" s="3">
        <v>1</v>
      </c>
      <c r="O16" s="3">
        <v>1</v>
      </c>
      <c r="P16" s="3">
        <v>0</v>
      </c>
      <c r="Q16" s="5">
        <f>VLOOKUP(表1_3[[#This Row],[名称]],[1]!表1[#Data],18,FALSE)*10</f>
        <v>1</v>
      </c>
      <c r="R16" s="11" t="s">
        <v>62</v>
      </c>
      <c r="S16" s="5" t="s">
        <v>74</v>
      </c>
    </row>
    <row r="17" spans="1:19" x14ac:dyDescent="0.15">
      <c r="A17" s="3">
        <v>10012</v>
      </c>
      <c r="B17" s="5">
        <f>VLOOKUP(表1_3[[#This Row],[名称]],[1]!表1[#Data],3,FALSE)</f>
        <v>9055</v>
      </c>
      <c r="C17" s="5">
        <f>VLOOKUP(表1_3[[#This Row],[名称]],[1]!表1[#Data],4,FALSE)</f>
        <v>9476</v>
      </c>
      <c r="D17" s="5" t="str">
        <f>"gift_"&amp;表1_3[[#This Row],[价格]]</f>
        <v>gift_1</v>
      </c>
      <c r="E17" s="5" t="str">
        <f>"gift_"&amp;表1_3[[#This Row],[价格]]</f>
        <v>gift_1</v>
      </c>
      <c r="F17" s="3" t="s">
        <v>40</v>
      </c>
      <c r="G17" s="3" t="str">
        <f>"[[""r002"","&amp;表1_3[[#This Row],[价格]]&amp;"]]"</f>
        <v>[["r002",1]]</v>
      </c>
      <c r="H17" s="11">
        <f>INT(VLOOKUP(表1_3[[#This Row],[名称]],[1]!表1[#Data],5,FALSE)/6)</f>
        <v>1</v>
      </c>
      <c r="I17" s="5" t="str">
        <f>VLOOKUP(表1_3[[#This Row],[名称]],[1]!表1[#Data],19,FALSE)</f>
        <v>[["i215",10],["i002",50],["i004",1],["i240",20]]</v>
      </c>
      <c r="J17" s="3">
        <v>1</v>
      </c>
      <c r="K17" s="3">
        <v>1</v>
      </c>
      <c r="L17" s="3" t="str">
        <f t="shared" si="0"/>
        <v>2018/03/12&amp;00:00:00</v>
      </c>
      <c r="M17" s="3" t="str">
        <f t="shared" si="1"/>
        <v>2018/03/12&amp;23:59:59</v>
      </c>
      <c r="N17" s="3">
        <v>1</v>
      </c>
      <c r="O17" s="3">
        <v>1</v>
      </c>
      <c r="P17" s="3">
        <v>0</v>
      </c>
      <c r="Q17" s="5">
        <f>VLOOKUP(表1_3[[#This Row],[名称]],[1]!表1[#Data],18,FALSE)*10</f>
        <v>2.7</v>
      </c>
      <c r="R17" s="11" t="s">
        <v>58</v>
      </c>
      <c r="S17" s="5" t="s">
        <v>65</v>
      </c>
    </row>
    <row r="18" spans="1:19" x14ac:dyDescent="0.15">
      <c r="A18" s="3">
        <v>10013</v>
      </c>
      <c r="B18" s="5">
        <f>VLOOKUP(表1_3[[#This Row],[名称]],[1]!表1[#Data],3,FALSE)</f>
        <v>9075</v>
      </c>
      <c r="C18" s="5">
        <f>VLOOKUP(表1_3[[#This Row],[名称]],[1]!表1[#Data],4,FALSE)</f>
        <v>9496</v>
      </c>
      <c r="D18" s="5" t="str">
        <f>"gift_"&amp;表1_3[[#This Row],[价格]]</f>
        <v>gift_7</v>
      </c>
      <c r="E18" s="5" t="str">
        <f>"gift_"&amp;表1_3[[#This Row],[价格]]</f>
        <v>gift_7</v>
      </c>
      <c r="F18" s="3" t="s">
        <v>40</v>
      </c>
      <c r="G18" s="3" t="str">
        <f>"[[""r002"","&amp;表1_3[[#This Row],[价格]]&amp;"]]"</f>
        <v>[["r002",7]]</v>
      </c>
      <c r="H18">
        <f>INT(VLOOKUP(表1_3[[#This Row],[名称]],[1]!表1[#Data],5,FALSE)/6)</f>
        <v>7</v>
      </c>
      <c r="I18" s="5" t="str">
        <f>VLOOKUP(表1_3[[#This Row],[名称]],[1]!表1[#Data],19,FALSE)</f>
        <v>[["i001",500000],["i002",500],["i015",1],["i004",4]]</v>
      </c>
      <c r="J18" s="3">
        <v>1</v>
      </c>
      <c r="K18" s="3">
        <v>1</v>
      </c>
      <c r="L18" s="3" t="str">
        <f t="shared" si="0"/>
        <v>2018/03/13&amp;00:00:00</v>
      </c>
      <c r="M18" s="3" t="str">
        <f t="shared" si="1"/>
        <v>2018/03/13&amp;23:59:59</v>
      </c>
      <c r="N18" s="3">
        <v>1</v>
      </c>
      <c r="O18" s="3">
        <v>1</v>
      </c>
      <c r="P18" s="3">
        <v>0</v>
      </c>
      <c r="Q18" s="5">
        <f>VLOOKUP(表1_3[[#This Row],[名称]],[1]!表1[#Data],18,FALSE)*10</f>
        <v>3.8</v>
      </c>
      <c r="R18" s="3" t="s">
        <v>44</v>
      </c>
      <c r="S18" s="5" t="s">
        <v>75</v>
      </c>
    </row>
    <row r="19" spans="1:19" x14ac:dyDescent="0.15">
      <c r="A19" s="3">
        <v>10014</v>
      </c>
      <c r="B19" s="5">
        <f>VLOOKUP(表1_3[[#This Row],[名称]],[1]!表1[#Data],3,FALSE)</f>
        <v>9055</v>
      </c>
      <c r="C19" s="5">
        <f>VLOOKUP(表1_3[[#This Row],[名称]],[1]!表1[#Data],4,FALSE)</f>
        <v>9476</v>
      </c>
      <c r="D19" s="5" t="str">
        <f>"gift_"&amp;表1_3[[#This Row],[价格]]</f>
        <v>gift_1</v>
      </c>
      <c r="E19" s="5" t="str">
        <f>"gift_"&amp;表1_3[[#This Row],[价格]]</f>
        <v>gift_1</v>
      </c>
      <c r="F19" s="3" t="s">
        <v>40</v>
      </c>
      <c r="G19" s="3" t="str">
        <f>"[[""r002"","&amp;表1_3[[#This Row],[价格]]&amp;"]]"</f>
        <v>[["r002",1]]</v>
      </c>
      <c r="H19">
        <f>INT(VLOOKUP(表1_3[[#This Row],[名称]],[1]!表1[#Data],5,FALSE)/6)</f>
        <v>1</v>
      </c>
      <c r="I19" s="5" t="str">
        <f>VLOOKUP(表1_3[[#This Row],[名称]],[1]!表1[#Data],19,FALSE)</f>
        <v>[["i001",100000],["i002",100],["i400",1],["i220",5]]</v>
      </c>
      <c r="J19" s="3">
        <v>1</v>
      </c>
      <c r="K19" s="3">
        <v>1</v>
      </c>
      <c r="L19" s="3" t="str">
        <f t="shared" si="0"/>
        <v>2018/03/14&amp;00:00:00</v>
      </c>
      <c r="M19" s="3" t="str">
        <f t="shared" si="1"/>
        <v>2018/03/14&amp;23:59:59</v>
      </c>
      <c r="N19" s="3">
        <v>1</v>
      </c>
      <c r="O19" s="3">
        <v>1</v>
      </c>
      <c r="P19" s="3">
        <v>0</v>
      </c>
      <c r="Q19" s="5">
        <f>VLOOKUP(表1_3[[#This Row],[名称]],[1]!表1[#Data],18,FALSE)*10</f>
        <v>3.5999999999999996</v>
      </c>
      <c r="R19" s="3" t="s">
        <v>39</v>
      </c>
      <c r="S19" s="5" t="s">
        <v>63</v>
      </c>
    </row>
    <row r="20" spans="1:19" x14ac:dyDescent="0.15">
      <c r="A20" s="3">
        <v>10015</v>
      </c>
      <c r="B20" s="5">
        <f>VLOOKUP(表1_3[[#This Row],[名称]],[1]!表1[#Data],3,FALSE)</f>
        <v>9056</v>
      </c>
      <c r="C20" s="5">
        <f>VLOOKUP(表1_3[[#This Row],[名称]],[1]!表1[#Data],4,FALSE)</f>
        <v>9477</v>
      </c>
      <c r="D20" s="5" t="str">
        <f>"gift_"&amp;表1_3[[#This Row],[价格]]</f>
        <v>gift_2</v>
      </c>
      <c r="E20" s="5" t="str">
        <f>"gift_"&amp;表1_3[[#This Row],[价格]]</f>
        <v>gift_2</v>
      </c>
      <c r="F20" s="3" t="s">
        <v>40</v>
      </c>
      <c r="G20" s="3" t="str">
        <f>"[[""r002"","&amp;表1_3[[#This Row],[价格]]&amp;"]]"</f>
        <v>[["r002",2]]</v>
      </c>
      <c r="H20">
        <f>INT(VLOOKUP(表1_3[[#This Row],[名称]],[1]!表1[#Data],5,FALSE)/6)</f>
        <v>2</v>
      </c>
      <c r="I20" s="5" t="str">
        <f>VLOOKUP(表1_3[[#This Row],[名称]],[1]!表1[#Data],19,FALSE)</f>
        <v>[["i015",8],["i002",100],["i400",2],["i220",2]]</v>
      </c>
      <c r="J20" s="3">
        <v>1</v>
      </c>
      <c r="K20" s="3">
        <v>1</v>
      </c>
      <c r="L20" s="3" t="str">
        <f t="shared" si="0"/>
        <v>2018/03/15&amp;00:00:00</v>
      </c>
      <c r="M20" s="3" t="str">
        <f t="shared" si="1"/>
        <v>2018/03/15&amp;23:59:59</v>
      </c>
      <c r="N20" s="3">
        <v>1</v>
      </c>
      <c r="O20" s="3">
        <v>1</v>
      </c>
      <c r="P20" s="3">
        <v>0</v>
      </c>
      <c r="Q20" s="5">
        <f>VLOOKUP(表1_3[[#This Row],[名称]],[1]!表1[#Data],18,FALSE)*10</f>
        <v>3</v>
      </c>
      <c r="R20" s="11" t="s">
        <v>55</v>
      </c>
      <c r="S20" s="5" t="s">
        <v>64</v>
      </c>
    </row>
    <row r="21" spans="1:19" x14ac:dyDescent="0.15">
      <c r="A21" s="3">
        <v>10016</v>
      </c>
      <c r="B21" s="5">
        <f>VLOOKUP(表1_3[[#This Row],[名称]],[1]!表1[#Data],3,FALSE)</f>
        <v>9055</v>
      </c>
      <c r="C21" s="5">
        <f>VLOOKUP(表1_3[[#This Row],[名称]],[1]!表1[#Data],4,FALSE)</f>
        <v>9476</v>
      </c>
      <c r="D21" s="5" t="str">
        <f>"gift_"&amp;表1_3[[#This Row],[价格]]</f>
        <v>gift_1</v>
      </c>
      <c r="E21" s="5" t="str">
        <f>"gift_"&amp;表1_3[[#This Row],[价格]]</f>
        <v>gift_1</v>
      </c>
      <c r="F21" s="3" t="s">
        <v>40</v>
      </c>
      <c r="G21" s="3" t="str">
        <f>"[[""r002"","&amp;表1_3[[#This Row],[价格]]&amp;"]]"</f>
        <v>[["r002",1]]</v>
      </c>
      <c r="H21">
        <f>INT(VLOOKUP(表1_3[[#This Row],[名称]],[1]!表1[#Data],5,FALSE)/6)</f>
        <v>1</v>
      </c>
      <c r="I21" s="5" t="str">
        <f>VLOOKUP(表1_3[[#This Row],[名称]],[1]!表1[#Data],19,FALSE)</f>
        <v>[["i215",10],["i002",50],["i004",1],["i240",20]]</v>
      </c>
      <c r="J21" s="3">
        <v>1</v>
      </c>
      <c r="K21" s="3">
        <v>1</v>
      </c>
      <c r="L21" s="3" t="str">
        <f t="shared" si="0"/>
        <v>2018/03/16&amp;00:00:00</v>
      </c>
      <c r="M21" s="3" t="str">
        <f t="shared" si="1"/>
        <v>2018/03/16&amp;23:59:59</v>
      </c>
      <c r="N21" s="3">
        <v>1</v>
      </c>
      <c r="O21" s="3">
        <v>1</v>
      </c>
      <c r="P21" s="3">
        <v>0</v>
      </c>
      <c r="Q21" s="5">
        <f>VLOOKUP(表1_3[[#This Row],[名称]],[1]!表1[#Data],18,FALSE)*10</f>
        <v>2.7</v>
      </c>
      <c r="R21" s="11" t="s">
        <v>58</v>
      </c>
      <c r="S21" s="5" t="s">
        <v>65</v>
      </c>
    </row>
    <row r="22" spans="1:19" x14ac:dyDescent="0.15">
      <c r="A22" s="3">
        <v>10017</v>
      </c>
      <c r="B22" s="5">
        <f>VLOOKUP(表1_3[[#This Row],[名称]],[1]!表1[#Data],3,FALSE)</f>
        <v>9056</v>
      </c>
      <c r="C22" s="5">
        <f>VLOOKUP(表1_3[[#This Row],[名称]],[1]!表1[#Data],4,FALSE)</f>
        <v>9477</v>
      </c>
      <c r="D22" s="5" t="str">
        <f>"gift_"&amp;表1_3[[#This Row],[价格]]</f>
        <v>gift_2</v>
      </c>
      <c r="E22" s="5" t="str">
        <f>"gift_"&amp;表1_3[[#This Row],[价格]]</f>
        <v>gift_2</v>
      </c>
      <c r="F22" s="3" t="s">
        <v>40</v>
      </c>
      <c r="G22" s="3" t="str">
        <f>"[[""r002"","&amp;表1_3[[#This Row],[价格]]&amp;"]]"</f>
        <v>[["r002",2]]</v>
      </c>
      <c r="H22">
        <f>INT(VLOOKUP(表1_3[[#This Row],[名称]],[1]!表1[#Data],5,FALSE)/6)</f>
        <v>2</v>
      </c>
      <c r="I22" s="5" t="str">
        <f>VLOOKUP(表1_3[[#This Row],[名称]],[1]!表1[#Data],19,FALSE)</f>
        <v>[["i001",200000],["i002",200],["i400",2],["i220",10]]</v>
      </c>
      <c r="J22" s="3">
        <v>1</v>
      </c>
      <c r="K22" s="3">
        <v>1</v>
      </c>
      <c r="L22" s="3" t="str">
        <f t="shared" si="0"/>
        <v>2018/03/17&amp;00:00:00</v>
      </c>
      <c r="M22" s="3" t="str">
        <f t="shared" si="1"/>
        <v>2018/03/17&amp;23:59:59</v>
      </c>
      <c r="N22" s="3">
        <v>1</v>
      </c>
      <c r="O22" s="3">
        <v>1</v>
      </c>
      <c r="P22" s="3">
        <v>0</v>
      </c>
      <c r="Q22" s="5">
        <f>VLOOKUP(表1_3[[#This Row],[名称]],[1]!表1[#Data],18,FALSE)*10</f>
        <v>3.8</v>
      </c>
      <c r="R22" s="3" t="s">
        <v>41</v>
      </c>
      <c r="S22" s="5" t="s">
        <v>66</v>
      </c>
    </row>
    <row r="23" spans="1:19" x14ac:dyDescent="0.15">
      <c r="A23" s="3">
        <v>10018</v>
      </c>
      <c r="B23" s="5">
        <f>VLOOKUP(表1_3[[#This Row],[名称]],[1]!表1[#Data],3,FALSE)</f>
        <v>9072</v>
      </c>
      <c r="C23" s="5">
        <f>VLOOKUP(表1_3[[#This Row],[名称]],[1]!表1[#Data],4,FALSE)</f>
        <v>9493</v>
      </c>
      <c r="D23" s="5" t="str">
        <f>"gift_"&amp;表1_3[[#This Row],[价格]]</f>
        <v>gift_3</v>
      </c>
      <c r="E23" s="5" t="str">
        <f>"gift_"&amp;表1_3[[#This Row],[价格]]</f>
        <v>gift_3</v>
      </c>
      <c r="F23" s="3" t="s">
        <v>40</v>
      </c>
      <c r="G23" s="3" t="str">
        <f>"[[""r002"","&amp;表1_3[[#This Row],[价格]]&amp;"]]"</f>
        <v>[["r002",3]]</v>
      </c>
      <c r="H23">
        <f>INT(VLOOKUP(表1_3[[#This Row],[名称]],[1]!表1[#Data],5,FALSE)/6)</f>
        <v>3</v>
      </c>
      <c r="I23" s="5" t="str">
        <f>VLOOKUP(表1_3[[#This Row],[名称]],[1]!表1[#Data],19,FALSE)</f>
        <v>[["i016",10],["i001",50000],["i400",5],["i004",5]]</v>
      </c>
      <c r="J23" s="3">
        <v>1</v>
      </c>
      <c r="K23" s="3">
        <v>1</v>
      </c>
      <c r="L23" s="3" t="str">
        <f t="shared" si="0"/>
        <v>2018/03/18&amp;00:00:00</v>
      </c>
      <c r="M23" s="3" t="str">
        <f t="shared" si="1"/>
        <v>2018/03/18&amp;23:59:59</v>
      </c>
      <c r="N23" s="3">
        <v>1</v>
      </c>
      <c r="O23" s="3">
        <v>1</v>
      </c>
      <c r="P23" s="3">
        <v>0</v>
      </c>
      <c r="Q23" s="5">
        <f>VLOOKUP(表1_3[[#This Row],[名称]],[1]!表1[#Data],18,FALSE)*10</f>
        <v>1.5</v>
      </c>
      <c r="R23" s="11" t="s">
        <v>61</v>
      </c>
      <c r="S23" s="5" t="s">
        <v>67</v>
      </c>
    </row>
    <row r="24" spans="1:19" x14ac:dyDescent="0.15">
      <c r="A24" s="3">
        <v>10019</v>
      </c>
      <c r="B24" s="5">
        <f>VLOOKUP(表1_3[[#This Row],[名称]],[1]!表1[#Data],3,FALSE)</f>
        <v>9055</v>
      </c>
      <c r="C24" s="5">
        <f>VLOOKUP(表1_3[[#This Row],[名称]],[1]!表1[#Data],4,FALSE)</f>
        <v>9476</v>
      </c>
      <c r="D24" s="5" t="str">
        <f>"gift_"&amp;表1_3[[#This Row],[价格]]</f>
        <v>gift_1</v>
      </c>
      <c r="E24" s="5" t="str">
        <f>"gift_"&amp;表1_3[[#This Row],[价格]]</f>
        <v>gift_1</v>
      </c>
      <c r="F24" s="3" t="s">
        <v>40</v>
      </c>
      <c r="G24" s="3" t="str">
        <f>"[[""r002"","&amp;表1_3[[#This Row],[价格]]&amp;"]]"</f>
        <v>[["r002",1]]</v>
      </c>
      <c r="H24">
        <f>INT(VLOOKUP(表1_3[[#This Row],[名称]],[1]!表1[#Data],5,FALSE)/6)</f>
        <v>1</v>
      </c>
      <c r="I24" s="5" t="str">
        <f>VLOOKUP(表1_3[[#This Row],[名称]],[1]!表1[#Data],19,FALSE)</f>
        <v>[["i011",50],["i001",100000],["i004",1],["i015",1]]</v>
      </c>
      <c r="J24" s="3">
        <v>1</v>
      </c>
      <c r="K24" s="3">
        <v>1</v>
      </c>
      <c r="L24" s="3" t="str">
        <f t="shared" si="0"/>
        <v>2018/03/19&amp;00:00:00</v>
      </c>
      <c r="M24" s="3" t="str">
        <f t="shared" si="1"/>
        <v>2018/03/19&amp;23:59:59</v>
      </c>
      <c r="N24" s="3">
        <v>1</v>
      </c>
      <c r="O24" s="3">
        <v>1</v>
      </c>
      <c r="P24" s="3">
        <v>0</v>
      </c>
      <c r="Q24" s="5">
        <f>VLOOKUP(表1_3[[#This Row],[名称]],[1]!表1[#Data],18,FALSE)*10</f>
        <v>2.4</v>
      </c>
      <c r="R24" s="11" t="s">
        <v>60</v>
      </c>
      <c r="S24" s="5" t="s">
        <v>68</v>
      </c>
    </row>
    <row r="25" spans="1:19" x14ac:dyDescent="0.15">
      <c r="A25" s="3">
        <v>10020</v>
      </c>
      <c r="B25" s="5">
        <f>VLOOKUP(表1_3[[#This Row],[名称]],[1]!表1[#Data],3,FALSE)</f>
        <v>9055</v>
      </c>
      <c r="C25" s="5">
        <f>VLOOKUP(表1_3[[#This Row],[名称]],[1]!表1[#Data],4,FALSE)</f>
        <v>9476</v>
      </c>
      <c r="D25" s="5" t="str">
        <f>"gift_"&amp;表1_3[[#This Row],[价格]]</f>
        <v>gift_1</v>
      </c>
      <c r="E25" s="5" t="str">
        <f>"gift_"&amp;表1_3[[#This Row],[价格]]</f>
        <v>gift_1</v>
      </c>
      <c r="F25" s="3" t="s">
        <v>40</v>
      </c>
      <c r="G25" s="3" t="str">
        <f>"[[""r002"","&amp;表1_3[[#This Row],[价格]]&amp;"]]"</f>
        <v>[["r002",1]]</v>
      </c>
      <c r="H25">
        <f>INT(VLOOKUP(表1_3[[#This Row],[名称]],[1]!表1[#Data],5,FALSE)/6)</f>
        <v>1</v>
      </c>
      <c r="I25" s="5" t="str">
        <f>VLOOKUP(表1_3[[#This Row],[名称]],[1]!表1[#Data],19,FALSE)</f>
        <v>[["i006",25],["i001",50000],["i004",1],["i015",1]]</v>
      </c>
      <c r="J25" s="3">
        <v>1</v>
      </c>
      <c r="K25" s="3">
        <v>1</v>
      </c>
      <c r="L25" s="3" t="str">
        <f t="shared" si="0"/>
        <v>2018/03/20&amp;00:00:00</v>
      </c>
      <c r="M25" s="3" t="str">
        <f t="shared" si="1"/>
        <v>2018/03/20&amp;23:59:59</v>
      </c>
      <c r="N25" s="3">
        <v>1</v>
      </c>
      <c r="O25" s="3">
        <v>1</v>
      </c>
      <c r="P25" s="3">
        <v>0</v>
      </c>
      <c r="Q25" s="5">
        <f>VLOOKUP(表1_3[[#This Row],[名称]],[1]!表1[#Data],18,FALSE)*10</f>
        <v>1.9</v>
      </c>
      <c r="R25" s="11" t="s">
        <v>59</v>
      </c>
      <c r="S25" s="5" t="s">
        <v>69</v>
      </c>
    </row>
    <row r="26" spans="1:19" x14ac:dyDescent="0.15">
      <c r="A26" s="3">
        <v>10021</v>
      </c>
      <c r="B26" s="5">
        <f>VLOOKUP(表1_3[[#This Row],[名称]],[1]!表1[#Data],3,FALSE)</f>
        <v>9056</v>
      </c>
      <c r="C26" s="5">
        <f>VLOOKUP(表1_3[[#This Row],[名称]],[1]!表1[#Data],4,FALSE)</f>
        <v>9477</v>
      </c>
      <c r="D26" s="5" t="str">
        <f>"gift_"&amp;表1_3[[#This Row],[价格]]</f>
        <v>gift_2</v>
      </c>
      <c r="E26" s="5" t="str">
        <f>"gift_"&amp;表1_3[[#This Row],[价格]]</f>
        <v>gift_2</v>
      </c>
      <c r="F26" s="3" t="s">
        <v>40</v>
      </c>
      <c r="G26" s="3" t="str">
        <f>"[[""r002"","&amp;表1_3[[#This Row],[价格]]&amp;"]]"</f>
        <v>[["r002",2]]</v>
      </c>
      <c r="H26">
        <f>INT(VLOOKUP(表1_3[[#This Row],[名称]],[1]!表1[#Data],5,FALSE)/6)</f>
        <v>2</v>
      </c>
      <c r="I26" s="5" t="str">
        <f>VLOOKUP(表1_3[[#This Row],[名称]],[1]!表1[#Data],19,FALSE)</f>
        <v>[["i240",180],["i002",150],["i001",50000],["i220",5]]</v>
      </c>
      <c r="J26" s="3">
        <v>1</v>
      </c>
      <c r="K26" s="3">
        <v>1</v>
      </c>
      <c r="L26" s="3" t="str">
        <f t="shared" si="0"/>
        <v>2018/03/21&amp;00:00:00</v>
      </c>
      <c r="M26" s="3" t="str">
        <f t="shared" si="1"/>
        <v>2018/03/21&amp;23:59:59</v>
      </c>
      <c r="N26" s="3">
        <v>1</v>
      </c>
      <c r="O26" s="3">
        <v>1</v>
      </c>
      <c r="P26" s="3">
        <v>0</v>
      </c>
      <c r="Q26" s="5">
        <f>VLOOKUP(表1_3[[#This Row],[名称]],[1]!表1[#Data],18,FALSE)*10</f>
        <v>2.5</v>
      </c>
      <c r="R26" s="11" t="s">
        <v>56</v>
      </c>
      <c r="S26" s="5" t="s">
        <v>70</v>
      </c>
    </row>
    <row r="27" spans="1:19" x14ac:dyDescent="0.15">
      <c r="A27" s="3">
        <v>10022</v>
      </c>
      <c r="B27" s="5">
        <f>VLOOKUP(表1_3[[#This Row],[名称]],[1]!表1[#Data],3,FALSE)</f>
        <v>9072</v>
      </c>
      <c r="C27" s="5">
        <f>VLOOKUP(表1_3[[#This Row],[名称]],[1]!表1[#Data],4,FALSE)</f>
        <v>9493</v>
      </c>
      <c r="D27" s="5" t="str">
        <f>"gift_"&amp;表1_3[[#This Row],[价格]]</f>
        <v>gift_3</v>
      </c>
      <c r="E27" s="5" t="str">
        <f>"gift_"&amp;表1_3[[#This Row],[价格]]</f>
        <v>gift_3</v>
      </c>
      <c r="F27" s="3" t="s">
        <v>40</v>
      </c>
      <c r="G27" s="3" t="str">
        <f>"[[""r002"","&amp;表1_3[[#This Row],[价格]]&amp;"]]"</f>
        <v>[["r002",3]]</v>
      </c>
      <c r="H27">
        <f>INT(VLOOKUP(表1_3[[#This Row],[名称]],[1]!表1[#Data],5,FALSE)/6)</f>
        <v>3</v>
      </c>
      <c r="I27" s="5" t="str">
        <f>VLOOKUP(表1_3[[#This Row],[名称]],[1]!表1[#Data],19,FALSE)</f>
        <v>[["i001",300000],["i002",300],["i015",1],["i400",2]]</v>
      </c>
      <c r="J27" s="3">
        <v>1</v>
      </c>
      <c r="K27" s="3">
        <v>1</v>
      </c>
      <c r="L27" s="3" t="str">
        <f t="shared" si="0"/>
        <v>2018/03/22&amp;00:00:00</v>
      </c>
      <c r="M27" s="3" t="str">
        <f t="shared" si="1"/>
        <v>2018/03/22&amp;23:59:59</v>
      </c>
      <c r="N27" s="3">
        <v>1</v>
      </c>
      <c r="O27" s="3">
        <v>1</v>
      </c>
      <c r="P27" s="3">
        <v>0</v>
      </c>
      <c r="Q27" s="5">
        <f>VLOOKUP(表1_3[[#This Row],[名称]],[1]!表1[#Data],18,FALSE)*10</f>
        <v>4</v>
      </c>
      <c r="R27" s="3" t="s">
        <v>42</v>
      </c>
      <c r="S27" s="5" t="s">
        <v>71</v>
      </c>
    </row>
    <row r="28" spans="1:19" x14ac:dyDescent="0.15">
      <c r="A28" s="3">
        <v>10023</v>
      </c>
      <c r="B28" s="5">
        <f>VLOOKUP(表1_3[[#This Row],[名称]],[1]!表1[#Data],3,FALSE)</f>
        <v>9055</v>
      </c>
      <c r="C28" s="5">
        <f>VLOOKUP(表1_3[[#This Row],[名称]],[1]!表1[#Data],4,FALSE)</f>
        <v>9476</v>
      </c>
      <c r="D28" s="5" t="str">
        <f>"gift_"&amp;表1_3[[#This Row],[价格]]</f>
        <v>gift_1</v>
      </c>
      <c r="E28" s="5" t="str">
        <f>"gift_"&amp;表1_3[[#This Row],[价格]]</f>
        <v>gift_1</v>
      </c>
      <c r="F28" s="3" t="s">
        <v>40</v>
      </c>
      <c r="G28" s="3" t="str">
        <f>"[[""r002"","&amp;表1_3[[#This Row],[价格]]&amp;"]]"</f>
        <v>[["r002",1]]</v>
      </c>
      <c r="H28">
        <f>INT(VLOOKUP(表1_3[[#This Row],[名称]],[1]!表1[#Data],5,FALSE)/6)</f>
        <v>1</v>
      </c>
      <c r="I28" s="5" t="str">
        <f>VLOOKUP(表1_3[[#This Row],[名称]],[1]!表1[#Data],19,FALSE)</f>
        <v>[["i400",20],["i002",50],["i015",1],["i220",2]]</v>
      </c>
      <c r="J28" s="3">
        <v>1</v>
      </c>
      <c r="K28" s="3">
        <v>1</v>
      </c>
      <c r="L28" s="3" t="str">
        <f t="shared" si="0"/>
        <v>2018/03/23&amp;00:00:00</v>
      </c>
      <c r="M28" s="3" t="str">
        <f t="shared" si="1"/>
        <v>2018/03/23&amp;23:59:59</v>
      </c>
      <c r="N28" s="3">
        <v>1</v>
      </c>
      <c r="O28" s="3">
        <v>1</v>
      </c>
      <c r="P28" s="3">
        <v>0</v>
      </c>
      <c r="Q28" s="5">
        <f>VLOOKUP(表1_3[[#This Row],[名称]],[1]!表1[#Data],18,FALSE)*10</f>
        <v>1.9</v>
      </c>
      <c r="R28" s="11" t="s">
        <v>57</v>
      </c>
      <c r="S28" s="5" t="s">
        <v>72</v>
      </c>
    </row>
    <row r="29" spans="1:19" x14ac:dyDescent="0.15">
      <c r="A29" s="3">
        <v>10024</v>
      </c>
      <c r="B29" s="5">
        <f>VLOOKUP(表1_3[[#This Row],[名称]],[1]!表1[#Data],3,FALSE)</f>
        <v>9067</v>
      </c>
      <c r="C29" s="5">
        <f>VLOOKUP(表1_3[[#This Row],[名称]],[1]!表1[#Data],4,FALSE)</f>
        <v>9488</v>
      </c>
      <c r="D29" s="5" t="str">
        <f>"gift_"&amp;表1_3[[#This Row],[价格]]</f>
        <v>gift_5</v>
      </c>
      <c r="E29" s="5" t="str">
        <f>"gift_"&amp;表1_3[[#This Row],[价格]]</f>
        <v>gift_5</v>
      </c>
      <c r="F29" s="3" t="s">
        <v>40</v>
      </c>
      <c r="G29" s="3" t="str">
        <f>"[[""r002"","&amp;表1_3[[#This Row],[价格]]&amp;"]]"</f>
        <v>[["r002",5]]</v>
      </c>
      <c r="H29">
        <f>INT(VLOOKUP(表1_3[[#This Row],[名称]],[1]!表1[#Data],5,FALSE)/6)</f>
        <v>5</v>
      </c>
      <c r="I29" s="5" t="str">
        <f>VLOOKUP(表1_3[[#This Row],[名称]],[1]!表1[#Data],19,FALSE)</f>
        <v>[["i001",400000],["i002",400],["i015",1],["i006",5]]</v>
      </c>
      <c r="J29" s="3">
        <v>1</v>
      </c>
      <c r="K29" s="3">
        <v>1</v>
      </c>
      <c r="L29" s="3" t="str">
        <f t="shared" si="0"/>
        <v>2018/03/24&amp;00:00:00</v>
      </c>
      <c r="M29" s="3" t="str">
        <f t="shared" si="1"/>
        <v>2018/03/24&amp;23:59:59</v>
      </c>
      <c r="N29" s="3">
        <v>1</v>
      </c>
      <c r="O29" s="3">
        <v>1</v>
      </c>
      <c r="P29" s="3">
        <v>0</v>
      </c>
      <c r="Q29" s="5">
        <f>VLOOKUP(表1_3[[#This Row],[名称]],[1]!表1[#Data],18,FALSE)*10</f>
        <v>3.8</v>
      </c>
      <c r="R29" s="3" t="s">
        <v>43</v>
      </c>
      <c r="S29" s="5" t="s">
        <v>73</v>
      </c>
    </row>
    <row r="30" spans="1:19" x14ac:dyDescent="0.15">
      <c r="A30" s="3">
        <v>10025</v>
      </c>
      <c r="B30" s="5">
        <f>VLOOKUP(表1_3[[#This Row],[名称]],[1]!表1[#Data],3,FALSE)</f>
        <v>9075</v>
      </c>
      <c r="C30" s="5">
        <f>VLOOKUP(表1_3[[#This Row],[名称]],[1]!表1[#Data],4,FALSE)</f>
        <v>9496</v>
      </c>
      <c r="D30" s="5" t="str">
        <f>"gift_"&amp;表1_3[[#This Row],[价格]]</f>
        <v>gift_7</v>
      </c>
      <c r="E30" s="5" t="str">
        <f>"gift_"&amp;表1_3[[#This Row],[价格]]</f>
        <v>gift_7</v>
      </c>
      <c r="F30" s="3" t="s">
        <v>40</v>
      </c>
      <c r="G30" s="3" t="str">
        <f>"[[""r002"","&amp;表1_3[[#This Row],[价格]]&amp;"]]"</f>
        <v>[["r002",7]]</v>
      </c>
      <c r="H30">
        <f>INT(VLOOKUP(表1_3[[#This Row],[名称]],[1]!表1[#Data],5,FALSE)/6)</f>
        <v>7</v>
      </c>
      <c r="I30" s="5" t="str">
        <f>VLOOKUP(表1_3[[#This Row],[名称]],[1]!表1[#Data],19,FALSE)</f>
        <v>[["i017",8],["i002",100],["i004",10],["i006",10]]</v>
      </c>
      <c r="J30" s="3">
        <v>1</v>
      </c>
      <c r="K30" s="3">
        <v>1</v>
      </c>
      <c r="L30" s="3" t="str">
        <f t="shared" si="0"/>
        <v>2018/03/25&amp;00:00:00</v>
      </c>
      <c r="M30" s="3" t="str">
        <f t="shared" si="1"/>
        <v>2018/03/25&amp;23:59:59</v>
      </c>
      <c r="N30" s="3">
        <v>1</v>
      </c>
      <c r="O30" s="3">
        <v>1</v>
      </c>
      <c r="P30" s="3">
        <v>0</v>
      </c>
      <c r="Q30" s="5">
        <f>VLOOKUP(表1_3[[#This Row],[名称]],[1]!表1[#Data],18,FALSE)*10</f>
        <v>1</v>
      </c>
      <c r="R30" s="11" t="s">
        <v>62</v>
      </c>
      <c r="S30" s="5" t="s">
        <v>74</v>
      </c>
    </row>
    <row r="31" spans="1:19" x14ac:dyDescent="0.15">
      <c r="A31" s="3">
        <v>10026</v>
      </c>
      <c r="B31" s="5">
        <f>VLOOKUP(表1_3[[#This Row],[名称]],[1]!表1[#Data],3,FALSE)</f>
        <v>9055</v>
      </c>
      <c r="C31" s="5">
        <f>VLOOKUP(表1_3[[#This Row],[名称]],[1]!表1[#Data],4,FALSE)</f>
        <v>9476</v>
      </c>
      <c r="D31" s="5" t="str">
        <f>"gift_"&amp;表1_3[[#This Row],[价格]]</f>
        <v>gift_1</v>
      </c>
      <c r="E31" s="5" t="str">
        <f>"gift_"&amp;表1_3[[#This Row],[价格]]</f>
        <v>gift_1</v>
      </c>
      <c r="F31" s="3" t="s">
        <v>40</v>
      </c>
      <c r="G31" s="3" t="str">
        <f>"[[""r002"","&amp;表1_3[[#This Row],[价格]]&amp;"]]"</f>
        <v>[["r002",1]]</v>
      </c>
      <c r="H31">
        <f>INT(VLOOKUP(表1_3[[#This Row],[名称]],[1]!表1[#Data],5,FALSE)/6)</f>
        <v>1</v>
      </c>
      <c r="I31" s="5" t="str">
        <f>VLOOKUP(表1_3[[#This Row],[名称]],[1]!表1[#Data],19,FALSE)</f>
        <v>[["i215",10],["i002",50],["i004",1],["i240",20]]</v>
      </c>
      <c r="J31" s="3">
        <v>1</v>
      </c>
      <c r="K31" s="3">
        <v>1</v>
      </c>
      <c r="L31" s="3" t="str">
        <f t="shared" si="0"/>
        <v>2018/03/26&amp;00:00:00</v>
      </c>
      <c r="M31" s="3" t="str">
        <f t="shared" si="1"/>
        <v>2018/03/26&amp;23:59:59</v>
      </c>
      <c r="N31" s="3">
        <v>1</v>
      </c>
      <c r="O31" s="3">
        <v>1</v>
      </c>
      <c r="P31" s="3">
        <v>0</v>
      </c>
      <c r="Q31" s="5">
        <f>VLOOKUP(表1_3[[#This Row],[名称]],[1]!表1[#Data],18,FALSE)*10</f>
        <v>2.7</v>
      </c>
      <c r="R31" s="11" t="s">
        <v>58</v>
      </c>
      <c r="S31" s="5" t="s">
        <v>65</v>
      </c>
    </row>
    <row r="32" spans="1:19" x14ac:dyDescent="0.15">
      <c r="A32" s="3">
        <v>10027</v>
      </c>
      <c r="B32" s="5">
        <f>VLOOKUP(表1_3[[#This Row],[名称]],[1]!表1[#Data],3,FALSE)</f>
        <v>9055</v>
      </c>
      <c r="C32" s="5">
        <f>VLOOKUP(表1_3[[#This Row],[名称]],[1]!表1[#Data],4,FALSE)</f>
        <v>9476</v>
      </c>
      <c r="D32" s="5" t="str">
        <f>"gift_"&amp;表1_3[[#This Row],[价格]]</f>
        <v>gift_1</v>
      </c>
      <c r="E32" s="5" t="str">
        <f>"gift_"&amp;表1_3[[#This Row],[价格]]</f>
        <v>gift_1</v>
      </c>
      <c r="F32" s="3" t="s">
        <v>40</v>
      </c>
      <c r="G32" s="3" t="str">
        <f>"[[""r002"","&amp;表1_3[[#This Row],[价格]]&amp;"]]"</f>
        <v>[["r002",1]]</v>
      </c>
      <c r="H32">
        <f>INT(VLOOKUP(表1_3[[#This Row],[名称]],[1]!表1[#Data],5,FALSE)/6)</f>
        <v>1</v>
      </c>
      <c r="I32" s="5" t="str">
        <f>VLOOKUP(表1_3[[#This Row],[名称]],[1]!表1[#Data],19,FALSE)</f>
        <v>[["i006",25],["i001",50000],["i004",1],["i015",1]]</v>
      </c>
      <c r="J32" s="3">
        <v>1</v>
      </c>
      <c r="K32" s="3">
        <v>1</v>
      </c>
      <c r="L32" s="3" t="str">
        <f t="shared" si="0"/>
        <v>2018/03/27&amp;00:00:00</v>
      </c>
      <c r="M32" s="3" t="str">
        <f t="shared" si="1"/>
        <v>2018/03/27&amp;23:59:59</v>
      </c>
      <c r="N32" s="3">
        <v>1</v>
      </c>
      <c r="O32" s="3">
        <v>1</v>
      </c>
      <c r="P32" s="3">
        <v>0</v>
      </c>
      <c r="Q32" s="5">
        <f>VLOOKUP(表1_3[[#This Row],[名称]],[1]!表1[#Data],18,FALSE)*10</f>
        <v>1.9</v>
      </c>
      <c r="R32" s="11" t="s">
        <v>59</v>
      </c>
      <c r="S32" s="5" t="s">
        <v>69</v>
      </c>
    </row>
    <row r="33" spans="1:19" x14ac:dyDescent="0.15">
      <c r="A33" s="3">
        <v>10028</v>
      </c>
      <c r="B33" s="5">
        <f>VLOOKUP(表1_3[[#This Row],[名称]],[1]!表1[#Data],3,FALSE)</f>
        <v>9055</v>
      </c>
      <c r="C33" s="5">
        <f>VLOOKUP(表1_3[[#This Row],[名称]],[1]!表1[#Data],4,FALSE)</f>
        <v>9476</v>
      </c>
      <c r="D33" s="5" t="str">
        <f>"gift_"&amp;表1_3[[#This Row],[价格]]</f>
        <v>gift_1</v>
      </c>
      <c r="E33" s="5" t="str">
        <f>"gift_"&amp;表1_3[[#This Row],[价格]]</f>
        <v>gift_1</v>
      </c>
      <c r="F33" s="3" t="s">
        <v>40</v>
      </c>
      <c r="G33" s="3" t="str">
        <f>"[[""r002"","&amp;表1_3[[#This Row],[价格]]&amp;"]]"</f>
        <v>[["r002",1]]</v>
      </c>
      <c r="H33" s="12">
        <f>INT(VLOOKUP(表1_3[[#This Row],[名称]],[1]!表1[#Data],5,FALSE)/6)</f>
        <v>1</v>
      </c>
      <c r="I33" s="5" t="str">
        <f>VLOOKUP(表1_3[[#This Row],[名称]],[1]!表1[#Data],19,FALSE)</f>
        <v>[["i006",25],["i001",50000],["i004",1],["i015",1]]</v>
      </c>
      <c r="J33" s="3">
        <v>1</v>
      </c>
      <c r="K33" s="3">
        <v>1</v>
      </c>
      <c r="L33" s="3" t="str">
        <f t="shared" si="0"/>
        <v>2018/03/28&amp;00:00:00</v>
      </c>
      <c r="M33" s="13" t="str">
        <f t="shared" si="1"/>
        <v>2018/03/28&amp;23:59:59</v>
      </c>
      <c r="N33" s="3">
        <v>1</v>
      </c>
      <c r="O33" s="3">
        <v>1</v>
      </c>
      <c r="P33" s="3">
        <v>0</v>
      </c>
      <c r="Q33" s="5">
        <f>VLOOKUP(表1_3[[#This Row],[名称]],[1]!表1[#Data],18,FALSE)*10</f>
        <v>1.9</v>
      </c>
      <c r="R33" s="11" t="s">
        <v>59</v>
      </c>
      <c r="S33" s="15" t="s">
        <v>69</v>
      </c>
    </row>
    <row r="34" spans="1:19" x14ac:dyDescent="0.15">
      <c r="A34" s="3">
        <v>10029</v>
      </c>
      <c r="B34" s="5">
        <f>VLOOKUP(表1_3[[#This Row],[名称]],[1]!表1[#Data],3,FALSE)</f>
        <v>9055</v>
      </c>
      <c r="C34" s="5">
        <f>VLOOKUP(表1_3[[#This Row],[名称]],[1]!表1[#Data],4,FALSE)</f>
        <v>9476</v>
      </c>
      <c r="D34" s="5" t="str">
        <f>"gift_"&amp;表1_3[[#This Row],[价格]]</f>
        <v>gift_1</v>
      </c>
      <c r="E34" s="5" t="str">
        <f>"gift_"&amp;表1_3[[#This Row],[价格]]</f>
        <v>gift_1</v>
      </c>
      <c r="F34" s="3" t="s">
        <v>40</v>
      </c>
      <c r="G34" s="3" t="str">
        <f>"[[""r002"","&amp;表1_3[[#This Row],[价格]]&amp;"]]"</f>
        <v>[["r002",1]]</v>
      </c>
      <c r="H34" s="12">
        <f>INT(VLOOKUP(表1_3[[#This Row],[名称]],[1]!表1[#Data],5,FALSE)/6)</f>
        <v>1</v>
      </c>
      <c r="I34" s="5" t="str">
        <f>VLOOKUP(表1_3[[#This Row],[名称]],[1]!表1[#Data],19,FALSE)</f>
        <v>[["i215",10],["i002",50],["i004",1],["i240",20]]</v>
      </c>
      <c r="J34" s="3">
        <v>1</v>
      </c>
      <c r="K34" s="3">
        <v>1</v>
      </c>
      <c r="L34" s="3" t="str">
        <f t="shared" si="0"/>
        <v>2018/03/29&amp;00:00:00</v>
      </c>
      <c r="M34" s="13" t="str">
        <f t="shared" si="1"/>
        <v>2018/03/29&amp;23:59:59</v>
      </c>
      <c r="N34" s="3">
        <v>1</v>
      </c>
      <c r="O34" s="3">
        <v>1</v>
      </c>
      <c r="P34" s="3">
        <v>0</v>
      </c>
      <c r="Q34" s="5">
        <f>VLOOKUP(表1_3[[#This Row],[名称]],[1]!表1[#Data],18,FALSE)*10</f>
        <v>2.7</v>
      </c>
      <c r="R34" s="11" t="s">
        <v>58</v>
      </c>
      <c r="S34" s="15" t="s">
        <v>65</v>
      </c>
    </row>
    <row r="35" spans="1:19" x14ac:dyDescent="0.15">
      <c r="A35" s="3">
        <v>10030</v>
      </c>
      <c r="B35" s="5">
        <f>VLOOKUP(表1_3[[#This Row],[名称]],[1]!表1[#Data],3,FALSE)</f>
        <v>9075</v>
      </c>
      <c r="C35" s="5">
        <f>VLOOKUP(表1_3[[#This Row],[名称]],[1]!表1[#Data],4,FALSE)</f>
        <v>9496</v>
      </c>
      <c r="D35" s="5" t="str">
        <f>"gift_"&amp;表1_3[[#This Row],[价格]]</f>
        <v>gift_7</v>
      </c>
      <c r="E35" s="5" t="str">
        <f>"gift_"&amp;表1_3[[#This Row],[价格]]</f>
        <v>gift_7</v>
      </c>
      <c r="F35" s="3" t="s">
        <v>40</v>
      </c>
      <c r="G35" s="3" t="str">
        <f>"[[""r002"","&amp;表1_3[[#This Row],[价格]]&amp;"]]"</f>
        <v>[["r002",7]]</v>
      </c>
      <c r="H35" s="12">
        <f>INT(VLOOKUP(表1_3[[#This Row],[名称]],[1]!表1[#Data],5,FALSE)/6)</f>
        <v>7</v>
      </c>
      <c r="I35" s="5" t="str">
        <f>VLOOKUP(表1_3[[#This Row],[名称]],[1]!表1[#Data],19,FALSE)</f>
        <v>[["i017",8],["i002",100],["i004",10],["i006",10]]</v>
      </c>
      <c r="J35" s="3">
        <v>1</v>
      </c>
      <c r="K35" s="3">
        <v>1</v>
      </c>
      <c r="L35" s="3" t="str">
        <f t="shared" si="0"/>
        <v>2018/03/30&amp;00:00:00</v>
      </c>
      <c r="M35" s="13" t="str">
        <f t="shared" si="1"/>
        <v>2018/03/30&amp;23:59:59</v>
      </c>
      <c r="N35" s="3">
        <v>1</v>
      </c>
      <c r="O35" s="3">
        <v>1</v>
      </c>
      <c r="P35" s="3">
        <v>0</v>
      </c>
      <c r="Q35" s="5">
        <f>VLOOKUP(表1_3[[#This Row],[名称]],[1]!表1[#Data],18,FALSE)*10</f>
        <v>1</v>
      </c>
      <c r="R35" s="11" t="s">
        <v>62</v>
      </c>
      <c r="S35" s="15" t="s">
        <v>74</v>
      </c>
    </row>
    <row r="36" spans="1:19" x14ac:dyDescent="0.15">
      <c r="A36" s="3">
        <v>10031</v>
      </c>
      <c r="B36" s="5">
        <f>VLOOKUP(表1_3[[#This Row],[名称]],[1]!表1[#Data],3,FALSE)</f>
        <v>9067</v>
      </c>
      <c r="C36" s="5">
        <f>VLOOKUP(表1_3[[#This Row],[名称]],[1]!表1[#Data],4,FALSE)</f>
        <v>9488</v>
      </c>
      <c r="D36" s="5" t="str">
        <f>"gift_"&amp;表1_3[[#This Row],[价格]]</f>
        <v>gift_5</v>
      </c>
      <c r="E36" s="5" t="str">
        <f>"gift_"&amp;表1_3[[#This Row],[价格]]</f>
        <v>gift_5</v>
      </c>
      <c r="F36" s="3" t="s">
        <v>40</v>
      </c>
      <c r="G36" s="3" t="str">
        <f>"[[""r002"","&amp;表1_3[[#This Row],[价格]]&amp;"]]"</f>
        <v>[["r002",5]]</v>
      </c>
      <c r="H36" s="12">
        <f>INT(VLOOKUP(表1_3[[#This Row],[名称]],[1]!表1[#Data],5,FALSE)/6)</f>
        <v>5</v>
      </c>
      <c r="I36" s="5" t="str">
        <f>VLOOKUP(表1_3[[#This Row],[名称]],[1]!表1[#Data],19,FALSE)</f>
        <v>[["i001",400000],["i002",400],["i015",1],["i006",5]]</v>
      </c>
      <c r="J36" s="3">
        <v>1</v>
      </c>
      <c r="K36" s="3">
        <v>1</v>
      </c>
      <c r="L36" s="3" t="str">
        <f t="shared" si="0"/>
        <v>2018/03/31&amp;00:00:00</v>
      </c>
      <c r="M36" s="13" t="str">
        <f t="shared" si="1"/>
        <v>2018/03/31&amp;23:59:59</v>
      </c>
      <c r="N36" s="3">
        <v>1</v>
      </c>
      <c r="O36" s="3">
        <v>1</v>
      </c>
      <c r="P36" s="3">
        <v>0</v>
      </c>
      <c r="Q36" s="5">
        <f>VLOOKUP(表1_3[[#This Row],[名称]],[1]!表1[#Data],18,FALSE)*10</f>
        <v>3.8</v>
      </c>
      <c r="R36" s="3" t="s">
        <v>43</v>
      </c>
      <c r="S36" s="15" t="s">
        <v>73</v>
      </c>
    </row>
    <row r="37" spans="1:19" x14ac:dyDescent="0.15">
      <c r="A37" s="3">
        <v>10032</v>
      </c>
      <c r="B37" s="5">
        <f>VLOOKUP(表1_3[[#This Row],[名称]],[1]!表1[#Data],3,FALSE)</f>
        <v>9055</v>
      </c>
      <c r="C37" s="5">
        <f>VLOOKUP(表1_3[[#This Row],[名称]],[1]!表1[#Data],4,FALSE)</f>
        <v>9476</v>
      </c>
      <c r="D37" s="5" t="str">
        <f>"gift_"&amp;表1_3[[#This Row],[价格]]</f>
        <v>gift_1</v>
      </c>
      <c r="E37" s="5" t="str">
        <f>"gift_"&amp;表1_3[[#This Row],[价格]]</f>
        <v>gift_1</v>
      </c>
      <c r="F37" s="3" t="s">
        <v>40</v>
      </c>
      <c r="G37" s="3" t="str">
        <f>"[[""r002"","&amp;表1_3[[#This Row],[价格]]&amp;"]]"</f>
        <v>[["r002",1]]</v>
      </c>
      <c r="H37" s="12">
        <f>INT(VLOOKUP(表1_3[[#This Row],[名称]],[1]!表1[#Data],5,FALSE)/6)</f>
        <v>1</v>
      </c>
      <c r="I37" s="5" t="str">
        <f>VLOOKUP(表1_3[[#This Row],[名称]],[1]!表1[#Data],19,FALSE)</f>
        <v>[["i400",20],["i002",50],["i015",1],["i220",2]]</v>
      </c>
      <c r="J37" s="3">
        <v>1</v>
      </c>
      <c r="K37" s="3">
        <v>1</v>
      </c>
      <c r="L37" s="3" t="str">
        <f t="shared" si="0"/>
        <v>2018/04/01&amp;00:00:00</v>
      </c>
      <c r="M37" s="13" t="str">
        <f t="shared" si="1"/>
        <v>2018/04/01&amp;23:59:59</v>
      </c>
      <c r="N37" s="3">
        <v>1</v>
      </c>
      <c r="O37" s="3">
        <v>1</v>
      </c>
      <c r="P37" s="3">
        <v>0</v>
      </c>
      <c r="Q37" s="5">
        <f>VLOOKUP(表1_3[[#This Row],[名称]],[1]!表1[#Data],18,FALSE)*10</f>
        <v>1.9</v>
      </c>
      <c r="R37" s="11" t="s">
        <v>57</v>
      </c>
      <c r="S37" s="15" t="s">
        <v>72</v>
      </c>
    </row>
    <row r="38" spans="1:19" x14ac:dyDescent="0.15">
      <c r="A38" s="3">
        <v>10033</v>
      </c>
      <c r="B38" s="5">
        <f>VLOOKUP(表1_3[[#This Row],[名称]],[1]!表1[#Data],3,FALSE)</f>
        <v>9072</v>
      </c>
      <c r="C38" s="5">
        <f>VLOOKUP(表1_3[[#This Row],[名称]],[1]!表1[#Data],4,FALSE)</f>
        <v>9493</v>
      </c>
      <c r="D38" s="5" t="str">
        <f>"gift_"&amp;表1_3[[#This Row],[价格]]</f>
        <v>gift_3</v>
      </c>
      <c r="E38" s="5" t="str">
        <f>"gift_"&amp;表1_3[[#This Row],[价格]]</f>
        <v>gift_3</v>
      </c>
      <c r="F38" s="3" t="s">
        <v>40</v>
      </c>
      <c r="G38" s="3" t="str">
        <f>"[[""r002"","&amp;表1_3[[#This Row],[价格]]&amp;"]]"</f>
        <v>[["r002",3]]</v>
      </c>
      <c r="H38" s="12">
        <f>INT(VLOOKUP(表1_3[[#This Row],[名称]],[1]!表1[#Data],5,FALSE)/6)</f>
        <v>3</v>
      </c>
      <c r="I38" s="5" t="str">
        <f>VLOOKUP(表1_3[[#This Row],[名称]],[1]!表1[#Data],19,FALSE)</f>
        <v>[["i001",300000],["i002",300],["i015",1],["i400",2]]</v>
      </c>
      <c r="J38" s="3">
        <v>1</v>
      </c>
      <c r="K38" s="3">
        <v>1</v>
      </c>
      <c r="L38" s="3" t="str">
        <f t="shared" si="0"/>
        <v>2018/04/02&amp;00:00:00</v>
      </c>
      <c r="M38" s="13" t="str">
        <f t="shared" si="1"/>
        <v>2018/04/02&amp;23:59:59</v>
      </c>
      <c r="N38" s="3">
        <v>1</v>
      </c>
      <c r="O38" s="3">
        <v>1</v>
      </c>
      <c r="P38" s="3">
        <v>0</v>
      </c>
      <c r="Q38" s="5">
        <f>VLOOKUP(表1_3[[#This Row],[名称]],[1]!表1[#Data],18,FALSE)*10</f>
        <v>4</v>
      </c>
      <c r="R38" s="3" t="s">
        <v>42</v>
      </c>
      <c r="S38" s="15" t="s">
        <v>71</v>
      </c>
    </row>
    <row r="39" spans="1:19" x14ac:dyDescent="0.15">
      <c r="A39" s="3">
        <v>10034</v>
      </c>
      <c r="B39" s="5">
        <f>VLOOKUP(表1_3[[#This Row],[名称]],[1]!表1[#Data],3,FALSE)</f>
        <v>9056</v>
      </c>
      <c r="C39" s="5">
        <f>VLOOKUP(表1_3[[#This Row],[名称]],[1]!表1[#Data],4,FALSE)</f>
        <v>9477</v>
      </c>
      <c r="D39" s="5" t="str">
        <f>"gift_"&amp;表1_3[[#This Row],[价格]]</f>
        <v>gift_2</v>
      </c>
      <c r="E39" s="5" t="str">
        <f>"gift_"&amp;表1_3[[#This Row],[价格]]</f>
        <v>gift_2</v>
      </c>
      <c r="F39" s="3" t="s">
        <v>40</v>
      </c>
      <c r="G39" s="3" t="str">
        <f>"[[""r002"","&amp;表1_3[[#This Row],[价格]]&amp;"]]"</f>
        <v>[["r002",2]]</v>
      </c>
      <c r="H39" s="12">
        <f>INT(VLOOKUP(表1_3[[#This Row],[名称]],[1]!表1[#Data],5,FALSE)/6)</f>
        <v>2</v>
      </c>
      <c r="I39" s="5" t="str">
        <f>VLOOKUP(表1_3[[#This Row],[名称]],[1]!表1[#Data],19,FALSE)</f>
        <v>[["i240",180],["i002",150],["i001",50000],["i220",5]]</v>
      </c>
      <c r="J39" s="3">
        <v>1</v>
      </c>
      <c r="K39" s="3">
        <v>1</v>
      </c>
      <c r="L39" s="3" t="str">
        <f t="shared" si="0"/>
        <v>2018/04/03&amp;00:00:00</v>
      </c>
      <c r="M39" s="13" t="str">
        <f t="shared" si="1"/>
        <v>2018/04/03&amp;23:59:59</v>
      </c>
      <c r="N39" s="3">
        <v>1</v>
      </c>
      <c r="O39" s="3">
        <v>1</v>
      </c>
      <c r="P39" s="3">
        <v>0</v>
      </c>
      <c r="Q39" s="5">
        <f>VLOOKUP(表1_3[[#This Row],[名称]],[1]!表1[#Data],18,FALSE)*10</f>
        <v>2.5</v>
      </c>
      <c r="R39" s="11" t="s">
        <v>56</v>
      </c>
      <c r="S39" s="15" t="s">
        <v>70</v>
      </c>
    </row>
    <row r="40" spans="1:19" x14ac:dyDescent="0.15">
      <c r="A40" s="3">
        <v>10035</v>
      </c>
      <c r="B40" s="5">
        <f>VLOOKUP(表1_3[[#This Row],[名称]],[1]!表1[#Data],3,FALSE)</f>
        <v>9055</v>
      </c>
      <c r="C40" s="5">
        <f>VLOOKUP(表1_3[[#This Row],[名称]],[1]!表1[#Data],4,FALSE)</f>
        <v>9476</v>
      </c>
      <c r="D40" s="5" t="str">
        <f>"gift_"&amp;表1_3[[#This Row],[价格]]</f>
        <v>gift_1</v>
      </c>
      <c r="E40" s="5" t="str">
        <f>"gift_"&amp;表1_3[[#This Row],[价格]]</f>
        <v>gift_1</v>
      </c>
      <c r="F40" s="3" t="s">
        <v>40</v>
      </c>
      <c r="G40" s="3" t="str">
        <f>"[[""r002"","&amp;表1_3[[#This Row],[价格]]&amp;"]]"</f>
        <v>[["r002",1]]</v>
      </c>
      <c r="H40" s="12">
        <f>INT(VLOOKUP(表1_3[[#This Row],[名称]],[1]!表1[#Data],5,FALSE)/6)</f>
        <v>1</v>
      </c>
      <c r="I40" s="5" t="str">
        <f>VLOOKUP(表1_3[[#This Row],[名称]],[1]!表1[#Data],19,FALSE)</f>
        <v>[["i006",25],["i001",50000],["i004",1],["i015",1]]</v>
      </c>
      <c r="J40" s="3">
        <v>1</v>
      </c>
      <c r="K40" s="3">
        <v>1</v>
      </c>
      <c r="L40" s="3" t="str">
        <f t="shared" si="0"/>
        <v>2018/04/04&amp;00:00:00</v>
      </c>
      <c r="M40" s="13" t="str">
        <f t="shared" si="1"/>
        <v>2018/04/04&amp;23:59:59</v>
      </c>
      <c r="N40" s="3">
        <v>1</v>
      </c>
      <c r="O40" s="3">
        <v>1</v>
      </c>
      <c r="P40" s="3">
        <v>0</v>
      </c>
      <c r="Q40" s="5">
        <f>VLOOKUP(表1_3[[#This Row],[名称]],[1]!表1[#Data],18,FALSE)*10</f>
        <v>1.9</v>
      </c>
      <c r="R40" s="11" t="s">
        <v>59</v>
      </c>
      <c r="S40" s="15" t="s">
        <v>69</v>
      </c>
    </row>
    <row r="41" spans="1:19" x14ac:dyDescent="0.15">
      <c r="A41" s="3">
        <v>10036</v>
      </c>
      <c r="B41" s="5">
        <f>VLOOKUP(表1_3[[#This Row],[名称]],[1]!表1[#Data],3,FALSE)</f>
        <v>9055</v>
      </c>
      <c r="C41" s="5">
        <f>VLOOKUP(表1_3[[#This Row],[名称]],[1]!表1[#Data],4,FALSE)</f>
        <v>9476</v>
      </c>
      <c r="D41" s="5" t="str">
        <f>"gift_"&amp;表1_3[[#This Row],[价格]]</f>
        <v>gift_1</v>
      </c>
      <c r="E41" s="5" t="str">
        <f>"gift_"&amp;表1_3[[#This Row],[价格]]</f>
        <v>gift_1</v>
      </c>
      <c r="F41" s="3" t="s">
        <v>40</v>
      </c>
      <c r="G41" s="3" t="str">
        <f>"[[""r002"","&amp;表1_3[[#This Row],[价格]]&amp;"]]"</f>
        <v>[["r002",1]]</v>
      </c>
      <c r="H41" s="12">
        <f>INT(VLOOKUP(表1_3[[#This Row],[名称]],[1]!表1[#Data],5,FALSE)/6)</f>
        <v>1</v>
      </c>
      <c r="I41" s="5" t="str">
        <f>VLOOKUP(表1_3[[#This Row],[名称]],[1]!表1[#Data],19,FALSE)</f>
        <v>[["i011",50],["i001",100000],["i004",1],["i015",1]]</v>
      </c>
      <c r="J41" s="3">
        <v>1</v>
      </c>
      <c r="K41" s="3">
        <v>1</v>
      </c>
      <c r="L41" s="3" t="str">
        <f t="shared" si="0"/>
        <v>2018/04/05&amp;00:00:00</v>
      </c>
      <c r="M41" s="13" t="str">
        <f t="shared" si="1"/>
        <v>2018/04/05&amp;23:59:59</v>
      </c>
      <c r="N41" s="3">
        <v>1</v>
      </c>
      <c r="O41" s="3">
        <v>1</v>
      </c>
      <c r="P41" s="3">
        <v>0</v>
      </c>
      <c r="Q41" s="5">
        <f>VLOOKUP(表1_3[[#This Row],[名称]],[1]!表1[#Data],18,FALSE)*10</f>
        <v>2.4</v>
      </c>
      <c r="R41" s="11" t="s">
        <v>60</v>
      </c>
      <c r="S41" s="15" t="s">
        <v>68</v>
      </c>
    </row>
    <row r="42" spans="1:19" x14ac:dyDescent="0.15">
      <c r="A42" s="3">
        <v>10037</v>
      </c>
      <c r="B42" s="5">
        <f>VLOOKUP(表1_3[[#This Row],[名称]],[1]!表1[#Data],3,FALSE)</f>
        <v>9072</v>
      </c>
      <c r="C42" s="5">
        <f>VLOOKUP(表1_3[[#This Row],[名称]],[1]!表1[#Data],4,FALSE)</f>
        <v>9493</v>
      </c>
      <c r="D42" s="5" t="str">
        <f>"gift_"&amp;表1_3[[#This Row],[价格]]</f>
        <v>gift_3</v>
      </c>
      <c r="E42" s="5" t="str">
        <f>"gift_"&amp;表1_3[[#This Row],[价格]]</f>
        <v>gift_3</v>
      </c>
      <c r="F42" s="3" t="s">
        <v>40</v>
      </c>
      <c r="G42" s="3" t="str">
        <f>"[[""r002"","&amp;表1_3[[#This Row],[价格]]&amp;"]]"</f>
        <v>[["r002",3]]</v>
      </c>
      <c r="H42" s="12">
        <f>INT(VLOOKUP(表1_3[[#This Row],[名称]],[1]!表1[#Data],5,FALSE)/6)</f>
        <v>3</v>
      </c>
      <c r="I42" s="5" t="str">
        <f>VLOOKUP(表1_3[[#This Row],[名称]],[1]!表1[#Data],19,FALSE)</f>
        <v>[["i016",10],["i001",50000],["i400",5],["i004",5]]</v>
      </c>
      <c r="J42" s="3">
        <v>1</v>
      </c>
      <c r="K42" s="3">
        <v>1</v>
      </c>
      <c r="L42" s="3" t="str">
        <f t="shared" si="0"/>
        <v>2018/04/06&amp;00:00:00</v>
      </c>
      <c r="M42" s="13" t="str">
        <f t="shared" si="1"/>
        <v>2018/04/06&amp;23:59:59</v>
      </c>
      <c r="N42" s="3">
        <v>1</v>
      </c>
      <c r="O42" s="3">
        <v>1</v>
      </c>
      <c r="P42" s="3">
        <v>0</v>
      </c>
      <c r="Q42" s="5">
        <f>VLOOKUP(表1_3[[#This Row],[名称]],[1]!表1[#Data],18,FALSE)*10</f>
        <v>1.5</v>
      </c>
      <c r="R42" s="11" t="s">
        <v>61</v>
      </c>
      <c r="S42" s="15" t="s">
        <v>67</v>
      </c>
    </row>
    <row r="43" spans="1:19" x14ac:dyDescent="0.15">
      <c r="A43" s="3">
        <v>10038</v>
      </c>
      <c r="B43" s="5">
        <f>VLOOKUP(表1_3[[#This Row],[名称]],[1]!表1[#Data],3,FALSE)</f>
        <v>9056</v>
      </c>
      <c r="C43" s="5">
        <f>VLOOKUP(表1_3[[#This Row],[名称]],[1]!表1[#Data],4,FALSE)</f>
        <v>9477</v>
      </c>
      <c r="D43" s="5" t="str">
        <f>"gift_"&amp;表1_3[[#This Row],[价格]]</f>
        <v>gift_2</v>
      </c>
      <c r="E43" s="5" t="str">
        <f>"gift_"&amp;表1_3[[#This Row],[价格]]</f>
        <v>gift_2</v>
      </c>
      <c r="F43" s="3" t="s">
        <v>40</v>
      </c>
      <c r="G43" s="3" t="str">
        <f>"[[""r002"","&amp;表1_3[[#This Row],[价格]]&amp;"]]"</f>
        <v>[["r002",2]]</v>
      </c>
      <c r="H43" s="12">
        <f>INT(VLOOKUP(表1_3[[#This Row],[名称]],[1]!表1[#Data],5,FALSE)/6)</f>
        <v>2</v>
      </c>
      <c r="I43" s="5" t="str">
        <f>VLOOKUP(表1_3[[#This Row],[名称]],[1]!表1[#Data],19,FALSE)</f>
        <v>[["i001",200000],["i002",200],["i400",2],["i220",10]]</v>
      </c>
      <c r="J43" s="3">
        <v>1</v>
      </c>
      <c r="K43" s="3">
        <v>1</v>
      </c>
      <c r="L43" s="3" t="str">
        <f t="shared" si="0"/>
        <v>2018/04/07&amp;00:00:00</v>
      </c>
      <c r="M43" s="13" t="str">
        <f t="shared" si="1"/>
        <v>2018/04/07&amp;23:59:59</v>
      </c>
      <c r="N43" s="3">
        <v>1</v>
      </c>
      <c r="O43" s="3">
        <v>1</v>
      </c>
      <c r="P43" s="3">
        <v>0</v>
      </c>
      <c r="Q43" s="5">
        <f>VLOOKUP(表1_3[[#This Row],[名称]],[1]!表1[#Data],18,FALSE)*10</f>
        <v>3.8</v>
      </c>
      <c r="R43" s="3" t="s">
        <v>41</v>
      </c>
      <c r="S43" s="15" t="s">
        <v>66</v>
      </c>
    </row>
    <row r="44" spans="1:19" x14ac:dyDescent="0.15">
      <c r="A44" s="3">
        <v>10039</v>
      </c>
      <c r="B44" s="5">
        <f>VLOOKUP(表1_3[[#This Row],[名称]],[1]!表1[#Data],3,FALSE)</f>
        <v>9055</v>
      </c>
      <c r="C44" s="5">
        <f>VLOOKUP(表1_3[[#This Row],[名称]],[1]!表1[#Data],4,FALSE)</f>
        <v>9476</v>
      </c>
      <c r="D44" s="5" t="str">
        <f>"gift_"&amp;表1_3[[#This Row],[价格]]</f>
        <v>gift_1</v>
      </c>
      <c r="E44" s="5" t="str">
        <f>"gift_"&amp;表1_3[[#This Row],[价格]]</f>
        <v>gift_1</v>
      </c>
      <c r="F44" s="3" t="s">
        <v>40</v>
      </c>
      <c r="G44" s="3" t="str">
        <f>"[[""r002"","&amp;表1_3[[#This Row],[价格]]&amp;"]]"</f>
        <v>[["r002",1]]</v>
      </c>
      <c r="H44" s="12">
        <f>INT(VLOOKUP(表1_3[[#This Row],[名称]],[1]!表1[#Data],5,FALSE)/6)</f>
        <v>1</v>
      </c>
      <c r="I44" s="5" t="str">
        <f>VLOOKUP(表1_3[[#This Row],[名称]],[1]!表1[#Data],19,FALSE)</f>
        <v>[["i215",10],["i002",50],["i004",1],["i240",20]]</v>
      </c>
      <c r="J44" s="3">
        <v>1</v>
      </c>
      <c r="K44" s="3">
        <v>1</v>
      </c>
      <c r="L44" s="3" t="str">
        <f t="shared" si="0"/>
        <v>2018/04/08&amp;00:00:00</v>
      </c>
      <c r="M44" s="13" t="str">
        <f t="shared" si="1"/>
        <v>2018/04/08&amp;23:59:59</v>
      </c>
      <c r="N44" s="3">
        <v>1</v>
      </c>
      <c r="O44" s="3">
        <v>1</v>
      </c>
      <c r="P44" s="3">
        <v>0</v>
      </c>
      <c r="Q44" s="5">
        <f>VLOOKUP(表1_3[[#This Row],[名称]],[1]!表1[#Data],18,FALSE)*10</f>
        <v>2.7</v>
      </c>
      <c r="R44" s="11" t="s">
        <v>58</v>
      </c>
      <c r="S44" s="15" t="s">
        <v>65</v>
      </c>
    </row>
    <row r="45" spans="1:19" x14ac:dyDescent="0.15">
      <c r="A45" s="3">
        <v>10040</v>
      </c>
      <c r="B45" s="5">
        <f>VLOOKUP(表1_3[[#This Row],[名称]],[1]!表1[#Data],3,FALSE)</f>
        <v>9056</v>
      </c>
      <c r="C45" s="5">
        <f>VLOOKUP(表1_3[[#This Row],[名称]],[1]!表1[#Data],4,FALSE)</f>
        <v>9477</v>
      </c>
      <c r="D45" s="5" t="str">
        <f>"gift_"&amp;表1_3[[#This Row],[价格]]</f>
        <v>gift_2</v>
      </c>
      <c r="E45" s="5" t="str">
        <f>"gift_"&amp;表1_3[[#This Row],[价格]]</f>
        <v>gift_2</v>
      </c>
      <c r="F45" s="3" t="s">
        <v>40</v>
      </c>
      <c r="G45" s="3" t="str">
        <f>"[[""r002"","&amp;表1_3[[#This Row],[价格]]&amp;"]]"</f>
        <v>[["r002",2]]</v>
      </c>
      <c r="H45" s="12">
        <f>INT(VLOOKUP(表1_3[[#This Row],[名称]],[1]!表1[#Data],5,FALSE)/6)</f>
        <v>2</v>
      </c>
      <c r="I45" s="5" t="str">
        <f>VLOOKUP(表1_3[[#This Row],[名称]],[1]!表1[#Data],19,FALSE)</f>
        <v>[["i015",8],["i002",100],["i400",2],["i220",2]]</v>
      </c>
      <c r="J45" s="3">
        <v>1</v>
      </c>
      <c r="K45" s="3">
        <v>1</v>
      </c>
      <c r="L45" s="3" t="str">
        <f t="shared" si="0"/>
        <v>2018/04/09&amp;00:00:00</v>
      </c>
      <c r="M45" s="13" t="str">
        <f t="shared" si="1"/>
        <v>2018/04/09&amp;23:59:59</v>
      </c>
      <c r="N45" s="3">
        <v>1</v>
      </c>
      <c r="O45" s="3">
        <v>1</v>
      </c>
      <c r="P45" s="3">
        <v>0</v>
      </c>
      <c r="Q45" s="5">
        <f>VLOOKUP(表1_3[[#This Row],[名称]],[1]!表1[#Data],18,FALSE)*10</f>
        <v>3</v>
      </c>
      <c r="R45" s="11" t="s">
        <v>55</v>
      </c>
      <c r="S45" s="15" t="s">
        <v>64</v>
      </c>
    </row>
    <row r="46" spans="1:19" x14ac:dyDescent="0.15">
      <c r="A46" s="3">
        <v>10041</v>
      </c>
      <c r="B46" s="5">
        <f>VLOOKUP(表1_3[[#This Row],[名称]],[1]!表1[#Data],3,FALSE)</f>
        <v>9055</v>
      </c>
      <c r="C46" s="5">
        <f>VLOOKUP(表1_3[[#This Row],[名称]],[1]!表1[#Data],4,FALSE)</f>
        <v>9476</v>
      </c>
      <c r="D46" s="5" t="str">
        <f>"gift_"&amp;表1_3[[#This Row],[价格]]</f>
        <v>gift_1</v>
      </c>
      <c r="E46" s="5" t="str">
        <f>"gift_"&amp;表1_3[[#This Row],[价格]]</f>
        <v>gift_1</v>
      </c>
      <c r="F46" s="3" t="s">
        <v>40</v>
      </c>
      <c r="G46" s="3" t="str">
        <f>"[[""r002"","&amp;表1_3[[#This Row],[价格]]&amp;"]]"</f>
        <v>[["r002",1]]</v>
      </c>
      <c r="H46" s="12">
        <f>INT(VLOOKUP(表1_3[[#This Row],[名称]],[1]!表1[#Data],5,FALSE)/6)</f>
        <v>1</v>
      </c>
      <c r="I46" s="5" t="str">
        <f>VLOOKUP(表1_3[[#This Row],[名称]],[1]!表1[#Data],19,FALSE)</f>
        <v>[["i001",100000],["i002",100],["i400",1],["i220",5]]</v>
      </c>
      <c r="J46" s="3">
        <v>1</v>
      </c>
      <c r="K46" s="3">
        <v>1</v>
      </c>
      <c r="L46" s="3" t="str">
        <f t="shared" si="0"/>
        <v>2018/04/10&amp;00:00:00</v>
      </c>
      <c r="M46" s="13" t="str">
        <f t="shared" si="1"/>
        <v>2018/04/10&amp;23:59:59</v>
      </c>
      <c r="N46" s="3">
        <v>1</v>
      </c>
      <c r="O46" s="3">
        <v>1</v>
      </c>
      <c r="P46" s="3">
        <v>0</v>
      </c>
      <c r="Q46" s="5">
        <f>VLOOKUP(表1_3[[#This Row],[名称]],[1]!表1[#Data],18,FALSE)*10</f>
        <v>3.5999999999999996</v>
      </c>
      <c r="R46" s="3" t="s">
        <v>39</v>
      </c>
      <c r="S46" s="15" t="s">
        <v>63</v>
      </c>
    </row>
    <row r="47" spans="1:19" x14ac:dyDescent="0.15">
      <c r="A47" s="3">
        <v>10042</v>
      </c>
      <c r="B47" s="5">
        <f>VLOOKUP(表1_3[[#This Row],[名称]],[1]!表1[#Data],3,FALSE)</f>
        <v>9075</v>
      </c>
      <c r="C47" s="5">
        <f>VLOOKUP(表1_3[[#This Row],[名称]],[1]!表1[#Data],4,FALSE)</f>
        <v>9496</v>
      </c>
      <c r="D47" s="5" t="str">
        <f>"gift_"&amp;表1_3[[#This Row],[价格]]</f>
        <v>gift_7</v>
      </c>
      <c r="E47" s="5" t="str">
        <f>"gift_"&amp;表1_3[[#This Row],[价格]]</f>
        <v>gift_7</v>
      </c>
      <c r="F47" s="3" t="s">
        <v>40</v>
      </c>
      <c r="G47" s="3" t="str">
        <f>"[[""r002"","&amp;表1_3[[#This Row],[价格]]&amp;"]]"</f>
        <v>[["r002",7]]</v>
      </c>
      <c r="H47" s="12">
        <f>INT(VLOOKUP(表1_3[[#This Row],[名称]],[1]!表1[#Data],5,FALSE)/6)</f>
        <v>7</v>
      </c>
      <c r="I47" s="5" t="str">
        <f>VLOOKUP(表1_3[[#This Row],[名称]],[1]!表1[#Data],19,FALSE)</f>
        <v>[["i001",500000],["i002",500],["i015",1],["i004",4]]</v>
      </c>
      <c r="J47" s="3">
        <v>1</v>
      </c>
      <c r="K47" s="3">
        <v>1</v>
      </c>
      <c r="L47" s="3" t="str">
        <f t="shared" si="0"/>
        <v>2018/04/11&amp;00:00:00</v>
      </c>
      <c r="M47" s="13" t="str">
        <f t="shared" si="1"/>
        <v>2018/04/11&amp;23:59:59</v>
      </c>
      <c r="N47" s="3">
        <v>1</v>
      </c>
      <c r="O47" s="3">
        <v>1</v>
      </c>
      <c r="P47" s="3">
        <v>0</v>
      </c>
      <c r="Q47" s="5">
        <f>VLOOKUP(表1_3[[#This Row],[名称]],[1]!表1[#Data],18,FALSE)*10</f>
        <v>3.8</v>
      </c>
      <c r="R47" s="3" t="s">
        <v>44</v>
      </c>
      <c r="S47" s="15" t="s">
        <v>75</v>
      </c>
    </row>
    <row r="48" spans="1:19" x14ac:dyDescent="0.15">
      <c r="A48" s="3">
        <v>10043</v>
      </c>
      <c r="B48" s="5">
        <f>VLOOKUP(表1_3[[#This Row],[名称]],[1]!表1[#Data],3,FALSE)</f>
        <v>9055</v>
      </c>
      <c r="C48" s="5">
        <f>VLOOKUP(表1_3[[#This Row],[名称]],[1]!表1[#Data],4,FALSE)</f>
        <v>9476</v>
      </c>
      <c r="D48" s="5" t="str">
        <f>"gift_"&amp;表1_3[[#This Row],[价格]]</f>
        <v>gift_1</v>
      </c>
      <c r="E48" s="5" t="str">
        <f>"gift_"&amp;表1_3[[#This Row],[价格]]</f>
        <v>gift_1</v>
      </c>
      <c r="F48" s="3" t="s">
        <v>40</v>
      </c>
      <c r="G48" s="3" t="str">
        <f>"[[""r002"","&amp;表1_3[[#This Row],[价格]]&amp;"]]"</f>
        <v>[["r002",1]]</v>
      </c>
      <c r="H48" s="14">
        <f>INT(VLOOKUP(表1_3[[#This Row],[名称]],[1]!表1[#Data],5,FALSE)/6)</f>
        <v>1</v>
      </c>
      <c r="I48" s="5" t="str">
        <f>VLOOKUP(表1_3[[#This Row],[名称]],[1]!表1[#Data],19,FALSE)</f>
        <v>[["i215",10],["i002",50],["i004",1],["i240",20]]</v>
      </c>
      <c r="J48" s="3">
        <v>1</v>
      </c>
      <c r="K48" s="3">
        <v>1</v>
      </c>
      <c r="L48" s="3" t="str">
        <f t="shared" si="0"/>
        <v>2018/04/12&amp;00:00:00</v>
      </c>
      <c r="M48" s="13" t="str">
        <f t="shared" si="1"/>
        <v>2018/04/12&amp;23:59:59</v>
      </c>
      <c r="N48" s="3">
        <v>1</v>
      </c>
      <c r="O48" s="3">
        <v>1</v>
      </c>
      <c r="P48" s="3">
        <v>0</v>
      </c>
      <c r="Q48" s="5">
        <f>VLOOKUP(表1_3[[#This Row],[名称]],[1]!表1[#Data],18,FALSE)*10</f>
        <v>2.7</v>
      </c>
      <c r="R48" s="11" t="s">
        <v>58</v>
      </c>
      <c r="S48" s="15" t="s">
        <v>65</v>
      </c>
    </row>
    <row r="49" spans="1:19" x14ac:dyDescent="0.15">
      <c r="A49" s="3">
        <v>10044</v>
      </c>
      <c r="B49" s="5">
        <f>VLOOKUP(表1_3[[#This Row],[名称]],[1]!表1[#Data],3,FALSE)</f>
        <v>9075</v>
      </c>
      <c r="C49" s="5">
        <f>VLOOKUP(表1_3[[#This Row],[名称]],[1]!表1[#Data],4,FALSE)</f>
        <v>9496</v>
      </c>
      <c r="D49" s="5" t="str">
        <f>"gift_"&amp;表1_3[[#This Row],[价格]]</f>
        <v>gift_7</v>
      </c>
      <c r="E49" s="5" t="str">
        <f>"gift_"&amp;表1_3[[#This Row],[价格]]</f>
        <v>gift_7</v>
      </c>
      <c r="F49" s="3" t="s">
        <v>40</v>
      </c>
      <c r="G49" s="3" t="str">
        <f>"[[""r002"","&amp;表1_3[[#This Row],[价格]]&amp;"]]"</f>
        <v>[["r002",7]]</v>
      </c>
      <c r="H49" s="14">
        <f>INT(VLOOKUP(表1_3[[#This Row],[名称]],[1]!表1[#Data],5,FALSE)/6)</f>
        <v>7</v>
      </c>
      <c r="I49" s="5" t="str">
        <f>VLOOKUP(表1_3[[#This Row],[名称]],[1]!表1[#Data],19,FALSE)</f>
        <v>[["i017",8],["i002",100],["i004",10],["i006",10]]</v>
      </c>
      <c r="J49" s="3">
        <v>1</v>
      </c>
      <c r="K49" s="3">
        <v>1</v>
      </c>
      <c r="L49" s="3" t="str">
        <f t="shared" si="0"/>
        <v>2018/04/13&amp;00:00:00</v>
      </c>
      <c r="M49" s="13" t="str">
        <f t="shared" si="1"/>
        <v>2018/04/13&amp;23:59:59</v>
      </c>
      <c r="N49" s="3">
        <v>1</v>
      </c>
      <c r="O49" s="3">
        <v>1</v>
      </c>
      <c r="P49" s="3">
        <v>0</v>
      </c>
      <c r="Q49" s="5">
        <f>VLOOKUP(表1_3[[#This Row],[名称]],[1]!表1[#Data],18,FALSE)*10</f>
        <v>1</v>
      </c>
      <c r="R49" s="11" t="s">
        <v>62</v>
      </c>
      <c r="S49" s="15" t="s">
        <v>74</v>
      </c>
    </row>
    <row r="50" spans="1:19" x14ac:dyDescent="0.15">
      <c r="A50" s="3">
        <v>10045</v>
      </c>
      <c r="B50" s="5">
        <f>VLOOKUP(表1_3[[#This Row],[名称]],[1]!表1[#Data],3,FALSE)</f>
        <v>9067</v>
      </c>
      <c r="C50" s="5">
        <f>VLOOKUP(表1_3[[#This Row],[名称]],[1]!表1[#Data],4,FALSE)</f>
        <v>9488</v>
      </c>
      <c r="D50" s="5" t="str">
        <f>"gift_"&amp;表1_3[[#This Row],[价格]]</f>
        <v>gift_5</v>
      </c>
      <c r="E50" s="5" t="str">
        <f>"gift_"&amp;表1_3[[#This Row],[价格]]</f>
        <v>gift_5</v>
      </c>
      <c r="F50" s="3" t="s">
        <v>40</v>
      </c>
      <c r="G50" s="3" t="str">
        <f>"[[""r002"","&amp;表1_3[[#This Row],[价格]]&amp;"]]"</f>
        <v>[["r002",5]]</v>
      </c>
      <c r="H50" s="14">
        <f>INT(VLOOKUP(表1_3[[#This Row],[名称]],[1]!表1[#Data],5,FALSE)/6)</f>
        <v>5</v>
      </c>
      <c r="I50" s="5" t="str">
        <f>VLOOKUP(表1_3[[#This Row],[名称]],[1]!表1[#Data],19,FALSE)</f>
        <v>[["i001",400000],["i002",400],["i015",1],["i006",5]]</v>
      </c>
      <c r="J50" s="3">
        <v>1</v>
      </c>
      <c r="K50" s="3">
        <v>1</v>
      </c>
      <c r="L50" s="3" t="str">
        <f t="shared" si="0"/>
        <v>2018/04/14&amp;00:00:00</v>
      </c>
      <c r="M50" s="13" t="str">
        <f t="shared" si="1"/>
        <v>2018/04/14&amp;23:59:59</v>
      </c>
      <c r="N50" s="3">
        <v>1</v>
      </c>
      <c r="O50" s="3">
        <v>1</v>
      </c>
      <c r="P50" s="3">
        <v>0</v>
      </c>
      <c r="Q50" s="5">
        <f>VLOOKUP(表1_3[[#This Row],[名称]],[1]!表1[#Data],18,FALSE)*10</f>
        <v>3.8</v>
      </c>
      <c r="R50" s="3" t="s">
        <v>43</v>
      </c>
      <c r="S50" s="15" t="s">
        <v>73</v>
      </c>
    </row>
    <row r="51" spans="1:19" x14ac:dyDescent="0.15">
      <c r="A51" s="3">
        <v>10046</v>
      </c>
      <c r="B51" s="5">
        <f>VLOOKUP(表1_3[[#This Row],[名称]],[1]!表1[#Data],3,FALSE)</f>
        <v>9055</v>
      </c>
      <c r="C51" s="5">
        <f>VLOOKUP(表1_3[[#This Row],[名称]],[1]!表1[#Data],4,FALSE)</f>
        <v>9476</v>
      </c>
      <c r="D51" s="5" t="str">
        <f>"gift_"&amp;表1_3[[#This Row],[价格]]</f>
        <v>gift_1</v>
      </c>
      <c r="E51" s="5" t="str">
        <f>"gift_"&amp;表1_3[[#This Row],[价格]]</f>
        <v>gift_1</v>
      </c>
      <c r="F51" s="3" t="s">
        <v>40</v>
      </c>
      <c r="G51" s="3" t="str">
        <f>"[[""r002"","&amp;表1_3[[#This Row],[价格]]&amp;"]]"</f>
        <v>[["r002",1]]</v>
      </c>
      <c r="H51" s="14">
        <f>INT(VLOOKUP(表1_3[[#This Row],[名称]],[1]!表1[#Data],5,FALSE)/6)</f>
        <v>1</v>
      </c>
      <c r="I51" s="5" t="str">
        <f>VLOOKUP(表1_3[[#This Row],[名称]],[1]!表1[#Data],19,FALSE)</f>
        <v>[["i400",20],["i002",50],["i015",1],["i220",2]]</v>
      </c>
      <c r="J51" s="3">
        <v>1</v>
      </c>
      <c r="K51" s="3">
        <v>1</v>
      </c>
      <c r="L51" s="3" t="str">
        <f t="shared" si="0"/>
        <v>2018/04/15&amp;00:00:00</v>
      </c>
      <c r="M51" s="13" t="str">
        <f t="shared" si="1"/>
        <v>2018/04/15&amp;23:59:59</v>
      </c>
      <c r="N51" s="3">
        <v>1</v>
      </c>
      <c r="O51" s="3">
        <v>1</v>
      </c>
      <c r="P51" s="3">
        <v>0</v>
      </c>
      <c r="Q51" s="5">
        <f>VLOOKUP(表1_3[[#This Row],[名称]],[1]!表1[#Data],18,FALSE)*10</f>
        <v>1.9</v>
      </c>
      <c r="R51" s="11" t="s">
        <v>57</v>
      </c>
      <c r="S51" s="15" t="s">
        <v>72</v>
      </c>
    </row>
    <row r="52" spans="1:19" x14ac:dyDescent="0.15">
      <c r="A52" s="3">
        <v>10047</v>
      </c>
      <c r="B52" s="5">
        <f>VLOOKUP(表1_3[[#This Row],[名称]],[1]!表1[#Data],3,FALSE)</f>
        <v>9072</v>
      </c>
      <c r="C52" s="5">
        <f>VLOOKUP(表1_3[[#This Row],[名称]],[1]!表1[#Data],4,FALSE)</f>
        <v>9493</v>
      </c>
      <c r="D52" s="5" t="str">
        <f>"gift_"&amp;表1_3[[#This Row],[价格]]</f>
        <v>gift_3</v>
      </c>
      <c r="E52" s="5" t="str">
        <f>"gift_"&amp;表1_3[[#This Row],[价格]]</f>
        <v>gift_3</v>
      </c>
      <c r="F52" s="3" t="s">
        <v>40</v>
      </c>
      <c r="G52" s="3" t="str">
        <f>"[[""r002"","&amp;表1_3[[#This Row],[价格]]&amp;"]]"</f>
        <v>[["r002",3]]</v>
      </c>
      <c r="H52" s="14">
        <f>INT(VLOOKUP(表1_3[[#This Row],[名称]],[1]!表1[#Data],5,FALSE)/6)</f>
        <v>3</v>
      </c>
      <c r="I52" s="5" t="str">
        <f>VLOOKUP(表1_3[[#This Row],[名称]],[1]!表1[#Data],19,FALSE)</f>
        <v>[["i001",300000],["i002",300],["i015",1],["i400",2]]</v>
      </c>
      <c r="J52" s="3">
        <v>1</v>
      </c>
      <c r="K52" s="3">
        <v>1</v>
      </c>
      <c r="L52" s="3" t="str">
        <f t="shared" si="0"/>
        <v>2018/04/16&amp;00:00:00</v>
      </c>
      <c r="M52" s="13" t="str">
        <f t="shared" si="1"/>
        <v>2018/04/16&amp;23:59:59</v>
      </c>
      <c r="N52" s="3">
        <v>1</v>
      </c>
      <c r="O52" s="3">
        <v>1</v>
      </c>
      <c r="P52" s="3">
        <v>0</v>
      </c>
      <c r="Q52" s="5">
        <f>VLOOKUP(表1_3[[#This Row],[名称]],[1]!表1[#Data],18,FALSE)*10</f>
        <v>4</v>
      </c>
      <c r="R52" s="3" t="s">
        <v>42</v>
      </c>
      <c r="S52" s="15" t="s">
        <v>71</v>
      </c>
    </row>
    <row r="53" spans="1:19" x14ac:dyDescent="0.15">
      <c r="A53" s="3">
        <v>10048</v>
      </c>
      <c r="B53" s="5">
        <f>VLOOKUP(表1_3[[#This Row],[名称]],[1]!表1[#Data],3,FALSE)</f>
        <v>9056</v>
      </c>
      <c r="C53" s="5">
        <f>VLOOKUP(表1_3[[#This Row],[名称]],[1]!表1[#Data],4,FALSE)</f>
        <v>9477</v>
      </c>
      <c r="D53" s="5" t="str">
        <f>"gift_"&amp;表1_3[[#This Row],[价格]]</f>
        <v>gift_2</v>
      </c>
      <c r="E53" s="5" t="str">
        <f>"gift_"&amp;表1_3[[#This Row],[价格]]</f>
        <v>gift_2</v>
      </c>
      <c r="F53" s="3" t="s">
        <v>40</v>
      </c>
      <c r="G53" s="3" t="str">
        <f>"[[""r002"","&amp;表1_3[[#This Row],[价格]]&amp;"]]"</f>
        <v>[["r002",2]]</v>
      </c>
      <c r="H53" s="14">
        <f>INT(VLOOKUP(表1_3[[#This Row],[名称]],[1]!表1[#Data],5,FALSE)/6)</f>
        <v>2</v>
      </c>
      <c r="I53" s="5" t="str">
        <f>VLOOKUP(表1_3[[#This Row],[名称]],[1]!表1[#Data],19,FALSE)</f>
        <v>[["i240",180],["i002",150],["i001",50000],["i220",5]]</v>
      </c>
      <c r="J53" s="3">
        <v>1</v>
      </c>
      <c r="K53" s="3">
        <v>1</v>
      </c>
      <c r="L53" s="3" t="str">
        <f t="shared" si="0"/>
        <v>2018/04/17&amp;00:00:00</v>
      </c>
      <c r="M53" s="13" t="str">
        <f t="shared" si="1"/>
        <v>2018/04/17&amp;23:59:59</v>
      </c>
      <c r="N53" s="3">
        <v>1</v>
      </c>
      <c r="O53" s="3">
        <v>1</v>
      </c>
      <c r="P53" s="3">
        <v>0</v>
      </c>
      <c r="Q53" s="5">
        <f>VLOOKUP(表1_3[[#This Row],[名称]],[1]!表1[#Data],18,FALSE)*10</f>
        <v>2.5</v>
      </c>
      <c r="R53" s="11" t="s">
        <v>56</v>
      </c>
      <c r="S53" s="15" t="s">
        <v>70</v>
      </c>
    </row>
    <row r="54" spans="1:19" x14ac:dyDescent="0.15">
      <c r="A54" s="3">
        <v>10049</v>
      </c>
      <c r="B54" s="5">
        <f>VLOOKUP(表1_3[[#This Row],[名称]],[1]!表1[#Data],3,FALSE)</f>
        <v>9055</v>
      </c>
      <c r="C54" s="5">
        <f>VLOOKUP(表1_3[[#This Row],[名称]],[1]!表1[#Data],4,FALSE)</f>
        <v>9476</v>
      </c>
      <c r="D54" s="5" t="str">
        <f>"gift_"&amp;表1_3[[#This Row],[价格]]</f>
        <v>gift_1</v>
      </c>
      <c r="E54" s="5" t="str">
        <f>"gift_"&amp;表1_3[[#This Row],[价格]]</f>
        <v>gift_1</v>
      </c>
      <c r="F54" s="3" t="s">
        <v>40</v>
      </c>
      <c r="G54" s="3" t="str">
        <f>"[[""r002"","&amp;表1_3[[#This Row],[价格]]&amp;"]]"</f>
        <v>[["r002",1]]</v>
      </c>
      <c r="H54" s="13">
        <f>INT(VLOOKUP(表1_3[[#This Row],[名称]],[1]!表1[#Data],5,FALSE)/6)</f>
        <v>1</v>
      </c>
      <c r="I54" s="5" t="str">
        <f>VLOOKUP(表1_3[[#This Row],[名称]],[1]!表1[#Data],19,FALSE)</f>
        <v>[["i006",25],["i001",50000],["i004",1],["i015",1]]</v>
      </c>
      <c r="J54" s="3">
        <v>1</v>
      </c>
      <c r="K54" s="3">
        <v>1</v>
      </c>
      <c r="L54" s="3" t="str">
        <f t="shared" si="0"/>
        <v>2018/04/18&amp;00:00:00</v>
      </c>
      <c r="M54" s="13" t="str">
        <f t="shared" si="1"/>
        <v>2018/04/18&amp;23:59:59</v>
      </c>
      <c r="N54" s="3">
        <v>1</v>
      </c>
      <c r="O54" s="3">
        <v>1</v>
      </c>
      <c r="P54" s="3">
        <v>0</v>
      </c>
      <c r="Q54" s="5">
        <f>VLOOKUP(表1_3[[#This Row],[名称]],[1]!表1[#Data],18,FALSE)*10</f>
        <v>1.9</v>
      </c>
      <c r="R54" s="11" t="s">
        <v>59</v>
      </c>
      <c r="S54" s="15" t="s">
        <v>69</v>
      </c>
    </row>
    <row r="55" spans="1:19" x14ac:dyDescent="0.15">
      <c r="A55" s="3">
        <v>10050</v>
      </c>
      <c r="B55" s="5">
        <f>VLOOKUP(表1_3[[#This Row],[名称]],[1]!表1[#Data],3,FALSE)</f>
        <v>9055</v>
      </c>
      <c r="C55" s="5">
        <f>VLOOKUP(表1_3[[#This Row],[名称]],[1]!表1[#Data],4,FALSE)</f>
        <v>9476</v>
      </c>
      <c r="D55" s="5" t="str">
        <f>"gift_"&amp;表1_3[[#This Row],[价格]]</f>
        <v>gift_1</v>
      </c>
      <c r="E55" s="5" t="str">
        <f>"gift_"&amp;表1_3[[#This Row],[价格]]</f>
        <v>gift_1</v>
      </c>
      <c r="F55" s="3" t="s">
        <v>40</v>
      </c>
      <c r="G55" s="3" t="str">
        <f>"[[""r002"","&amp;表1_3[[#This Row],[价格]]&amp;"]]"</f>
        <v>[["r002",1]]</v>
      </c>
      <c r="H55" s="13">
        <f>INT(VLOOKUP(表1_3[[#This Row],[名称]],[1]!表1[#Data],5,FALSE)/6)</f>
        <v>1</v>
      </c>
      <c r="I55" s="5" t="str">
        <f>VLOOKUP(表1_3[[#This Row],[名称]],[1]!表1[#Data],19,FALSE)</f>
        <v>[["i011",50],["i001",100000],["i004",1],["i015",1]]</v>
      </c>
      <c r="J55" s="3">
        <v>1</v>
      </c>
      <c r="K55" s="3">
        <v>1</v>
      </c>
      <c r="L55" s="3" t="str">
        <f t="shared" si="0"/>
        <v>2018/04/19&amp;00:00:00</v>
      </c>
      <c r="M55" s="13" t="str">
        <f t="shared" si="1"/>
        <v>2018/04/19&amp;23:59:59</v>
      </c>
      <c r="N55" s="3">
        <v>1</v>
      </c>
      <c r="O55" s="3">
        <v>1</v>
      </c>
      <c r="P55" s="3">
        <v>0</v>
      </c>
      <c r="Q55" s="5">
        <f>VLOOKUP(表1_3[[#This Row],[名称]],[1]!表1[#Data],18,FALSE)*10</f>
        <v>2.4</v>
      </c>
      <c r="R55" s="11" t="s">
        <v>60</v>
      </c>
      <c r="S55" s="15" t="s">
        <v>68</v>
      </c>
    </row>
    <row r="56" spans="1:19" x14ac:dyDescent="0.15">
      <c r="A56" s="3">
        <v>10051</v>
      </c>
      <c r="B56" s="5">
        <f>VLOOKUP(表1_3[[#This Row],[名称]],[1]!表1[#Data],3,FALSE)</f>
        <v>9072</v>
      </c>
      <c r="C56" s="5">
        <f>VLOOKUP(表1_3[[#This Row],[名称]],[1]!表1[#Data],4,FALSE)</f>
        <v>9493</v>
      </c>
      <c r="D56" s="5" t="str">
        <f>"gift_"&amp;表1_3[[#This Row],[价格]]</f>
        <v>gift_3</v>
      </c>
      <c r="E56" s="5" t="str">
        <f>"gift_"&amp;表1_3[[#This Row],[价格]]</f>
        <v>gift_3</v>
      </c>
      <c r="F56" s="3" t="s">
        <v>40</v>
      </c>
      <c r="G56" s="3" t="str">
        <f>"[[""r002"","&amp;表1_3[[#This Row],[价格]]&amp;"]]"</f>
        <v>[["r002",3]]</v>
      </c>
      <c r="H56" s="13">
        <f>INT(VLOOKUP(表1_3[[#This Row],[名称]],[1]!表1[#Data],5,FALSE)/6)</f>
        <v>3</v>
      </c>
      <c r="I56" s="5" t="str">
        <f>VLOOKUP(表1_3[[#This Row],[名称]],[1]!表1[#Data],19,FALSE)</f>
        <v>[["i016",10],["i001",50000],["i400",5],["i004",5]]</v>
      </c>
      <c r="J56" s="3">
        <v>1</v>
      </c>
      <c r="K56" s="3">
        <v>1</v>
      </c>
      <c r="L56" s="3" t="str">
        <f t="shared" si="0"/>
        <v>2018/04/20&amp;00:00:00</v>
      </c>
      <c r="M56" s="13" t="str">
        <f t="shared" si="1"/>
        <v>2018/04/20&amp;23:59:59</v>
      </c>
      <c r="N56" s="3">
        <v>1</v>
      </c>
      <c r="O56" s="3">
        <v>1</v>
      </c>
      <c r="P56" s="3">
        <v>0</v>
      </c>
      <c r="Q56" s="5">
        <f>VLOOKUP(表1_3[[#This Row],[名称]],[1]!表1[#Data],18,FALSE)*10</f>
        <v>1.5</v>
      </c>
      <c r="R56" s="11" t="s">
        <v>61</v>
      </c>
      <c r="S56" s="15" t="s">
        <v>67</v>
      </c>
    </row>
    <row r="57" spans="1:19" x14ac:dyDescent="0.15">
      <c r="A57" s="3">
        <v>10052</v>
      </c>
      <c r="B57" s="5">
        <f>VLOOKUP(表1_3[[#This Row],[名称]],[1]!表1[#Data],3,FALSE)</f>
        <v>9056</v>
      </c>
      <c r="C57" s="5">
        <f>VLOOKUP(表1_3[[#This Row],[名称]],[1]!表1[#Data],4,FALSE)</f>
        <v>9477</v>
      </c>
      <c r="D57" s="5" t="str">
        <f>"gift_"&amp;表1_3[[#This Row],[价格]]</f>
        <v>gift_2</v>
      </c>
      <c r="E57" s="5" t="str">
        <f>"gift_"&amp;表1_3[[#This Row],[价格]]</f>
        <v>gift_2</v>
      </c>
      <c r="F57" s="3" t="s">
        <v>40</v>
      </c>
      <c r="G57" s="3" t="str">
        <f>"[[""r002"","&amp;表1_3[[#This Row],[价格]]&amp;"]]"</f>
        <v>[["r002",2]]</v>
      </c>
      <c r="H57" s="13">
        <f>INT(VLOOKUP(表1_3[[#This Row],[名称]],[1]!表1[#Data],5,FALSE)/6)</f>
        <v>2</v>
      </c>
      <c r="I57" s="5" t="str">
        <f>VLOOKUP(表1_3[[#This Row],[名称]],[1]!表1[#Data],19,FALSE)</f>
        <v>[["i001",200000],["i002",200],["i400",2],["i220",10]]</v>
      </c>
      <c r="J57" s="3">
        <v>1</v>
      </c>
      <c r="K57" s="3">
        <v>1</v>
      </c>
      <c r="L57" s="3" t="str">
        <f t="shared" si="0"/>
        <v>2018/04/21&amp;00:00:00</v>
      </c>
      <c r="M57" s="13" t="str">
        <f t="shared" si="1"/>
        <v>2018/04/21&amp;23:59:59</v>
      </c>
      <c r="N57" s="3">
        <v>1</v>
      </c>
      <c r="O57" s="3">
        <v>1</v>
      </c>
      <c r="P57" s="3">
        <v>0</v>
      </c>
      <c r="Q57" s="5">
        <f>VLOOKUP(表1_3[[#This Row],[名称]],[1]!表1[#Data],18,FALSE)*10</f>
        <v>3.8</v>
      </c>
      <c r="R57" s="3" t="s">
        <v>41</v>
      </c>
      <c r="S57" s="15" t="s">
        <v>66</v>
      </c>
    </row>
    <row r="58" spans="1:19" x14ac:dyDescent="0.15">
      <c r="A58" s="3">
        <v>10053</v>
      </c>
      <c r="B58" s="5">
        <f>VLOOKUP(表1_3[[#This Row],[名称]],[1]!表1[#Data],3,FALSE)</f>
        <v>9055</v>
      </c>
      <c r="C58" s="5">
        <f>VLOOKUP(表1_3[[#This Row],[名称]],[1]!表1[#Data],4,FALSE)</f>
        <v>9476</v>
      </c>
      <c r="D58" s="5" t="str">
        <f>"gift_"&amp;表1_3[[#This Row],[价格]]</f>
        <v>gift_1</v>
      </c>
      <c r="E58" s="5" t="str">
        <f>"gift_"&amp;表1_3[[#This Row],[价格]]</f>
        <v>gift_1</v>
      </c>
      <c r="F58" s="3" t="s">
        <v>40</v>
      </c>
      <c r="G58" s="3" t="str">
        <f>"[[""r002"","&amp;表1_3[[#This Row],[价格]]&amp;"]]"</f>
        <v>[["r002",1]]</v>
      </c>
      <c r="H58" s="13">
        <f>INT(VLOOKUP(表1_3[[#This Row],[名称]],[1]!表1[#Data],5,FALSE)/6)</f>
        <v>1</v>
      </c>
      <c r="I58" s="5" t="str">
        <f>VLOOKUP(表1_3[[#This Row],[名称]],[1]!表1[#Data],19,FALSE)</f>
        <v>[["i215",10],["i002",50],["i004",1],["i240",20]]</v>
      </c>
      <c r="J58" s="3">
        <v>1</v>
      </c>
      <c r="K58" s="3">
        <v>1</v>
      </c>
      <c r="L58" s="3" t="str">
        <f t="shared" si="0"/>
        <v>2018/04/22&amp;00:00:00</v>
      </c>
      <c r="M58" s="13" t="str">
        <f t="shared" si="1"/>
        <v>2018/04/22&amp;23:59:59</v>
      </c>
      <c r="N58" s="3">
        <v>1</v>
      </c>
      <c r="O58" s="3">
        <v>1</v>
      </c>
      <c r="P58" s="3">
        <v>0</v>
      </c>
      <c r="Q58" s="5">
        <f>VLOOKUP(表1_3[[#This Row],[名称]],[1]!表1[#Data],18,FALSE)*10</f>
        <v>2.7</v>
      </c>
      <c r="R58" s="11" t="s">
        <v>58</v>
      </c>
      <c r="S58" s="15" t="s">
        <v>65</v>
      </c>
    </row>
    <row r="59" spans="1:19" x14ac:dyDescent="0.15">
      <c r="A59" s="3">
        <v>10054</v>
      </c>
      <c r="B59" s="5">
        <f>VLOOKUP(表1_3[[#This Row],[名称]],[1]!表1[#Data],3,FALSE)</f>
        <v>9056</v>
      </c>
      <c r="C59" s="5">
        <f>VLOOKUP(表1_3[[#This Row],[名称]],[1]!表1[#Data],4,FALSE)</f>
        <v>9477</v>
      </c>
      <c r="D59" s="5" t="str">
        <f>"gift_"&amp;表1_3[[#This Row],[价格]]</f>
        <v>gift_2</v>
      </c>
      <c r="E59" s="5" t="str">
        <f>"gift_"&amp;表1_3[[#This Row],[价格]]</f>
        <v>gift_2</v>
      </c>
      <c r="F59" s="3" t="s">
        <v>40</v>
      </c>
      <c r="G59" s="3" t="str">
        <f>"[[""r002"","&amp;表1_3[[#This Row],[价格]]&amp;"]]"</f>
        <v>[["r002",2]]</v>
      </c>
      <c r="H59" s="13">
        <f>INT(VLOOKUP(表1_3[[#This Row],[名称]],[1]!表1[#Data],5,FALSE)/6)</f>
        <v>2</v>
      </c>
      <c r="I59" s="5" t="str">
        <f>VLOOKUP(表1_3[[#This Row],[名称]],[1]!表1[#Data],19,FALSE)</f>
        <v>[["i015",8],["i002",100],["i400",2],["i220",2]]</v>
      </c>
      <c r="J59" s="3">
        <v>1</v>
      </c>
      <c r="K59" s="3">
        <v>1</v>
      </c>
      <c r="L59" s="3" t="str">
        <f t="shared" si="0"/>
        <v>2018/04/23&amp;00:00:00</v>
      </c>
      <c r="M59" s="13" t="str">
        <f t="shared" si="1"/>
        <v>2018/04/23&amp;23:59:59</v>
      </c>
      <c r="N59" s="3">
        <v>1</v>
      </c>
      <c r="O59" s="3">
        <v>1</v>
      </c>
      <c r="P59" s="3">
        <v>0</v>
      </c>
      <c r="Q59" s="5">
        <f>VLOOKUP(表1_3[[#This Row],[名称]],[1]!表1[#Data],18,FALSE)*10</f>
        <v>3</v>
      </c>
      <c r="R59" s="11" t="s">
        <v>55</v>
      </c>
      <c r="S59" s="15" t="s">
        <v>64</v>
      </c>
    </row>
    <row r="60" spans="1:19" x14ac:dyDescent="0.15">
      <c r="A60" s="3">
        <v>10055</v>
      </c>
      <c r="B60" s="5">
        <f>VLOOKUP(表1_3[[#This Row],[名称]],[1]!表1[#Data],3,FALSE)</f>
        <v>9055</v>
      </c>
      <c r="C60" s="5">
        <f>VLOOKUP(表1_3[[#This Row],[名称]],[1]!表1[#Data],4,FALSE)</f>
        <v>9476</v>
      </c>
      <c r="D60" s="5" t="str">
        <f>"gift_"&amp;表1_3[[#This Row],[价格]]</f>
        <v>gift_1</v>
      </c>
      <c r="E60" s="5" t="str">
        <f>"gift_"&amp;表1_3[[#This Row],[价格]]</f>
        <v>gift_1</v>
      </c>
      <c r="F60" s="3" t="s">
        <v>40</v>
      </c>
      <c r="G60" s="3" t="str">
        <f>"[[""r002"","&amp;表1_3[[#This Row],[价格]]&amp;"]]"</f>
        <v>[["r002",1]]</v>
      </c>
      <c r="H60" s="13">
        <f>INT(VLOOKUP(表1_3[[#This Row],[名称]],[1]!表1[#Data],5,FALSE)/6)</f>
        <v>1</v>
      </c>
      <c r="I60" s="5" t="str">
        <f>VLOOKUP(表1_3[[#This Row],[名称]],[1]!表1[#Data],19,FALSE)</f>
        <v>[["i001",100000],["i002",100],["i400",1],["i220",5]]</v>
      </c>
      <c r="J60" s="3">
        <v>1</v>
      </c>
      <c r="K60" s="3">
        <v>1</v>
      </c>
      <c r="L60" s="3" t="str">
        <f t="shared" si="0"/>
        <v>2018/04/24&amp;00:00:00</v>
      </c>
      <c r="M60" s="13" t="str">
        <f t="shared" si="1"/>
        <v>2018/04/24&amp;23:59:59</v>
      </c>
      <c r="N60" s="3">
        <v>1</v>
      </c>
      <c r="O60" s="3">
        <v>1</v>
      </c>
      <c r="P60" s="3">
        <v>0</v>
      </c>
      <c r="Q60" s="5">
        <f>VLOOKUP(表1_3[[#This Row],[名称]],[1]!表1[#Data],18,FALSE)*10</f>
        <v>3.5999999999999996</v>
      </c>
      <c r="R60" s="3" t="s">
        <v>39</v>
      </c>
      <c r="S60" s="15" t="s">
        <v>63</v>
      </c>
    </row>
    <row r="61" spans="1:19" x14ac:dyDescent="0.15">
      <c r="A61" s="3">
        <v>10056</v>
      </c>
      <c r="B61" s="5">
        <f>VLOOKUP(表1_3[[#This Row],[名称]],[1]!表1[#Data],3,FALSE)</f>
        <v>9055</v>
      </c>
      <c r="C61" s="5">
        <f>VLOOKUP(表1_3[[#This Row],[名称]],[1]!表1[#Data],4,FALSE)</f>
        <v>9476</v>
      </c>
      <c r="D61" s="5" t="str">
        <f>"gift_"&amp;表1_3[[#This Row],[价格]]</f>
        <v>gift_1</v>
      </c>
      <c r="E61" s="5" t="str">
        <f>"gift_"&amp;表1_3[[#This Row],[价格]]</f>
        <v>gift_1</v>
      </c>
      <c r="F61" s="3" t="s">
        <v>40</v>
      </c>
      <c r="G61" s="3" t="str">
        <f>"[[""r002"","&amp;表1_3[[#This Row],[价格]]&amp;"]]"</f>
        <v>[["r002",1]]</v>
      </c>
      <c r="H61" s="13">
        <f>INT(VLOOKUP(表1_3[[#This Row],[名称]],[1]!表1[#Data],5,FALSE)/6)</f>
        <v>1</v>
      </c>
      <c r="I61" s="5" t="str">
        <f>VLOOKUP(表1_3[[#This Row],[名称]],[1]!表1[#Data],19,FALSE)</f>
        <v>[["i001",100000],["i002",100],["i400",1],["i220",5]]</v>
      </c>
      <c r="J61" s="3">
        <v>1</v>
      </c>
      <c r="K61" s="3">
        <v>1</v>
      </c>
      <c r="L61" s="3" t="str">
        <f t="shared" si="0"/>
        <v>2018/04/25&amp;00:00:00</v>
      </c>
      <c r="M61" s="13" t="str">
        <f t="shared" si="1"/>
        <v>2018/04/25&amp;23:59:59</v>
      </c>
      <c r="N61" s="3">
        <v>1</v>
      </c>
      <c r="O61" s="3">
        <v>1</v>
      </c>
      <c r="P61" s="3">
        <v>0</v>
      </c>
      <c r="Q61" s="5">
        <f>VLOOKUP(表1_3[[#This Row],[名称]],[1]!表1[#Data],18,FALSE)*10</f>
        <v>3.5999999999999996</v>
      </c>
      <c r="R61" s="3" t="s">
        <v>39</v>
      </c>
      <c r="S61" s="15" t="s">
        <v>63</v>
      </c>
    </row>
    <row r="62" spans="1:19" x14ac:dyDescent="0.15">
      <c r="A62" s="3">
        <v>10057</v>
      </c>
      <c r="B62" s="5">
        <f>VLOOKUP(表1_3[[#This Row],[名称]],[1]!表1[#Data],3,FALSE)</f>
        <v>9056</v>
      </c>
      <c r="C62" s="5">
        <f>VLOOKUP(表1_3[[#This Row],[名称]],[1]!表1[#Data],4,FALSE)</f>
        <v>9477</v>
      </c>
      <c r="D62" s="5" t="str">
        <f>"gift_"&amp;表1_3[[#This Row],[价格]]</f>
        <v>gift_2</v>
      </c>
      <c r="E62" s="5" t="str">
        <f>"gift_"&amp;表1_3[[#This Row],[价格]]</f>
        <v>gift_2</v>
      </c>
      <c r="F62" s="3" t="s">
        <v>40</v>
      </c>
      <c r="G62" s="3" t="str">
        <f>"[[""r002"","&amp;表1_3[[#This Row],[价格]]&amp;"]]"</f>
        <v>[["r002",2]]</v>
      </c>
      <c r="H62" s="13">
        <f>INT(VLOOKUP(表1_3[[#This Row],[名称]],[1]!表1[#Data],5,FALSE)/6)</f>
        <v>2</v>
      </c>
      <c r="I62" s="5" t="str">
        <f>VLOOKUP(表1_3[[#This Row],[名称]],[1]!表1[#Data],19,FALSE)</f>
        <v>[["i015",8],["i002",100],["i400",2],["i220",2]]</v>
      </c>
      <c r="J62" s="3">
        <v>1</v>
      </c>
      <c r="K62" s="3">
        <v>1</v>
      </c>
      <c r="L62" s="3" t="str">
        <f t="shared" si="0"/>
        <v>2018/04/26&amp;00:00:00</v>
      </c>
      <c r="M62" s="13" t="str">
        <f t="shared" si="1"/>
        <v>2018/04/26&amp;23:59:59</v>
      </c>
      <c r="N62" s="3">
        <v>1</v>
      </c>
      <c r="O62" s="3">
        <v>1</v>
      </c>
      <c r="P62" s="3">
        <v>0</v>
      </c>
      <c r="Q62" s="5">
        <f>VLOOKUP(表1_3[[#This Row],[名称]],[1]!表1[#Data],18,FALSE)*10</f>
        <v>3</v>
      </c>
      <c r="R62" s="11" t="s">
        <v>55</v>
      </c>
      <c r="S62" s="15" t="s">
        <v>64</v>
      </c>
    </row>
    <row r="63" spans="1:19" x14ac:dyDescent="0.15">
      <c r="A63" s="3">
        <v>10058</v>
      </c>
      <c r="B63" s="5">
        <f>VLOOKUP(表1_3[[#This Row],[名称]],[1]!表1[#Data],3,FALSE)</f>
        <v>9055</v>
      </c>
      <c r="C63" s="5">
        <f>VLOOKUP(表1_3[[#This Row],[名称]],[1]!表1[#Data],4,FALSE)</f>
        <v>9476</v>
      </c>
      <c r="D63" s="5" t="str">
        <f>"gift_"&amp;表1_3[[#This Row],[价格]]</f>
        <v>gift_1</v>
      </c>
      <c r="E63" s="5" t="str">
        <f>"gift_"&amp;表1_3[[#This Row],[价格]]</f>
        <v>gift_1</v>
      </c>
      <c r="F63" s="3" t="s">
        <v>40</v>
      </c>
      <c r="G63" s="3" t="str">
        <f>"[[""r002"","&amp;表1_3[[#This Row],[价格]]&amp;"]]"</f>
        <v>[["r002",1]]</v>
      </c>
      <c r="H63" s="13">
        <f>INT(VLOOKUP(表1_3[[#This Row],[名称]],[1]!表1[#Data],5,FALSE)/6)</f>
        <v>1</v>
      </c>
      <c r="I63" s="5" t="str">
        <f>VLOOKUP(表1_3[[#This Row],[名称]],[1]!表1[#Data],19,FALSE)</f>
        <v>[["i215",10],["i002",50],["i004",1],["i240",20]]</v>
      </c>
      <c r="J63" s="3">
        <v>1</v>
      </c>
      <c r="K63" s="3">
        <v>1</v>
      </c>
      <c r="L63" s="3" t="str">
        <f t="shared" si="0"/>
        <v>2018/04/27&amp;00:00:00</v>
      </c>
      <c r="M63" s="13" t="str">
        <f t="shared" si="1"/>
        <v>2018/04/27&amp;23:59:59</v>
      </c>
      <c r="N63" s="3">
        <v>1</v>
      </c>
      <c r="O63" s="3">
        <v>1</v>
      </c>
      <c r="P63" s="3">
        <v>0</v>
      </c>
      <c r="Q63" s="5">
        <f>VLOOKUP(表1_3[[#This Row],[名称]],[1]!表1[#Data],18,FALSE)*10</f>
        <v>2.7</v>
      </c>
      <c r="R63" s="11" t="s">
        <v>58</v>
      </c>
      <c r="S63" s="15" t="s">
        <v>65</v>
      </c>
    </row>
    <row r="64" spans="1:19" x14ac:dyDescent="0.15">
      <c r="A64" s="3">
        <v>10059</v>
      </c>
      <c r="B64" s="5">
        <f>VLOOKUP(表1_3[[#This Row],[名称]],[1]!表1[#Data],3,FALSE)</f>
        <v>9056</v>
      </c>
      <c r="C64" s="5">
        <f>VLOOKUP(表1_3[[#This Row],[名称]],[1]!表1[#Data],4,FALSE)</f>
        <v>9477</v>
      </c>
      <c r="D64" s="5" t="str">
        <f>"gift_"&amp;表1_3[[#This Row],[价格]]</f>
        <v>gift_2</v>
      </c>
      <c r="E64" s="5" t="str">
        <f>"gift_"&amp;表1_3[[#This Row],[价格]]</f>
        <v>gift_2</v>
      </c>
      <c r="F64" s="3" t="s">
        <v>40</v>
      </c>
      <c r="G64" s="3" t="str">
        <f>"[[""r002"","&amp;表1_3[[#This Row],[价格]]&amp;"]]"</f>
        <v>[["r002",2]]</v>
      </c>
      <c r="H64" s="13">
        <f>INT(VLOOKUP(表1_3[[#This Row],[名称]],[1]!表1[#Data],5,FALSE)/6)</f>
        <v>2</v>
      </c>
      <c r="I64" s="5" t="str">
        <f>VLOOKUP(表1_3[[#This Row],[名称]],[1]!表1[#Data],19,FALSE)</f>
        <v>[["i001",200000],["i002",200],["i400",2],["i220",10]]</v>
      </c>
      <c r="J64" s="3">
        <v>1</v>
      </c>
      <c r="K64" s="3">
        <v>1</v>
      </c>
      <c r="L64" s="3" t="str">
        <f t="shared" si="0"/>
        <v>2018/04/28&amp;00:00:00</v>
      </c>
      <c r="M64" s="13" t="str">
        <f t="shared" si="1"/>
        <v>2018/04/28&amp;23:59:59</v>
      </c>
      <c r="N64" s="3">
        <v>1</v>
      </c>
      <c r="O64" s="3">
        <v>1</v>
      </c>
      <c r="P64" s="3">
        <v>0</v>
      </c>
      <c r="Q64" s="5">
        <f>VLOOKUP(表1_3[[#This Row],[名称]],[1]!表1[#Data],18,FALSE)*10</f>
        <v>3.8</v>
      </c>
      <c r="R64" s="3" t="s">
        <v>41</v>
      </c>
      <c r="S64" s="15" t="s">
        <v>66</v>
      </c>
    </row>
    <row r="65" spans="1:19" x14ac:dyDescent="0.15">
      <c r="A65" s="3">
        <v>10060</v>
      </c>
      <c r="B65" s="5">
        <f>VLOOKUP(表1_3[[#This Row],[名称]],[1]!表1[#Data],3,FALSE)</f>
        <v>9072</v>
      </c>
      <c r="C65" s="5">
        <f>VLOOKUP(表1_3[[#This Row],[名称]],[1]!表1[#Data],4,FALSE)</f>
        <v>9493</v>
      </c>
      <c r="D65" s="5" t="str">
        <f>"gift_"&amp;表1_3[[#This Row],[价格]]</f>
        <v>gift_3</v>
      </c>
      <c r="E65" s="5" t="str">
        <f>"gift_"&amp;表1_3[[#This Row],[价格]]</f>
        <v>gift_3</v>
      </c>
      <c r="F65" s="3" t="s">
        <v>40</v>
      </c>
      <c r="G65" s="3" t="str">
        <f>"[[""r002"","&amp;表1_3[[#This Row],[价格]]&amp;"]]"</f>
        <v>[["r002",3]]</v>
      </c>
      <c r="H65" s="13">
        <f>INT(VLOOKUP(表1_3[[#This Row],[名称]],[1]!表1[#Data],5,FALSE)/6)</f>
        <v>3</v>
      </c>
      <c r="I65" s="5" t="str">
        <f>VLOOKUP(表1_3[[#This Row],[名称]],[1]!表1[#Data],19,FALSE)</f>
        <v>[["i016",10],["i001",50000],["i400",5],["i004",5]]</v>
      </c>
      <c r="J65" s="3">
        <v>1</v>
      </c>
      <c r="K65" s="3">
        <v>1</v>
      </c>
      <c r="L65" s="3" t="str">
        <f t="shared" si="0"/>
        <v>2018/04/29&amp;00:00:00</v>
      </c>
      <c r="M65" s="13" t="str">
        <f t="shared" si="1"/>
        <v>2018/04/29&amp;23:59:59</v>
      </c>
      <c r="N65" s="3">
        <v>1</v>
      </c>
      <c r="O65" s="3">
        <v>1</v>
      </c>
      <c r="P65" s="3">
        <v>0</v>
      </c>
      <c r="Q65" s="5">
        <f>VLOOKUP(表1_3[[#This Row],[名称]],[1]!表1[#Data],18,FALSE)*10</f>
        <v>1.5</v>
      </c>
      <c r="R65" s="11" t="s">
        <v>61</v>
      </c>
      <c r="S65" s="15" t="s">
        <v>67</v>
      </c>
    </row>
    <row r="66" spans="1:19" x14ac:dyDescent="0.15">
      <c r="A66" s="3">
        <v>10061</v>
      </c>
      <c r="B66" s="5">
        <f>VLOOKUP(表1_3[[#This Row],[名称]],[1]!表1[#Data],3,FALSE)</f>
        <v>9055</v>
      </c>
      <c r="C66" s="5">
        <f>VLOOKUP(表1_3[[#This Row],[名称]],[1]!表1[#Data],4,FALSE)</f>
        <v>9476</v>
      </c>
      <c r="D66" s="5" t="str">
        <f>"gift_"&amp;表1_3[[#This Row],[价格]]</f>
        <v>gift_1</v>
      </c>
      <c r="E66" s="5" t="str">
        <f>"gift_"&amp;表1_3[[#This Row],[价格]]</f>
        <v>gift_1</v>
      </c>
      <c r="F66" s="3" t="s">
        <v>40</v>
      </c>
      <c r="G66" s="3" t="str">
        <f>"[[""r002"","&amp;表1_3[[#This Row],[价格]]&amp;"]]"</f>
        <v>[["r002",1]]</v>
      </c>
      <c r="H66" s="13">
        <f>INT(VLOOKUP(表1_3[[#This Row],[名称]],[1]!表1[#Data],5,FALSE)/6)</f>
        <v>1</v>
      </c>
      <c r="I66" s="5" t="str">
        <f>VLOOKUP(表1_3[[#This Row],[名称]],[1]!表1[#Data],19,FALSE)</f>
        <v>[["i011",50],["i001",100000],["i004",1],["i015",1]]</v>
      </c>
      <c r="J66" s="3">
        <v>1</v>
      </c>
      <c r="K66" s="3">
        <v>1</v>
      </c>
      <c r="L66" s="3" t="str">
        <f t="shared" si="0"/>
        <v>2018/04/30&amp;00:00:00</v>
      </c>
      <c r="M66" s="13" t="str">
        <f t="shared" si="1"/>
        <v>2018/04/30&amp;23:59:59</v>
      </c>
      <c r="N66" s="3">
        <v>1</v>
      </c>
      <c r="O66" s="3">
        <v>1</v>
      </c>
      <c r="P66" s="3">
        <v>0</v>
      </c>
      <c r="Q66" s="5">
        <f>VLOOKUP(表1_3[[#This Row],[名称]],[1]!表1[#Data],18,FALSE)*10</f>
        <v>2.4</v>
      </c>
      <c r="R66" s="11" t="s">
        <v>60</v>
      </c>
      <c r="S66" s="15" t="s">
        <v>68</v>
      </c>
    </row>
    <row r="67" spans="1:19" x14ac:dyDescent="0.15">
      <c r="A67" s="3">
        <v>10062</v>
      </c>
      <c r="B67" s="5">
        <f>VLOOKUP(表1_3[[#This Row],[名称]],[1]!表1[#Data],3,FALSE)</f>
        <v>9055</v>
      </c>
      <c r="C67" s="5">
        <f>VLOOKUP(表1_3[[#This Row],[名称]],[1]!表1[#Data],4,FALSE)</f>
        <v>9476</v>
      </c>
      <c r="D67" s="5" t="str">
        <f>"gift_"&amp;表1_3[[#This Row],[价格]]</f>
        <v>gift_1</v>
      </c>
      <c r="E67" s="5" t="str">
        <f>"gift_"&amp;表1_3[[#This Row],[价格]]</f>
        <v>gift_1</v>
      </c>
      <c r="F67" s="3" t="s">
        <v>40</v>
      </c>
      <c r="G67" s="3" t="str">
        <f>"[[""r002"","&amp;表1_3[[#This Row],[价格]]&amp;"]]"</f>
        <v>[["r002",1]]</v>
      </c>
      <c r="H67" s="13">
        <f>INT(VLOOKUP(表1_3[[#This Row],[名称]],[1]!表1[#Data],5,FALSE)/6)</f>
        <v>1</v>
      </c>
      <c r="I67" s="5" t="str">
        <f>VLOOKUP(表1_3[[#This Row],[名称]],[1]!表1[#Data],19,FALSE)</f>
        <v>[["i006",25],["i001",50000],["i004",1],["i015",1]]</v>
      </c>
      <c r="J67" s="3">
        <v>1</v>
      </c>
      <c r="K67" s="3">
        <v>1</v>
      </c>
      <c r="L67" s="3" t="str">
        <f t="shared" si="0"/>
        <v>2018/05/01&amp;00:00:00</v>
      </c>
      <c r="M67" s="13" t="str">
        <f t="shared" si="1"/>
        <v>2018/05/01&amp;23:59:59</v>
      </c>
      <c r="N67" s="3">
        <v>1</v>
      </c>
      <c r="O67" s="3">
        <v>1</v>
      </c>
      <c r="P67" s="3">
        <v>0</v>
      </c>
      <c r="Q67" s="5">
        <f>VLOOKUP(表1_3[[#This Row],[名称]],[1]!表1[#Data],18,FALSE)*10</f>
        <v>1.9</v>
      </c>
      <c r="R67" s="11" t="s">
        <v>59</v>
      </c>
      <c r="S67" s="15" t="s">
        <v>69</v>
      </c>
    </row>
    <row r="68" spans="1:19" x14ac:dyDescent="0.15">
      <c r="A68" s="3">
        <v>10063</v>
      </c>
      <c r="B68" s="5">
        <f>VLOOKUP(表1_3[[#This Row],[名称]],[1]!表1[#Data],3,FALSE)</f>
        <v>9056</v>
      </c>
      <c r="C68" s="5">
        <f>VLOOKUP(表1_3[[#This Row],[名称]],[1]!表1[#Data],4,FALSE)</f>
        <v>9477</v>
      </c>
      <c r="D68" s="5" t="str">
        <f>"gift_"&amp;表1_3[[#This Row],[价格]]</f>
        <v>gift_2</v>
      </c>
      <c r="E68" s="5" t="str">
        <f>"gift_"&amp;表1_3[[#This Row],[价格]]</f>
        <v>gift_2</v>
      </c>
      <c r="F68" s="3" t="s">
        <v>40</v>
      </c>
      <c r="G68" s="3" t="str">
        <f>"[[""r002"","&amp;表1_3[[#This Row],[价格]]&amp;"]]"</f>
        <v>[["r002",2]]</v>
      </c>
      <c r="H68" s="14">
        <f>INT(VLOOKUP(表1_3[[#This Row],[名称]],[1]!表1[#Data],5,FALSE)/6)</f>
        <v>2</v>
      </c>
      <c r="I68" s="5" t="str">
        <f>VLOOKUP(表1_3[[#This Row],[名称]],[1]!表1[#Data],19,FALSE)</f>
        <v>[["i240",180],["i002",150],["i001",50000],["i220",5]]</v>
      </c>
      <c r="J68" s="3">
        <v>1</v>
      </c>
      <c r="K68" s="3">
        <v>1</v>
      </c>
      <c r="L68" s="3" t="str">
        <f t="shared" si="0"/>
        <v>2018/05/02&amp;00:00:00</v>
      </c>
      <c r="M68" s="13" t="str">
        <f t="shared" si="1"/>
        <v>2018/05/02&amp;23:59:59</v>
      </c>
      <c r="N68" s="3">
        <v>1</v>
      </c>
      <c r="O68" s="3">
        <v>1</v>
      </c>
      <c r="P68" s="3">
        <v>0</v>
      </c>
      <c r="Q68" s="5">
        <f>VLOOKUP(表1_3[[#This Row],[名称]],[1]!表1[#Data],18,FALSE)*10</f>
        <v>2.5</v>
      </c>
      <c r="R68" s="11" t="s">
        <v>56</v>
      </c>
      <c r="S68" s="15" t="s">
        <v>70</v>
      </c>
    </row>
    <row r="69" spans="1:19" x14ac:dyDescent="0.15">
      <c r="A69" s="3">
        <v>10064</v>
      </c>
      <c r="B69" s="5">
        <f>VLOOKUP(表1_3[[#This Row],[名称]],[1]!表1[#Data],3,FALSE)</f>
        <v>9072</v>
      </c>
      <c r="C69" s="5">
        <f>VLOOKUP(表1_3[[#This Row],[名称]],[1]!表1[#Data],4,FALSE)</f>
        <v>9493</v>
      </c>
      <c r="D69" s="5" t="str">
        <f>"gift_"&amp;表1_3[[#This Row],[价格]]</f>
        <v>gift_3</v>
      </c>
      <c r="E69" s="5" t="str">
        <f>"gift_"&amp;表1_3[[#This Row],[价格]]</f>
        <v>gift_3</v>
      </c>
      <c r="F69" s="3" t="s">
        <v>40</v>
      </c>
      <c r="G69" s="3" t="str">
        <f>"[[""r002"","&amp;表1_3[[#This Row],[价格]]&amp;"]]"</f>
        <v>[["r002",3]]</v>
      </c>
      <c r="H69" s="14">
        <f>INT(VLOOKUP(表1_3[[#This Row],[名称]],[1]!表1[#Data],5,FALSE)/6)</f>
        <v>3</v>
      </c>
      <c r="I69" s="5" t="str">
        <f>VLOOKUP(表1_3[[#This Row],[名称]],[1]!表1[#Data],19,FALSE)</f>
        <v>[["i001",300000],["i002",300],["i015",1],["i400",2]]</v>
      </c>
      <c r="J69" s="3">
        <v>1</v>
      </c>
      <c r="K69" s="3">
        <v>1</v>
      </c>
      <c r="L69" s="3" t="str">
        <f t="shared" ref="L69:L132" si="2">YEAR(43159+ROW()-5)&amp;"/"&amp;IF(MONTH(43159+ROW()-5)&lt;10,"0","")&amp;MONTH(43159+ROW()-5)&amp;"/"&amp;IF(DAY(43159+ROW()-5)&lt;10,"0","")&amp;DAY(43159+ROW()-5)&amp;"&amp;00:00:00"</f>
        <v>2018/05/03&amp;00:00:00</v>
      </c>
      <c r="M69" s="13" t="str">
        <f t="shared" ref="M69:M132" si="3">YEAR(43159+ROW()-5)&amp;"/"&amp;IF(MONTH(43159+ROW()-5)&lt;10,"0","")&amp;MONTH(43159+ROW()-5)&amp;"/"&amp;IF(DAY(43159+ROW()-5)&lt;10,"0","")&amp;DAY(43159+ROW()-5)&amp;"&amp;23:59:59"</f>
        <v>2018/05/03&amp;23:59:59</v>
      </c>
      <c r="N69" s="3">
        <v>1</v>
      </c>
      <c r="O69" s="3">
        <v>1</v>
      </c>
      <c r="P69" s="3">
        <v>0</v>
      </c>
      <c r="Q69" s="5">
        <f>VLOOKUP(表1_3[[#This Row],[名称]],[1]!表1[#Data],18,FALSE)*10</f>
        <v>4</v>
      </c>
      <c r="R69" s="3" t="s">
        <v>42</v>
      </c>
      <c r="S69" s="15" t="s">
        <v>71</v>
      </c>
    </row>
    <row r="70" spans="1:19" x14ac:dyDescent="0.15">
      <c r="A70" s="3">
        <v>10065</v>
      </c>
      <c r="B70" s="5">
        <f>VLOOKUP(表1_3[[#This Row],[名称]],[1]!表1[#Data],3,FALSE)</f>
        <v>9055</v>
      </c>
      <c r="C70" s="5">
        <f>VLOOKUP(表1_3[[#This Row],[名称]],[1]!表1[#Data],4,FALSE)</f>
        <v>9476</v>
      </c>
      <c r="D70" s="5" t="str">
        <f>"gift_"&amp;表1_3[[#This Row],[价格]]</f>
        <v>gift_1</v>
      </c>
      <c r="E70" s="5" t="str">
        <f>"gift_"&amp;表1_3[[#This Row],[价格]]</f>
        <v>gift_1</v>
      </c>
      <c r="F70" s="3" t="s">
        <v>40</v>
      </c>
      <c r="G70" s="3" t="str">
        <f>"[[""r002"","&amp;表1_3[[#This Row],[价格]]&amp;"]]"</f>
        <v>[["r002",1]]</v>
      </c>
      <c r="H70" s="14">
        <f>INT(VLOOKUP(表1_3[[#This Row],[名称]],[1]!表1[#Data],5,FALSE)/6)</f>
        <v>1</v>
      </c>
      <c r="I70" s="5" t="str">
        <f>VLOOKUP(表1_3[[#This Row],[名称]],[1]!表1[#Data],19,FALSE)</f>
        <v>[["i400",20],["i002",50],["i015",1],["i220",2]]</v>
      </c>
      <c r="J70" s="3">
        <v>1</v>
      </c>
      <c r="K70" s="3">
        <v>1</v>
      </c>
      <c r="L70" s="3" t="str">
        <f t="shared" si="2"/>
        <v>2018/05/04&amp;00:00:00</v>
      </c>
      <c r="M70" s="13" t="str">
        <f t="shared" si="3"/>
        <v>2018/05/04&amp;23:59:59</v>
      </c>
      <c r="N70" s="3">
        <v>1</v>
      </c>
      <c r="O70" s="3">
        <v>1</v>
      </c>
      <c r="P70" s="3">
        <v>0</v>
      </c>
      <c r="Q70" s="5">
        <f>VLOOKUP(表1_3[[#This Row],[名称]],[1]!表1[#Data],18,FALSE)*10</f>
        <v>1.9</v>
      </c>
      <c r="R70" s="11" t="s">
        <v>57</v>
      </c>
      <c r="S70" s="15" t="s">
        <v>72</v>
      </c>
    </row>
    <row r="71" spans="1:19" x14ac:dyDescent="0.15">
      <c r="A71" s="3">
        <v>10066</v>
      </c>
      <c r="B71" s="5">
        <f>VLOOKUP(表1_3[[#This Row],[名称]],[1]!表1[#Data],3,FALSE)</f>
        <v>9067</v>
      </c>
      <c r="C71" s="5">
        <f>VLOOKUP(表1_3[[#This Row],[名称]],[1]!表1[#Data],4,FALSE)</f>
        <v>9488</v>
      </c>
      <c r="D71" s="5" t="str">
        <f>"gift_"&amp;表1_3[[#This Row],[价格]]</f>
        <v>gift_5</v>
      </c>
      <c r="E71" s="5" t="str">
        <f>"gift_"&amp;表1_3[[#This Row],[价格]]</f>
        <v>gift_5</v>
      </c>
      <c r="F71" s="3" t="s">
        <v>40</v>
      </c>
      <c r="G71" s="3" t="str">
        <f>"[[""r002"","&amp;表1_3[[#This Row],[价格]]&amp;"]]"</f>
        <v>[["r002",5]]</v>
      </c>
      <c r="H71" s="14">
        <f>INT(VLOOKUP(表1_3[[#This Row],[名称]],[1]!表1[#Data],5,FALSE)/6)</f>
        <v>5</v>
      </c>
      <c r="I71" s="5" t="str">
        <f>VLOOKUP(表1_3[[#This Row],[名称]],[1]!表1[#Data],19,FALSE)</f>
        <v>[["i001",400000],["i002",400],["i015",1],["i006",5]]</v>
      </c>
      <c r="J71" s="3">
        <v>1</v>
      </c>
      <c r="K71" s="3">
        <v>1</v>
      </c>
      <c r="L71" s="3" t="str">
        <f t="shared" si="2"/>
        <v>2018/05/05&amp;00:00:00</v>
      </c>
      <c r="M71" s="13" t="str">
        <f t="shared" si="3"/>
        <v>2018/05/05&amp;23:59:59</v>
      </c>
      <c r="N71" s="3">
        <v>1</v>
      </c>
      <c r="O71" s="3">
        <v>1</v>
      </c>
      <c r="P71" s="3">
        <v>0</v>
      </c>
      <c r="Q71" s="5">
        <f>VLOOKUP(表1_3[[#This Row],[名称]],[1]!表1[#Data],18,FALSE)*10</f>
        <v>3.8</v>
      </c>
      <c r="R71" s="3" t="s">
        <v>43</v>
      </c>
      <c r="S71" s="15" t="s">
        <v>73</v>
      </c>
    </row>
    <row r="72" spans="1:19" x14ac:dyDescent="0.15">
      <c r="A72" s="3">
        <v>10067</v>
      </c>
      <c r="B72" s="5">
        <f>VLOOKUP(表1_3[[#This Row],[名称]],[1]!表1[#Data],3,FALSE)</f>
        <v>9075</v>
      </c>
      <c r="C72" s="5">
        <f>VLOOKUP(表1_3[[#This Row],[名称]],[1]!表1[#Data],4,FALSE)</f>
        <v>9496</v>
      </c>
      <c r="D72" s="5" t="str">
        <f>"gift_"&amp;表1_3[[#This Row],[价格]]</f>
        <v>gift_7</v>
      </c>
      <c r="E72" s="5" t="str">
        <f>"gift_"&amp;表1_3[[#This Row],[价格]]</f>
        <v>gift_7</v>
      </c>
      <c r="F72" s="3" t="s">
        <v>40</v>
      </c>
      <c r="G72" s="3" t="str">
        <f>"[[""r002"","&amp;表1_3[[#This Row],[价格]]&amp;"]]"</f>
        <v>[["r002",7]]</v>
      </c>
      <c r="H72" s="14">
        <f>INT(VLOOKUP(表1_3[[#This Row],[名称]],[1]!表1[#Data],5,FALSE)/6)</f>
        <v>7</v>
      </c>
      <c r="I72" s="5" t="str">
        <f>VLOOKUP(表1_3[[#This Row],[名称]],[1]!表1[#Data],19,FALSE)</f>
        <v>[["i017",8],["i002",100],["i004",10],["i006",10]]</v>
      </c>
      <c r="J72" s="3">
        <v>1</v>
      </c>
      <c r="K72" s="3">
        <v>1</v>
      </c>
      <c r="L72" s="3" t="str">
        <f t="shared" si="2"/>
        <v>2018/05/06&amp;00:00:00</v>
      </c>
      <c r="M72" s="13" t="str">
        <f t="shared" si="3"/>
        <v>2018/05/06&amp;23:59:59</v>
      </c>
      <c r="N72" s="3">
        <v>1</v>
      </c>
      <c r="O72" s="3">
        <v>1</v>
      </c>
      <c r="P72" s="3">
        <v>0</v>
      </c>
      <c r="Q72" s="5">
        <f>VLOOKUP(表1_3[[#This Row],[名称]],[1]!表1[#Data],18,FALSE)*10</f>
        <v>1</v>
      </c>
      <c r="R72" s="11" t="s">
        <v>62</v>
      </c>
      <c r="S72" s="15" t="s">
        <v>74</v>
      </c>
    </row>
    <row r="73" spans="1:19" x14ac:dyDescent="0.15">
      <c r="A73" s="3">
        <v>10068</v>
      </c>
      <c r="B73" s="5">
        <f>VLOOKUP(表1_3[[#This Row],[名称]],[1]!表1[#Data],3,FALSE)</f>
        <v>9055</v>
      </c>
      <c r="C73" s="5">
        <f>VLOOKUP(表1_3[[#This Row],[名称]],[1]!表1[#Data],4,FALSE)</f>
        <v>9476</v>
      </c>
      <c r="D73" s="5" t="str">
        <f>"gift_"&amp;表1_3[[#This Row],[价格]]</f>
        <v>gift_1</v>
      </c>
      <c r="E73" s="5" t="str">
        <f>"gift_"&amp;表1_3[[#This Row],[价格]]</f>
        <v>gift_1</v>
      </c>
      <c r="F73" s="3" t="s">
        <v>40</v>
      </c>
      <c r="G73" s="3" t="str">
        <f>"[[""r002"","&amp;表1_3[[#This Row],[价格]]&amp;"]]"</f>
        <v>[["r002",1]]</v>
      </c>
      <c r="H73" s="14">
        <f>INT(VLOOKUP(表1_3[[#This Row],[名称]],[1]!表1[#Data],5,FALSE)/6)</f>
        <v>1</v>
      </c>
      <c r="I73" s="5" t="str">
        <f>VLOOKUP(表1_3[[#This Row],[名称]],[1]!表1[#Data],19,FALSE)</f>
        <v>[["i215",10],["i002",50],["i004",1],["i240",20]]</v>
      </c>
      <c r="J73" s="3">
        <v>1</v>
      </c>
      <c r="K73" s="3">
        <v>1</v>
      </c>
      <c r="L73" s="3" t="str">
        <f t="shared" si="2"/>
        <v>2018/05/07&amp;00:00:00</v>
      </c>
      <c r="M73" s="13" t="str">
        <f t="shared" si="3"/>
        <v>2018/05/07&amp;23:59:59</v>
      </c>
      <c r="N73" s="3">
        <v>1</v>
      </c>
      <c r="O73" s="3">
        <v>1</v>
      </c>
      <c r="P73" s="3">
        <v>0</v>
      </c>
      <c r="Q73" s="5">
        <f>VLOOKUP(表1_3[[#This Row],[名称]],[1]!表1[#Data],18,FALSE)*10</f>
        <v>2.7</v>
      </c>
      <c r="R73" s="11" t="s">
        <v>58</v>
      </c>
      <c r="S73" s="15" t="s">
        <v>65</v>
      </c>
    </row>
    <row r="74" spans="1:19" x14ac:dyDescent="0.15">
      <c r="A74" s="3">
        <v>10069</v>
      </c>
      <c r="B74" s="5">
        <f>VLOOKUP(表1_3[[#This Row],[名称]],[1]!表1[#Data],3,FALSE)</f>
        <v>9075</v>
      </c>
      <c r="C74" s="5">
        <f>VLOOKUP(表1_3[[#This Row],[名称]],[1]!表1[#Data],4,FALSE)</f>
        <v>9496</v>
      </c>
      <c r="D74" s="5" t="str">
        <f>"gift_"&amp;表1_3[[#This Row],[价格]]</f>
        <v>gift_7</v>
      </c>
      <c r="E74" s="5" t="str">
        <f>"gift_"&amp;表1_3[[#This Row],[价格]]</f>
        <v>gift_7</v>
      </c>
      <c r="F74" s="3" t="s">
        <v>40</v>
      </c>
      <c r="G74" s="3" t="str">
        <f>"[[""r002"","&amp;表1_3[[#This Row],[价格]]&amp;"]]"</f>
        <v>[["r002",7]]</v>
      </c>
      <c r="H74" s="12">
        <f>INT(VLOOKUP(表1_3[[#This Row],[名称]],[1]!表1[#Data],5,FALSE)/6)</f>
        <v>7</v>
      </c>
      <c r="I74" s="5" t="str">
        <f>VLOOKUP(表1_3[[#This Row],[名称]],[1]!表1[#Data],19,FALSE)</f>
        <v>[["i001",500000],["i002",500],["i015",1],["i004",4]]</v>
      </c>
      <c r="J74" s="3">
        <v>1</v>
      </c>
      <c r="K74" s="3">
        <v>1</v>
      </c>
      <c r="L74" s="3" t="str">
        <f t="shared" si="2"/>
        <v>2018/05/08&amp;00:00:00</v>
      </c>
      <c r="M74" s="13" t="str">
        <f t="shared" si="3"/>
        <v>2018/05/08&amp;23:59:59</v>
      </c>
      <c r="N74" s="3">
        <v>1</v>
      </c>
      <c r="O74" s="3">
        <v>1</v>
      </c>
      <c r="P74" s="3">
        <v>0</v>
      </c>
      <c r="Q74" s="5">
        <f>VLOOKUP(表1_3[[#This Row],[名称]],[1]!表1[#Data],18,FALSE)*10</f>
        <v>3.8</v>
      </c>
      <c r="R74" s="3" t="s">
        <v>44</v>
      </c>
      <c r="S74" s="15" t="s">
        <v>75</v>
      </c>
    </row>
    <row r="75" spans="1:19" x14ac:dyDescent="0.15">
      <c r="A75" s="3">
        <v>10070</v>
      </c>
      <c r="B75" s="5">
        <f>VLOOKUP(表1_3[[#This Row],[名称]],[1]!表1[#Data],3,FALSE)</f>
        <v>9055</v>
      </c>
      <c r="C75" s="5">
        <f>VLOOKUP(表1_3[[#This Row],[名称]],[1]!表1[#Data],4,FALSE)</f>
        <v>9476</v>
      </c>
      <c r="D75" s="5" t="str">
        <f>"gift_"&amp;表1_3[[#This Row],[价格]]</f>
        <v>gift_1</v>
      </c>
      <c r="E75" s="5" t="str">
        <f>"gift_"&amp;表1_3[[#This Row],[价格]]</f>
        <v>gift_1</v>
      </c>
      <c r="F75" s="3" t="s">
        <v>40</v>
      </c>
      <c r="G75" s="3" t="str">
        <f>"[[""r002"","&amp;表1_3[[#This Row],[价格]]&amp;"]]"</f>
        <v>[["r002",1]]</v>
      </c>
      <c r="H75" s="12">
        <f>INT(VLOOKUP(表1_3[[#This Row],[名称]],[1]!表1[#Data],5,FALSE)/6)</f>
        <v>1</v>
      </c>
      <c r="I75" s="5" t="str">
        <f>VLOOKUP(表1_3[[#This Row],[名称]],[1]!表1[#Data],19,FALSE)</f>
        <v>[["i001",100000],["i002",100],["i400",1],["i220",5]]</v>
      </c>
      <c r="J75" s="3">
        <v>1</v>
      </c>
      <c r="K75" s="3">
        <v>1</v>
      </c>
      <c r="L75" s="3" t="str">
        <f t="shared" si="2"/>
        <v>2018/05/09&amp;00:00:00</v>
      </c>
      <c r="M75" s="13" t="str">
        <f t="shared" si="3"/>
        <v>2018/05/09&amp;23:59:59</v>
      </c>
      <c r="N75" s="3">
        <v>1</v>
      </c>
      <c r="O75" s="3">
        <v>1</v>
      </c>
      <c r="P75" s="3">
        <v>0</v>
      </c>
      <c r="Q75" s="5">
        <f>VLOOKUP(表1_3[[#This Row],[名称]],[1]!表1[#Data],18,FALSE)*10</f>
        <v>3.5999999999999996</v>
      </c>
      <c r="R75" s="3" t="s">
        <v>39</v>
      </c>
      <c r="S75" s="15" t="s">
        <v>63</v>
      </c>
    </row>
    <row r="76" spans="1:19" x14ac:dyDescent="0.15">
      <c r="A76" s="3">
        <v>10071</v>
      </c>
      <c r="B76" s="5">
        <f>VLOOKUP(表1_3[[#This Row],[名称]],[1]!表1[#Data],3,FALSE)</f>
        <v>9056</v>
      </c>
      <c r="C76" s="5">
        <f>VLOOKUP(表1_3[[#This Row],[名称]],[1]!表1[#Data],4,FALSE)</f>
        <v>9477</v>
      </c>
      <c r="D76" s="5" t="str">
        <f>"gift_"&amp;表1_3[[#This Row],[价格]]</f>
        <v>gift_2</v>
      </c>
      <c r="E76" s="5" t="str">
        <f>"gift_"&amp;表1_3[[#This Row],[价格]]</f>
        <v>gift_2</v>
      </c>
      <c r="F76" s="3" t="s">
        <v>40</v>
      </c>
      <c r="G76" s="3" t="str">
        <f>"[[""r002"","&amp;表1_3[[#This Row],[价格]]&amp;"]]"</f>
        <v>[["r002",2]]</v>
      </c>
      <c r="H76" s="12">
        <f>INT(VLOOKUP(表1_3[[#This Row],[名称]],[1]!表1[#Data],5,FALSE)/6)</f>
        <v>2</v>
      </c>
      <c r="I76" s="5" t="str">
        <f>VLOOKUP(表1_3[[#This Row],[名称]],[1]!表1[#Data],19,FALSE)</f>
        <v>[["i015",8],["i002",100],["i400",2],["i220",2]]</v>
      </c>
      <c r="J76" s="3">
        <v>1</v>
      </c>
      <c r="K76" s="3">
        <v>1</v>
      </c>
      <c r="L76" s="3" t="str">
        <f t="shared" si="2"/>
        <v>2018/05/10&amp;00:00:00</v>
      </c>
      <c r="M76" s="13" t="str">
        <f t="shared" si="3"/>
        <v>2018/05/10&amp;23:59:59</v>
      </c>
      <c r="N76" s="3">
        <v>1</v>
      </c>
      <c r="O76" s="3">
        <v>1</v>
      </c>
      <c r="P76" s="3">
        <v>0</v>
      </c>
      <c r="Q76" s="5">
        <f>VLOOKUP(表1_3[[#This Row],[名称]],[1]!表1[#Data],18,FALSE)*10</f>
        <v>3</v>
      </c>
      <c r="R76" s="11" t="s">
        <v>55</v>
      </c>
      <c r="S76" s="15" t="s">
        <v>64</v>
      </c>
    </row>
    <row r="77" spans="1:19" x14ac:dyDescent="0.15">
      <c r="A77" s="3">
        <v>10072</v>
      </c>
      <c r="B77" s="5">
        <f>VLOOKUP(表1_3[[#This Row],[名称]],[1]!表1[#Data],3,FALSE)</f>
        <v>9055</v>
      </c>
      <c r="C77" s="5">
        <f>VLOOKUP(表1_3[[#This Row],[名称]],[1]!表1[#Data],4,FALSE)</f>
        <v>9476</v>
      </c>
      <c r="D77" s="5" t="str">
        <f>"gift_"&amp;表1_3[[#This Row],[价格]]</f>
        <v>gift_1</v>
      </c>
      <c r="E77" s="5" t="str">
        <f>"gift_"&amp;表1_3[[#This Row],[价格]]</f>
        <v>gift_1</v>
      </c>
      <c r="F77" s="3" t="s">
        <v>40</v>
      </c>
      <c r="G77" s="3" t="str">
        <f>"[[""r002"","&amp;表1_3[[#This Row],[价格]]&amp;"]]"</f>
        <v>[["r002",1]]</v>
      </c>
      <c r="H77" s="12">
        <f>INT(VLOOKUP(表1_3[[#This Row],[名称]],[1]!表1[#Data],5,FALSE)/6)</f>
        <v>1</v>
      </c>
      <c r="I77" s="5" t="str">
        <f>VLOOKUP(表1_3[[#This Row],[名称]],[1]!表1[#Data],19,FALSE)</f>
        <v>[["i215",10],["i002",50],["i004",1],["i240",20]]</v>
      </c>
      <c r="J77" s="3">
        <v>1</v>
      </c>
      <c r="K77" s="3">
        <v>1</v>
      </c>
      <c r="L77" s="3" t="str">
        <f t="shared" si="2"/>
        <v>2018/05/11&amp;00:00:00</v>
      </c>
      <c r="M77" s="13" t="str">
        <f t="shared" si="3"/>
        <v>2018/05/11&amp;23:59:59</v>
      </c>
      <c r="N77" s="3">
        <v>1</v>
      </c>
      <c r="O77" s="3">
        <v>1</v>
      </c>
      <c r="P77" s="3">
        <v>0</v>
      </c>
      <c r="Q77" s="5">
        <f>VLOOKUP(表1_3[[#This Row],[名称]],[1]!表1[#Data],18,FALSE)*10</f>
        <v>2.7</v>
      </c>
      <c r="R77" s="11" t="s">
        <v>58</v>
      </c>
      <c r="S77" s="15" t="s">
        <v>65</v>
      </c>
    </row>
    <row r="78" spans="1:19" x14ac:dyDescent="0.15">
      <c r="A78" s="3">
        <v>10073</v>
      </c>
      <c r="B78" s="5">
        <f>VLOOKUP(表1_3[[#This Row],[名称]],[1]!表1[#Data],3,FALSE)</f>
        <v>9056</v>
      </c>
      <c r="C78" s="5">
        <f>VLOOKUP(表1_3[[#This Row],[名称]],[1]!表1[#Data],4,FALSE)</f>
        <v>9477</v>
      </c>
      <c r="D78" s="5" t="str">
        <f>"gift_"&amp;表1_3[[#This Row],[价格]]</f>
        <v>gift_2</v>
      </c>
      <c r="E78" s="5" t="str">
        <f>"gift_"&amp;表1_3[[#This Row],[价格]]</f>
        <v>gift_2</v>
      </c>
      <c r="F78" s="3" t="s">
        <v>40</v>
      </c>
      <c r="G78" s="3" t="str">
        <f>"[[""r002"","&amp;表1_3[[#This Row],[价格]]&amp;"]]"</f>
        <v>[["r002",2]]</v>
      </c>
      <c r="H78" s="12">
        <f>INT(VLOOKUP(表1_3[[#This Row],[名称]],[1]!表1[#Data],5,FALSE)/6)</f>
        <v>2</v>
      </c>
      <c r="I78" s="5" t="str">
        <f>VLOOKUP(表1_3[[#This Row],[名称]],[1]!表1[#Data],19,FALSE)</f>
        <v>[["i001",200000],["i002",200],["i400",2],["i220",10]]</v>
      </c>
      <c r="J78" s="3">
        <v>1</v>
      </c>
      <c r="K78" s="3">
        <v>1</v>
      </c>
      <c r="L78" s="3" t="str">
        <f t="shared" si="2"/>
        <v>2018/05/12&amp;00:00:00</v>
      </c>
      <c r="M78" s="13" t="str">
        <f t="shared" si="3"/>
        <v>2018/05/12&amp;23:59:59</v>
      </c>
      <c r="N78" s="3">
        <v>1</v>
      </c>
      <c r="O78" s="3">
        <v>1</v>
      </c>
      <c r="P78" s="3">
        <v>0</v>
      </c>
      <c r="Q78" s="5">
        <f>VLOOKUP(表1_3[[#This Row],[名称]],[1]!表1[#Data],18,FALSE)*10</f>
        <v>3.8</v>
      </c>
      <c r="R78" s="3" t="s">
        <v>41</v>
      </c>
      <c r="S78" s="15" t="s">
        <v>66</v>
      </c>
    </row>
    <row r="79" spans="1:19" x14ac:dyDescent="0.15">
      <c r="A79" s="3">
        <v>10074</v>
      </c>
      <c r="B79" s="5">
        <f>VLOOKUP(表1_3[[#This Row],[名称]],[1]!表1[#Data],3,FALSE)</f>
        <v>9072</v>
      </c>
      <c r="C79" s="5">
        <f>VLOOKUP(表1_3[[#This Row],[名称]],[1]!表1[#Data],4,FALSE)</f>
        <v>9493</v>
      </c>
      <c r="D79" s="5" t="str">
        <f>"gift_"&amp;表1_3[[#This Row],[价格]]</f>
        <v>gift_3</v>
      </c>
      <c r="E79" s="5" t="str">
        <f>"gift_"&amp;表1_3[[#This Row],[价格]]</f>
        <v>gift_3</v>
      </c>
      <c r="F79" s="3" t="s">
        <v>40</v>
      </c>
      <c r="G79" s="3" t="str">
        <f>"[[""r002"","&amp;表1_3[[#This Row],[价格]]&amp;"]]"</f>
        <v>[["r002",3]]</v>
      </c>
      <c r="H79" s="12">
        <f>INT(VLOOKUP(表1_3[[#This Row],[名称]],[1]!表1[#Data],5,FALSE)/6)</f>
        <v>3</v>
      </c>
      <c r="I79" s="5" t="str">
        <f>VLOOKUP(表1_3[[#This Row],[名称]],[1]!表1[#Data],19,FALSE)</f>
        <v>[["i016",10],["i001",50000],["i400",5],["i004",5]]</v>
      </c>
      <c r="J79" s="3">
        <v>1</v>
      </c>
      <c r="K79" s="3">
        <v>1</v>
      </c>
      <c r="L79" s="3" t="str">
        <f t="shared" si="2"/>
        <v>2018/05/13&amp;00:00:00</v>
      </c>
      <c r="M79" s="13" t="str">
        <f t="shared" si="3"/>
        <v>2018/05/13&amp;23:59:59</v>
      </c>
      <c r="N79" s="3">
        <v>1</v>
      </c>
      <c r="O79" s="3">
        <v>1</v>
      </c>
      <c r="P79" s="3">
        <v>0</v>
      </c>
      <c r="Q79" s="5">
        <f>VLOOKUP(表1_3[[#This Row],[名称]],[1]!表1[#Data],18,FALSE)*10</f>
        <v>1.5</v>
      </c>
      <c r="R79" s="11" t="s">
        <v>61</v>
      </c>
      <c r="S79" s="15" t="s">
        <v>67</v>
      </c>
    </row>
    <row r="80" spans="1:19" x14ac:dyDescent="0.15">
      <c r="A80" s="3">
        <v>10075</v>
      </c>
      <c r="B80" s="5">
        <f>VLOOKUP(表1_3[[#This Row],[名称]],[1]!表1[#Data],3,FALSE)</f>
        <v>9055</v>
      </c>
      <c r="C80" s="5">
        <f>VLOOKUP(表1_3[[#This Row],[名称]],[1]!表1[#Data],4,FALSE)</f>
        <v>9476</v>
      </c>
      <c r="D80" s="5" t="str">
        <f>"gift_"&amp;表1_3[[#This Row],[价格]]</f>
        <v>gift_1</v>
      </c>
      <c r="E80" s="5" t="str">
        <f>"gift_"&amp;表1_3[[#This Row],[价格]]</f>
        <v>gift_1</v>
      </c>
      <c r="F80" s="3" t="s">
        <v>40</v>
      </c>
      <c r="G80" s="3" t="str">
        <f>"[[""r002"","&amp;表1_3[[#This Row],[价格]]&amp;"]]"</f>
        <v>[["r002",1]]</v>
      </c>
      <c r="H80" s="12">
        <f>INT(VLOOKUP(表1_3[[#This Row],[名称]],[1]!表1[#Data],5,FALSE)/6)</f>
        <v>1</v>
      </c>
      <c r="I80" s="5" t="str">
        <f>VLOOKUP(表1_3[[#This Row],[名称]],[1]!表1[#Data],19,FALSE)</f>
        <v>[["i011",50],["i001",100000],["i004",1],["i015",1]]</v>
      </c>
      <c r="J80" s="3">
        <v>1</v>
      </c>
      <c r="K80" s="3">
        <v>1</v>
      </c>
      <c r="L80" s="3" t="str">
        <f t="shared" si="2"/>
        <v>2018/05/14&amp;00:00:00</v>
      </c>
      <c r="M80" s="13" t="str">
        <f t="shared" si="3"/>
        <v>2018/05/14&amp;23:59:59</v>
      </c>
      <c r="N80" s="3">
        <v>1</v>
      </c>
      <c r="O80" s="3">
        <v>1</v>
      </c>
      <c r="P80" s="3">
        <v>0</v>
      </c>
      <c r="Q80" s="5">
        <f>VLOOKUP(表1_3[[#This Row],[名称]],[1]!表1[#Data],18,FALSE)*10</f>
        <v>2.4</v>
      </c>
      <c r="R80" s="11" t="s">
        <v>60</v>
      </c>
      <c r="S80" s="15" t="s">
        <v>68</v>
      </c>
    </row>
    <row r="81" spans="1:19" x14ac:dyDescent="0.15">
      <c r="A81" s="3">
        <v>10076</v>
      </c>
      <c r="B81" s="5">
        <f>VLOOKUP(表1_3[[#This Row],[名称]],[1]!表1[#Data],3,FALSE)</f>
        <v>9055</v>
      </c>
      <c r="C81" s="5">
        <f>VLOOKUP(表1_3[[#This Row],[名称]],[1]!表1[#Data],4,FALSE)</f>
        <v>9476</v>
      </c>
      <c r="D81" s="5" t="str">
        <f>"gift_"&amp;表1_3[[#This Row],[价格]]</f>
        <v>gift_1</v>
      </c>
      <c r="E81" s="5" t="str">
        <f>"gift_"&amp;表1_3[[#This Row],[价格]]</f>
        <v>gift_1</v>
      </c>
      <c r="F81" s="3" t="s">
        <v>40</v>
      </c>
      <c r="G81" s="3" t="str">
        <f>"[[""r002"","&amp;表1_3[[#This Row],[价格]]&amp;"]]"</f>
        <v>[["r002",1]]</v>
      </c>
      <c r="H81" s="12">
        <f>INT(VLOOKUP(表1_3[[#This Row],[名称]],[1]!表1[#Data],5,FALSE)/6)</f>
        <v>1</v>
      </c>
      <c r="I81" s="5" t="str">
        <f>VLOOKUP(表1_3[[#This Row],[名称]],[1]!表1[#Data],19,FALSE)</f>
        <v>[["i006",25],["i001",50000],["i004",1],["i015",1]]</v>
      </c>
      <c r="J81" s="3">
        <v>1</v>
      </c>
      <c r="K81" s="3">
        <v>1</v>
      </c>
      <c r="L81" s="3" t="str">
        <f t="shared" si="2"/>
        <v>2018/05/15&amp;00:00:00</v>
      </c>
      <c r="M81" s="13" t="str">
        <f t="shared" si="3"/>
        <v>2018/05/15&amp;23:59:59</v>
      </c>
      <c r="N81" s="3">
        <v>1</v>
      </c>
      <c r="O81" s="3">
        <v>1</v>
      </c>
      <c r="P81" s="3">
        <v>0</v>
      </c>
      <c r="Q81" s="5">
        <f>VLOOKUP(表1_3[[#This Row],[名称]],[1]!表1[#Data],18,FALSE)*10</f>
        <v>1.9</v>
      </c>
      <c r="R81" s="11" t="s">
        <v>59</v>
      </c>
      <c r="S81" s="15" t="s">
        <v>69</v>
      </c>
    </row>
    <row r="82" spans="1:19" x14ac:dyDescent="0.15">
      <c r="A82" s="3">
        <v>10077</v>
      </c>
      <c r="B82" s="5">
        <f>VLOOKUP(表1_3[[#This Row],[名称]],[1]!表1[#Data],3,FALSE)</f>
        <v>9056</v>
      </c>
      <c r="C82" s="5">
        <f>VLOOKUP(表1_3[[#This Row],[名称]],[1]!表1[#Data],4,FALSE)</f>
        <v>9477</v>
      </c>
      <c r="D82" s="5" t="str">
        <f>"gift_"&amp;表1_3[[#This Row],[价格]]</f>
        <v>gift_2</v>
      </c>
      <c r="E82" s="5" t="str">
        <f>"gift_"&amp;表1_3[[#This Row],[价格]]</f>
        <v>gift_2</v>
      </c>
      <c r="F82" s="3" t="s">
        <v>40</v>
      </c>
      <c r="G82" s="3" t="str">
        <f>"[[""r002"","&amp;表1_3[[#This Row],[价格]]&amp;"]]"</f>
        <v>[["r002",2]]</v>
      </c>
      <c r="H82" s="12">
        <f>INT(VLOOKUP(表1_3[[#This Row],[名称]],[1]!表1[#Data],5,FALSE)/6)</f>
        <v>2</v>
      </c>
      <c r="I82" s="5" t="str">
        <f>VLOOKUP(表1_3[[#This Row],[名称]],[1]!表1[#Data],19,FALSE)</f>
        <v>[["i240",180],["i002",150],["i001",50000],["i220",5]]</v>
      </c>
      <c r="J82" s="3">
        <v>1</v>
      </c>
      <c r="K82" s="3">
        <v>1</v>
      </c>
      <c r="L82" s="3" t="str">
        <f t="shared" si="2"/>
        <v>2018/05/16&amp;00:00:00</v>
      </c>
      <c r="M82" s="13" t="str">
        <f t="shared" si="3"/>
        <v>2018/05/16&amp;23:59:59</v>
      </c>
      <c r="N82" s="3">
        <v>1</v>
      </c>
      <c r="O82" s="3">
        <v>1</v>
      </c>
      <c r="P82" s="3">
        <v>0</v>
      </c>
      <c r="Q82" s="5">
        <f>VLOOKUP(表1_3[[#This Row],[名称]],[1]!表1[#Data],18,FALSE)*10</f>
        <v>2.5</v>
      </c>
      <c r="R82" s="11" t="s">
        <v>56</v>
      </c>
      <c r="S82" s="15" t="s">
        <v>70</v>
      </c>
    </row>
    <row r="83" spans="1:19" x14ac:dyDescent="0.15">
      <c r="A83" s="3">
        <v>10078</v>
      </c>
      <c r="B83" s="5">
        <f>VLOOKUP(表1_3[[#This Row],[名称]],[1]!表1[#Data],3,FALSE)</f>
        <v>9072</v>
      </c>
      <c r="C83" s="5">
        <f>VLOOKUP(表1_3[[#This Row],[名称]],[1]!表1[#Data],4,FALSE)</f>
        <v>9493</v>
      </c>
      <c r="D83" s="5" t="str">
        <f>"gift_"&amp;表1_3[[#This Row],[价格]]</f>
        <v>gift_3</v>
      </c>
      <c r="E83" s="5" t="str">
        <f>"gift_"&amp;表1_3[[#This Row],[价格]]</f>
        <v>gift_3</v>
      </c>
      <c r="F83" s="3" t="s">
        <v>40</v>
      </c>
      <c r="G83" s="3" t="str">
        <f>"[[""r002"","&amp;表1_3[[#This Row],[价格]]&amp;"]]"</f>
        <v>[["r002",3]]</v>
      </c>
      <c r="H83" s="12">
        <f>INT(VLOOKUP(表1_3[[#This Row],[名称]],[1]!表1[#Data],5,FALSE)/6)</f>
        <v>3</v>
      </c>
      <c r="I83" s="5" t="str">
        <f>VLOOKUP(表1_3[[#This Row],[名称]],[1]!表1[#Data],19,FALSE)</f>
        <v>[["i001",300000],["i002",300],["i015",1],["i400",2]]</v>
      </c>
      <c r="J83" s="3">
        <v>1</v>
      </c>
      <c r="K83" s="3">
        <v>1</v>
      </c>
      <c r="L83" s="3" t="str">
        <f t="shared" si="2"/>
        <v>2018/05/17&amp;00:00:00</v>
      </c>
      <c r="M83" s="13" t="str">
        <f t="shared" si="3"/>
        <v>2018/05/17&amp;23:59:59</v>
      </c>
      <c r="N83" s="3">
        <v>1</v>
      </c>
      <c r="O83" s="3">
        <v>1</v>
      </c>
      <c r="P83" s="3">
        <v>0</v>
      </c>
      <c r="Q83" s="5">
        <f>VLOOKUP(表1_3[[#This Row],[名称]],[1]!表1[#Data],18,FALSE)*10</f>
        <v>4</v>
      </c>
      <c r="R83" s="3" t="s">
        <v>42</v>
      </c>
      <c r="S83" s="15" t="s">
        <v>71</v>
      </c>
    </row>
    <row r="84" spans="1:19" x14ac:dyDescent="0.15">
      <c r="A84" s="3">
        <v>10079</v>
      </c>
      <c r="B84" s="5">
        <f>VLOOKUP(表1_3[[#This Row],[名称]],[1]!表1[#Data],3,FALSE)</f>
        <v>9055</v>
      </c>
      <c r="C84" s="5">
        <f>VLOOKUP(表1_3[[#This Row],[名称]],[1]!表1[#Data],4,FALSE)</f>
        <v>9476</v>
      </c>
      <c r="D84" s="5" t="str">
        <f>"gift_"&amp;表1_3[[#This Row],[价格]]</f>
        <v>gift_1</v>
      </c>
      <c r="E84" s="5" t="str">
        <f>"gift_"&amp;表1_3[[#This Row],[价格]]</f>
        <v>gift_1</v>
      </c>
      <c r="F84" s="3" t="s">
        <v>40</v>
      </c>
      <c r="G84" s="3" t="str">
        <f>"[[""r002"","&amp;表1_3[[#This Row],[价格]]&amp;"]]"</f>
        <v>[["r002",1]]</v>
      </c>
      <c r="H84" s="12">
        <f>INT(VLOOKUP(表1_3[[#This Row],[名称]],[1]!表1[#Data],5,FALSE)/6)</f>
        <v>1</v>
      </c>
      <c r="I84" s="5" t="str">
        <f>VLOOKUP(表1_3[[#This Row],[名称]],[1]!表1[#Data],19,FALSE)</f>
        <v>[["i400",20],["i002",50],["i015",1],["i220",2]]</v>
      </c>
      <c r="J84" s="3">
        <v>1</v>
      </c>
      <c r="K84" s="3">
        <v>1</v>
      </c>
      <c r="L84" s="3" t="str">
        <f t="shared" si="2"/>
        <v>2018/05/18&amp;00:00:00</v>
      </c>
      <c r="M84" s="13" t="str">
        <f t="shared" si="3"/>
        <v>2018/05/18&amp;23:59:59</v>
      </c>
      <c r="N84" s="3">
        <v>1</v>
      </c>
      <c r="O84" s="3">
        <v>1</v>
      </c>
      <c r="P84" s="3">
        <v>0</v>
      </c>
      <c r="Q84" s="5">
        <f>VLOOKUP(表1_3[[#This Row],[名称]],[1]!表1[#Data],18,FALSE)*10</f>
        <v>1.9</v>
      </c>
      <c r="R84" s="11" t="s">
        <v>57</v>
      </c>
      <c r="S84" s="15" t="s">
        <v>72</v>
      </c>
    </row>
    <row r="85" spans="1:19" x14ac:dyDescent="0.15">
      <c r="A85" s="3">
        <v>10080</v>
      </c>
      <c r="B85" s="5">
        <f>VLOOKUP(表1_3[[#This Row],[名称]],[1]!表1[#Data],3,FALSE)</f>
        <v>9067</v>
      </c>
      <c r="C85" s="5">
        <f>VLOOKUP(表1_3[[#This Row],[名称]],[1]!表1[#Data],4,FALSE)</f>
        <v>9488</v>
      </c>
      <c r="D85" s="5" t="str">
        <f>"gift_"&amp;表1_3[[#This Row],[价格]]</f>
        <v>gift_5</v>
      </c>
      <c r="E85" s="5" t="str">
        <f>"gift_"&amp;表1_3[[#This Row],[价格]]</f>
        <v>gift_5</v>
      </c>
      <c r="F85" s="3" t="s">
        <v>40</v>
      </c>
      <c r="G85" s="3" t="str">
        <f>"[[""r002"","&amp;表1_3[[#This Row],[价格]]&amp;"]]"</f>
        <v>[["r002",5]]</v>
      </c>
      <c r="H85" s="12">
        <f>INT(VLOOKUP(表1_3[[#This Row],[名称]],[1]!表1[#Data],5,FALSE)/6)</f>
        <v>5</v>
      </c>
      <c r="I85" s="5" t="str">
        <f>VLOOKUP(表1_3[[#This Row],[名称]],[1]!表1[#Data],19,FALSE)</f>
        <v>[["i001",400000],["i002",400],["i015",1],["i006",5]]</v>
      </c>
      <c r="J85" s="3">
        <v>1</v>
      </c>
      <c r="K85" s="3">
        <v>1</v>
      </c>
      <c r="L85" s="3" t="str">
        <f t="shared" si="2"/>
        <v>2018/05/19&amp;00:00:00</v>
      </c>
      <c r="M85" s="13" t="str">
        <f t="shared" si="3"/>
        <v>2018/05/19&amp;23:59:59</v>
      </c>
      <c r="N85" s="3">
        <v>1</v>
      </c>
      <c r="O85" s="3">
        <v>1</v>
      </c>
      <c r="P85" s="3">
        <v>0</v>
      </c>
      <c r="Q85" s="5">
        <f>VLOOKUP(表1_3[[#This Row],[名称]],[1]!表1[#Data],18,FALSE)*10</f>
        <v>3.8</v>
      </c>
      <c r="R85" s="3" t="s">
        <v>43</v>
      </c>
      <c r="S85" s="15" t="s">
        <v>73</v>
      </c>
    </row>
    <row r="86" spans="1:19" x14ac:dyDescent="0.15">
      <c r="A86" s="3">
        <v>10081</v>
      </c>
      <c r="B86" s="5">
        <f>VLOOKUP(表1_3[[#This Row],[名称]],[1]!表1[#Data],3,FALSE)</f>
        <v>9075</v>
      </c>
      <c r="C86" s="5">
        <f>VLOOKUP(表1_3[[#This Row],[名称]],[1]!表1[#Data],4,FALSE)</f>
        <v>9496</v>
      </c>
      <c r="D86" s="5" t="str">
        <f>"gift_"&amp;表1_3[[#This Row],[价格]]</f>
        <v>gift_7</v>
      </c>
      <c r="E86" s="5" t="str">
        <f>"gift_"&amp;表1_3[[#This Row],[价格]]</f>
        <v>gift_7</v>
      </c>
      <c r="F86" s="3" t="s">
        <v>40</v>
      </c>
      <c r="G86" s="3" t="str">
        <f>"[[""r002"","&amp;表1_3[[#This Row],[价格]]&amp;"]]"</f>
        <v>[["r002",7]]</v>
      </c>
      <c r="H86" s="12">
        <f>INT(VLOOKUP(表1_3[[#This Row],[名称]],[1]!表1[#Data],5,FALSE)/6)</f>
        <v>7</v>
      </c>
      <c r="I86" s="5" t="str">
        <f>VLOOKUP(表1_3[[#This Row],[名称]],[1]!表1[#Data],19,FALSE)</f>
        <v>[["i017",8],["i002",100],["i004",10],["i006",10]]</v>
      </c>
      <c r="J86" s="3">
        <v>1</v>
      </c>
      <c r="K86" s="3">
        <v>1</v>
      </c>
      <c r="L86" s="3" t="str">
        <f t="shared" si="2"/>
        <v>2018/05/20&amp;00:00:00</v>
      </c>
      <c r="M86" s="13" t="str">
        <f t="shared" si="3"/>
        <v>2018/05/20&amp;23:59:59</v>
      </c>
      <c r="N86" s="3">
        <v>1</v>
      </c>
      <c r="O86" s="3">
        <v>1</v>
      </c>
      <c r="P86" s="3">
        <v>0</v>
      </c>
      <c r="Q86" s="5">
        <f>VLOOKUP(表1_3[[#This Row],[名称]],[1]!表1[#Data],18,FALSE)*10</f>
        <v>1</v>
      </c>
      <c r="R86" s="11" t="s">
        <v>62</v>
      </c>
      <c r="S86" s="15" t="s">
        <v>74</v>
      </c>
    </row>
    <row r="87" spans="1:19" x14ac:dyDescent="0.15">
      <c r="A87" s="3">
        <v>10082</v>
      </c>
      <c r="B87" s="5">
        <f>VLOOKUP(表1_3[[#This Row],[名称]],[1]!表1[#Data],3,FALSE)</f>
        <v>9055</v>
      </c>
      <c r="C87" s="5">
        <f>VLOOKUP(表1_3[[#This Row],[名称]],[1]!表1[#Data],4,FALSE)</f>
        <v>9476</v>
      </c>
      <c r="D87" s="5" t="str">
        <f>"gift_"&amp;表1_3[[#This Row],[价格]]</f>
        <v>gift_1</v>
      </c>
      <c r="E87" s="5" t="str">
        <f>"gift_"&amp;表1_3[[#This Row],[价格]]</f>
        <v>gift_1</v>
      </c>
      <c r="F87" s="3" t="s">
        <v>40</v>
      </c>
      <c r="G87" s="3" t="str">
        <f>"[[""r002"","&amp;表1_3[[#This Row],[价格]]&amp;"]]"</f>
        <v>[["r002",1]]</v>
      </c>
      <c r="H87" s="12">
        <f>INT(VLOOKUP(表1_3[[#This Row],[名称]],[1]!表1[#Data],5,FALSE)/6)</f>
        <v>1</v>
      </c>
      <c r="I87" s="5" t="str">
        <f>VLOOKUP(表1_3[[#This Row],[名称]],[1]!表1[#Data],19,FALSE)</f>
        <v>[["i215",10],["i002",50],["i004",1],["i240",20]]</v>
      </c>
      <c r="J87" s="3">
        <v>1</v>
      </c>
      <c r="K87" s="3">
        <v>1</v>
      </c>
      <c r="L87" s="3" t="str">
        <f t="shared" si="2"/>
        <v>2018/05/21&amp;00:00:00</v>
      </c>
      <c r="M87" s="13" t="str">
        <f t="shared" si="3"/>
        <v>2018/05/21&amp;23:59:59</v>
      </c>
      <c r="N87" s="3">
        <v>1</v>
      </c>
      <c r="O87" s="3">
        <v>1</v>
      </c>
      <c r="P87" s="3">
        <v>0</v>
      </c>
      <c r="Q87" s="5">
        <f>VLOOKUP(表1_3[[#This Row],[名称]],[1]!表1[#Data],18,FALSE)*10</f>
        <v>2.7</v>
      </c>
      <c r="R87" s="11" t="s">
        <v>58</v>
      </c>
      <c r="S87" s="15" t="s">
        <v>65</v>
      </c>
    </row>
    <row r="88" spans="1:19" x14ac:dyDescent="0.15">
      <c r="A88" s="3">
        <v>10083</v>
      </c>
      <c r="B88" s="5">
        <f>VLOOKUP(表1_3[[#This Row],[名称]],[1]!表1[#Data],3,FALSE)</f>
        <v>9055</v>
      </c>
      <c r="C88" s="5">
        <f>VLOOKUP(表1_3[[#This Row],[名称]],[1]!表1[#Data],4,FALSE)</f>
        <v>9476</v>
      </c>
      <c r="D88" s="5" t="str">
        <f>"gift_"&amp;表1_3[[#This Row],[价格]]</f>
        <v>gift_1</v>
      </c>
      <c r="E88" s="5" t="str">
        <f>"gift_"&amp;表1_3[[#This Row],[价格]]</f>
        <v>gift_1</v>
      </c>
      <c r="F88" s="3" t="s">
        <v>40</v>
      </c>
      <c r="G88" s="3" t="str">
        <f>"[[""r002"","&amp;表1_3[[#This Row],[价格]]&amp;"]]"</f>
        <v>[["r002",1]]</v>
      </c>
      <c r="H88" s="12">
        <f>INT(VLOOKUP(表1_3[[#This Row],[名称]],[1]!表1[#Data],5,FALSE)/6)</f>
        <v>1</v>
      </c>
      <c r="I88" s="5" t="str">
        <f>VLOOKUP(表1_3[[#This Row],[名称]],[1]!表1[#Data],19,FALSE)</f>
        <v>[["i006",25],["i001",50000],["i004",1],["i015",1]]</v>
      </c>
      <c r="J88" s="3">
        <v>1</v>
      </c>
      <c r="K88" s="3">
        <v>1</v>
      </c>
      <c r="L88" s="3" t="str">
        <f t="shared" si="2"/>
        <v>2018/05/22&amp;00:00:00</v>
      </c>
      <c r="M88" s="13" t="str">
        <f t="shared" si="3"/>
        <v>2018/05/22&amp;23:59:59</v>
      </c>
      <c r="N88" s="3">
        <v>1</v>
      </c>
      <c r="O88" s="3">
        <v>1</v>
      </c>
      <c r="P88" s="3">
        <v>0</v>
      </c>
      <c r="Q88" s="5">
        <f>VLOOKUP(表1_3[[#This Row],[名称]],[1]!表1[#Data],18,FALSE)*10</f>
        <v>1.9</v>
      </c>
      <c r="R88" s="11" t="s">
        <v>59</v>
      </c>
      <c r="S88" s="15" t="s">
        <v>69</v>
      </c>
    </row>
    <row r="89" spans="1:19" x14ac:dyDescent="0.15">
      <c r="A89" s="3">
        <v>10084</v>
      </c>
      <c r="B89" s="5">
        <f>VLOOKUP(表1_3[[#This Row],[名称]],[1]!表1[#Data],3,FALSE)</f>
        <v>9055</v>
      </c>
      <c r="C89" s="5">
        <f>VLOOKUP(表1_3[[#This Row],[名称]],[1]!表1[#Data],4,FALSE)</f>
        <v>9476</v>
      </c>
      <c r="D89" s="5" t="str">
        <f>"gift_"&amp;表1_3[[#This Row],[价格]]</f>
        <v>gift_1</v>
      </c>
      <c r="E89" s="5" t="str">
        <f>"gift_"&amp;表1_3[[#This Row],[价格]]</f>
        <v>gift_1</v>
      </c>
      <c r="F89" s="3" t="s">
        <v>40</v>
      </c>
      <c r="G89" s="3" t="str">
        <f>"[[""r002"","&amp;表1_3[[#This Row],[价格]]&amp;"]]"</f>
        <v>[["r002",1]]</v>
      </c>
      <c r="H89" s="12">
        <f>INT(VLOOKUP(表1_3[[#This Row],[名称]],[1]!表1[#Data],5,FALSE)/6)</f>
        <v>1</v>
      </c>
      <c r="I89" s="5" t="str">
        <f>VLOOKUP(表1_3[[#This Row],[名称]],[1]!表1[#Data],19,FALSE)</f>
        <v>[["i006",25],["i001",50000],["i004",1],["i015",1]]</v>
      </c>
      <c r="J89" s="3">
        <v>1</v>
      </c>
      <c r="K89" s="3">
        <v>1</v>
      </c>
      <c r="L89" s="3" t="str">
        <f t="shared" si="2"/>
        <v>2018/05/23&amp;00:00:00</v>
      </c>
      <c r="M89" s="13" t="str">
        <f t="shared" si="3"/>
        <v>2018/05/23&amp;23:59:59</v>
      </c>
      <c r="N89" s="3">
        <v>1</v>
      </c>
      <c r="O89" s="3">
        <v>1</v>
      </c>
      <c r="P89" s="3">
        <v>0</v>
      </c>
      <c r="Q89" s="5">
        <f>VLOOKUP(表1_3[[#This Row],[名称]],[1]!表1[#Data],18,FALSE)*10</f>
        <v>1.9</v>
      </c>
      <c r="R89" s="11" t="s">
        <v>59</v>
      </c>
      <c r="S89" s="15" t="s">
        <v>69</v>
      </c>
    </row>
    <row r="90" spans="1:19" x14ac:dyDescent="0.15">
      <c r="A90" s="3">
        <v>10085</v>
      </c>
      <c r="B90" s="5">
        <f>VLOOKUP(表1_3[[#This Row],[名称]],[1]!表1[#Data],3,FALSE)</f>
        <v>9055</v>
      </c>
      <c r="C90" s="5">
        <f>VLOOKUP(表1_3[[#This Row],[名称]],[1]!表1[#Data],4,FALSE)</f>
        <v>9476</v>
      </c>
      <c r="D90" s="5" t="str">
        <f>"gift_"&amp;表1_3[[#This Row],[价格]]</f>
        <v>gift_1</v>
      </c>
      <c r="E90" s="5" t="str">
        <f>"gift_"&amp;表1_3[[#This Row],[价格]]</f>
        <v>gift_1</v>
      </c>
      <c r="F90" s="3" t="s">
        <v>40</v>
      </c>
      <c r="G90" s="3" t="str">
        <f>"[[""r002"","&amp;表1_3[[#This Row],[价格]]&amp;"]]"</f>
        <v>[["r002",1]]</v>
      </c>
      <c r="H90" s="12">
        <f>INT(VLOOKUP(表1_3[[#This Row],[名称]],[1]!表1[#Data],5,FALSE)/6)</f>
        <v>1</v>
      </c>
      <c r="I90" s="5" t="str">
        <f>VLOOKUP(表1_3[[#This Row],[名称]],[1]!表1[#Data],19,FALSE)</f>
        <v>[["i215",10],["i002",50],["i004",1],["i240",20]]</v>
      </c>
      <c r="J90" s="3">
        <v>1</v>
      </c>
      <c r="K90" s="3">
        <v>1</v>
      </c>
      <c r="L90" s="3" t="str">
        <f t="shared" si="2"/>
        <v>2018/05/24&amp;00:00:00</v>
      </c>
      <c r="M90" s="13" t="str">
        <f t="shared" si="3"/>
        <v>2018/05/24&amp;23:59:59</v>
      </c>
      <c r="N90" s="3">
        <v>1</v>
      </c>
      <c r="O90" s="3">
        <v>1</v>
      </c>
      <c r="P90" s="3">
        <v>0</v>
      </c>
      <c r="Q90" s="5">
        <f>VLOOKUP(表1_3[[#This Row],[名称]],[1]!表1[#Data],18,FALSE)*10</f>
        <v>2.7</v>
      </c>
      <c r="R90" s="11" t="s">
        <v>58</v>
      </c>
      <c r="S90" s="15" t="s">
        <v>65</v>
      </c>
    </row>
    <row r="91" spans="1:19" x14ac:dyDescent="0.15">
      <c r="A91" s="3">
        <v>10086</v>
      </c>
      <c r="B91" s="5">
        <f>VLOOKUP(表1_3[[#This Row],[名称]],[1]!表1[#Data],3,FALSE)</f>
        <v>9075</v>
      </c>
      <c r="C91" s="5">
        <f>VLOOKUP(表1_3[[#This Row],[名称]],[1]!表1[#Data],4,FALSE)</f>
        <v>9496</v>
      </c>
      <c r="D91" s="5" t="str">
        <f>"gift_"&amp;表1_3[[#This Row],[价格]]</f>
        <v>gift_7</v>
      </c>
      <c r="E91" s="5" t="str">
        <f>"gift_"&amp;表1_3[[#This Row],[价格]]</f>
        <v>gift_7</v>
      </c>
      <c r="F91" s="3" t="s">
        <v>40</v>
      </c>
      <c r="G91" s="3" t="str">
        <f>"[[""r002"","&amp;表1_3[[#This Row],[价格]]&amp;"]]"</f>
        <v>[["r002",7]]</v>
      </c>
      <c r="H91" s="12">
        <f>INT(VLOOKUP(表1_3[[#This Row],[名称]],[1]!表1[#Data],5,FALSE)/6)</f>
        <v>7</v>
      </c>
      <c r="I91" s="5" t="str">
        <f>VLOOKUP(表1_3[[#This Row],[名称]],[1]!表1[#Data],19,FALSE)</f>
        <v>[["i017",8],["i002",100],["i004",10],["i006",10]]</v>
      </c>
      <c r="J91" s="3">
        <v>1</v>
      </c>
      <c r="K91" s="3">
        <v>1</v>
      </c>
      <c r="L91" s="3" t="str">
        <f t="shared" si="2"/>
        <v>2018/05/25&amp;00:00:00</v>
      </c>
      <c r="M91" s="13" t="str">
        <f t="shared" si="3"/>
        <v>2018/05/25&amp;23:59:59</v>
      </c>
      <c r="N91" s="3">
        <v>1</v>
      </c>
      <c r="O91" s="3">
        <v>1</v>
      </c>
      <c r="P91" s="3">
        <v>0</v>
      </c>
      <c r="Q91" s="5">
        <f>VLOOKUP(表1_3[[#This Row],[名称]],[1]!表1[#Data],18,FALSE)*10</f>
        <v>1</v>
      </c>
      <c r="R91" s="11" t="s">
        <v>62</v>
      </c>
      <c r="S91" s="15" t="s">
        <v>74</v>
      </c>
    </row>
    <row r="92" spans="1:19" x14ac:dyDescent="0.15">
      <c r="A92" s="3">
        <v>10087</v>
      </c>
      <c r="B92" s="5">
        <f>VLOOKUP(表1_3[[#This Row],[名称]],[1]!表1[#Data],3,FALSE)</f>
        <v>9067</v>
      </c>
      <c r="C92" s="5">
        <f>VLOOKUP(表1_3[[#This Row],[名称]],[1]!表1[#Data],4,FALSE)</f>
        <v>9488</v>
      </c>
      <c r="D92" s="5" t="str">
        <f>"gift_"&amp;表1_3[[#This Row],[价格]]</f>
        <v>gift_5</v>
      </c>
      <c r="E92" s="5" t="str">
        <f>"gift_"&amp;表1_3[[#This Row],[价格]]</f>
        <v>gift_5</v>
      </c>
      <c r="F92" s="3" t="s">
        <v>40</v>
      </c>
      <c r="G92" s="3" t="str">
        <f>"[[""r002"","&amp;表1_3[[#This Row],[价格]]&amp;"]]"</f>
        <v>[["r002",5]]</v>
      </c>
      <c r="H92" s="12">
        <f>INT(VLOOKUP(表1_3[[#This Row],[名称]],[1]!表1[#Data],5,FALSE)/6)</f>
        <v>5</v>
      </c>
      <c r="I92" s="5" t="str">
        <f>VLOOKUP(表1_3[[#This Row],[名称]],[1]!表1[#Data],19,FALSE)</f>
        <v>[["i001",400000],["i002",400],["i015",1],["i006",5]]</v>
      </c>
      <c r="J92" s="3">
        <v>1</v>
      </c>
      <c r="K92" s="3">
        <v>1</v>
      </c>
      <c r="L92" s="3" t="str">
        <f t="shared" si="2"/>
        <v>2018/05/26&amp;00:00:00</v>
      </c>
      <c r="M92" s="13" t="str">
        <f t="shared" si="3"/>
        <v>2018/05/26&amp;23:59:59</v>
      </c>
      <c r="N92" s="3">
        <v>1</v>
      </c>
      <c r="O92" s="3">
        <v>1</v>
      </c>
      <c r="P92" s="3">
        <v>0</v>
      </c>
      <c r="Q92" s="5">
        <f>VLOOKUP(表1_3[[#This Row],[名称]],[1]!表1[#Data],18,FALSE)*10</f>
        <v>3.8</v>
      </c>
      <c r="R92" s="3" t="s">
        <v>43</v>
      </c>
      <c r="S92" s="15" t="s">
        <v>73</v>
      </c>
    </row>
    <row r="93" spans="1:19" x14ac:dyDescent="0.15">
      <c r="A93" s="3">
        <v>10088</v>
      </c>
      <c r="B93" s="5">
        <f>VLOOKUP(表1_3[[#This Row],[名称]],[1]!表1[#Data],3,FALSE)</f>
        <v>9055</v>
      </c>
      <c r="C93" s="5">
        <f>VLOOKUP(表1_3[[#This Row],[名称]],[1]!表1[#Data],4,FALSE)</f>
        <v>9476</v>
      </c>
      <c r="D93" s="5" t="str">
        <f>"gift_"&amp;表1_3[[#This Row],[价格]]</f>
        <v>gift_1</v>
      </c>
      <c r="E93" s="5" t="str">
        <f>"gift_"&amp;表1_3[[#This Row],[价格]]</f>
        <v>gift_1</v>
      </c>
      <c r="F93" s="3" t="s">
        <v>40</v>
      </c>
      <c r="G93" s="3" t="str">
        <f>"[[""r002"","&amp;表1_3[[#This Row],[价格]]&amp;"]]"</f>
        <v>[["r002",1]]</v>
      </c>
      <c r="H93" s="12">
        <f>INT(VLOOKUP(表1_3[[#This Row],[名称]],[1]!表1[#Data],5,FALSE)/6)</f>
        <v>1</v>
      </c>
      <c r="I93" s="5" t="str">
        <f>VLOOKUP(表1_3[[#This Row],[名称]],[1]!表1[#Data],19,FALSE)</f>
        <v>[["i400",20],["i002",50],["i015",1],["i220",2]]</v>
      </c>
      <c r="J93" s="3">
        <v>1</v>
      </c>
      <c r="K93" s="3">
        <v>1</v>
      </c>
      <c r="L93" s="3" t="str">
        <f t="shared" si="2"/>
        <v>2018/05/27&amp;00:00:00</v>
      </c>
      <c r="M93" s="13" t="str">
        <f t="shared" si="3"/>
        <v>2018/05/27&amp;23:59:59</v>
      </c>
      <c r="N93" s="3">
        <v>1</v>
      </c>
      <c r="O93" s="3">
        <v>1</v>
      </c>
      <c r="P93" s="3">
        <v>0</v>
      </c>
      <c r="Q93" s="5">
        <f>VLOOKUP(表1_3[[#This Row],[名称]],[1]!表1[#Data],18,FALSE)*10</f>
        <v>1.9</v>
      </c>
      <c r="R93" s="11" t="s">
        <v>57</v>
      </c>
      <c r="S93" s="15" t="s">
        <v>72</v>
      </c>
    </row>
    <row r="94" spans="1:19" x14ac:dyDescent="0.15">
      <c r="A94" s="3">
        <v>10089</v>
      </c>
      <c r="B94" s="5">
        <f>VLOOKUP(表1_3[[#This Row],[名称]],[1]!表1[#Data],3,FALSE)</f>
        <v>9072</v>
      </c>
      <c r="C94" s="5">
        <f>VLOOKUP(表1_3[[#This Row],[名称]],[1]!表1[#Data],4,FALSE)</f>
        <v>9493</v>
      </c>
      <c r="D94" s="5" t="str">
        <f>"gift_"&amp;表1_3[[#This Row],[价格]]</f>
        <v>gift_3</v>
      </c>
      <c r="E94" s="5" t="str">
        <f>"gift_"&amp;表1_3[[#This Row],[价格]]</f>
        <v>gift_3</v>
      </c>
      <c r="F94" s="3" t="s">
        <v>40</v>
      </c>
      <c r="G94" s="3" t="str">
        <f>"[[""r002"","&amp;表1_3[[#This Row],[价格]]&amp;"]]"</f>
        <v>[["r002",3]]</v>
      </c>
      <c r="H94" s="12">
        <f>INT(VLOOKUP(表1_3[[#This Row],[名称]],[1]!表1[#Data],5,FALSE)/6)</f>
        <v>3</v>
      </c>
      <c r="I94" s="5" t="str">
        <f>VLOOKUP(表1_3[[#This Row],[名称]],[1]!表1[#Data],19,FALSE)</f>
        <v>[["i001",300000],["i002",300],["i015",1],["i400",2]]</v>
      </c>
      <c r="J94" s="3">
        <v>1</v>
      </c>
      <c r="K94" s="3">
        <v>1</v>
      </c>
      <c r="L94" s="3" t="str">
        <f t="shared" si="2"/>
        <v>2018/05/28&amp;00:00:00</v>
      </c>
      <c r="M94" s="13" t="str">
        <f t="shared" si="3"/>
        <v>2018/05/28&amp;23:59:59</v>
      </c>
      <c r="N94" s="3">
        <v>1</v>
      </c>
      <c r="O94" s="3">
        <v>1</v>
      </c>
      <c r="P94" s="3">
        <v>0</v>
      </c>
      <c r="Q94" s="5">
        <f>VLOOKUP(表1_3[[#This Row],[名称]],[1]!表1[#Data],18,FALSE)*10</f>
        <v>4</v>
      </c>
      <c r="R94" s="3" t="s">
        <v>42</v>
      </c>
      <c r="S94" s="15" t="s">
        <v>71</v>
      </c>
    </row>
    <row r="95" spans="1:19" x14ac:dyDescent="0.15">
      <c r="A95" s="3">
        <v>10090</v>
      </c>
      <c r="B95" s="5">
        <f>VLOOKUP(表1_3[[#This Row],[名称]],[1]!表1[#Data],3,FALSE)</f>
        <v>9056</v>
      </c>
      <c r="C95" s="5">
        <f>VLOOKUP(表1_3[[#This Row],[名称]],[1]!表1[#Data],4,FALSE)</f>
        <v>9477</v>
      </c>
      <c r="D95" s="5" t="str">
        <f>"gift_"&amp;表1_3[[#This Row],[价格]]</f>
        <v>gift_2</v>
      </c>
      <c r="E95" s="5" t="str">
        <f>"gift_"&amp;表1_3[[#This Row],[价格]]</f>
        <v>gift_2</v>
      </c>
      <c r="F95" s="3" t="s">
        <v>40</v>
      </c>
      <c r="G95" s="3" t="str">
        <f>"[[""r002"","&amp;表1_3[[#This Row],[价格]]&amp;"]]"</f>
        <v>[["r002",2]]</v>
      </c>
      <c r="H95" s="12">
        <f>INT(VLOOKUP(表1_3[[#This Row],[名称]],[1]!表1[#Data],5,FALSE)/6)</f>
        <v>2</v>
      </c>
      <c r="I95" s="5" t="str">
        <f>VLOOKUP(表1_3[[#This Row],[名称]],[1]!表1[#Data],19,FALSE)</f>
        <v>[["i240",180],["i002",150],["i001",50000],["i220",5]]</v>
      </c>
      <c r="J95" s="3">
        <v>1</v>
      </c>
      <c r="K95" s="3">
        <v>1</v>
      </c>
      <c r="L95" s="3" t="str">
        <f t="shared" si="2"/>
        <v>2018/05/29&amp;00:00:00</v>
      </c>
      <c r="M95" s="13" t="str">
        <f t="shared" si="3"/>
        <v>2018/05/29&amp;23:59:59</v>
      </c>
      <c r="N95" s="3">
        <v>1</v>
      </c>
      <c r="O95" s="3">
        <v>1</v>
      </c>
      <c r="P95" s="3">
        <v>0</v>
      </c>
      <c r="Q95" s="5">
        <f>VLOOKUP(表1_3[[#This Row],[名称]],[1]!表1[#Data],18,FALSE)*10</f>
        <v>2.5</v>
      </c>
      <c r="R95" s="11" t="s">
        <v>56</v>
      </c>
      <c r="S95" s="15" t="s">
        <v>70</v>
      </c>
    </row>
    <row r="96" spans="1:19" x14ac:dyDescent="0.15">
      <c r="A96" s="3">
        <v>10091</v>
      </c>
      <c r="B96" s="5">
        <f>VLOOKUP(表1_3[[#This Row],[名称]],[1]!表1[#Data],3,FALSE)</f>
        <v>9055</v>
      </c>
      <c r="C96" s="5">
        <f>VLOOKUP(表1_3[[#This Row],[名称]],[1]!表1[#Data],4,FALSE)</f>
        <v>9476</v>
      </c>
      <c r="D96" s="5" t="str">
        <f>"gift_"&amp;表1_3[[#This Row],[价格]]</f>
        <v>gift_1</v>
      </c>
      <c r="E96" s="5" t="str">
        <f>"gift_"&amp;表1_3[[#This Row],[价格]]</f>
        <v>gift_1</v>
      </c>
      <c r="F96" s="3" t="s">
        <v>40</v>
      </c>
      <c r="G96" s="3" t="str">
        <f>"[[""r002"","&amp;表1_3[[#This Row],[价格]]&amp;"]]"</f>
        <v>[["r002",1]]</v>
      </c>
      <c r="H96" s="12">
        <f>INT(VLOOKUP(表1_3[[#This Row],[名称]],[1]!表1[#Data],5,FALSE)/6)</f>
        <v>1</v>
      </c>
      <c r="I96" s="5" t="str">
        <f>VLOOKUP(表1_3[[#This Row],[名称]],[1]!表1[#Data],19,FALSE)</f>
        <v>[["i006",25],["i001",50000],["i004",1],["i015",1]]</v>
      </c>
      <c r="J96" s="3">
        <v>1</v>
      </c>
      <c r="K96" s="3">
        <v>1</v>
      </c>
      <c r="L96" s="3" t="str">
        <f t="shared" si="2"/>
        <v>2018/05/30&amp;00:00:00</v>
      </c>
      <c r="M96" s="13" t="str">
        <f t="shared" si="3"/>
        <v>2018/05/30&amp;23:59:59</v>
      </c>
      <c r="N96" s="3">
        <v>1</v>
      </c>
      <c r="O96" s="3">
        <v>1</v>
      </c>
      <c r="P96" s="3">
        <v>0</v>
      </c>
      <c r="Q96" s="5">
        <f>VLOOKUP(表1_3[[#This Row],[名称]],[1]!表1[#Data],18,FALSE)*10</f>
        <v>1.9</v>
      </c>
      <c r="R96" s="11" t="s">
        <v>59</v>
      </c>
      <c r="S96" s="15" t="s">
        <v>69</v>
      </c>
    </row>
    <row r="97" spans="1:19" x14ac:dyDescent="0.15">
      <c r="A97" s="3">
        <v>10092</v>
      </c>
      <c r="B97" s="5">
        <f>VLOOKUP(表1_3[[#This Row],[名称]],[1]!表1[#Data],3,FALSE)</f>
        <v>9055</v>
      </c>
      <c r="C97" s="5">
        <f>VLOOKUP(表1_3[[#This Row],[名称]],[1]!表1[#Data],4,FALSE)</f>
        <v>9476</v>
      </c>
      <c r="D97" s="5" t="str">
        <f>"gift_"&amp;表1_3[[#This Row],[价格]]</f>
        <v>gift_1</v>
      </c>
      <c r="E97" s="5" t="str">
        <f>"gift_"&amp;表1_3[[#This Row],[价格]]</f>
        <v>gift_1</v>
      </c>
      <c r="F97" s="3" t="s">
        <v>40</v>
      </c>
      <c r="G97" s="3" t="str">
        <f>"[[""r002"","&amp;表1_3[[#This Row],[价格]]&amp;"]]"</f>
        <v>[["r002",1]]</v>
      </c>
      <c r="H97" s="12">
        <f>INT(VLOOKUP(表1_3[[#This Row],[名称]],[1]!表1[#Data],5,FALSE)/6)</f>
        <v>1</v>
      </c>
      <c r="I97" s="5" t="str">
        <f>VLOOKUP(表1_3[[#This Row],[名称]],[1]!表1[#Data],19,FALSE)</f>
        <v>[["i011",50],["i001",100000],["i004",1],["i015",1]]</v>
      </c>
      <c r="J97" s="3">
        <v>1</v>
      </c>
      <c r="K97" s="3">
        <v>1</v>
      </c>
      <c r="L97" s="3" t="str">
        <f t="shared" si="2"/>
        <v>2018/05/31&amp;00:00:00</v>
      </c>
      <c r="M97" s="13" t="str">
        <f t="shared" si="3"/>
        <v>2018/05/31&amp;23:59:59</v>
      </c>
      <c r="N97" s="3">
        <v>1</v>
      </c>
      <c r="O97" s="3">
        <v>1</v>
      </c>
      <c r="P97" s="3">
        <v>0</v>
      </c>
      <c r="Q97" s="5">
        <f>VLOOKUP(表1_3[[#This Row],[名称]],[1]!表1[#Data],18,FALSE)*10</f>
        <v>2.4</v>
      </c>
      <c r="R97" s="11" t="s">
        <v>60</v>
      </c>
      <c r="S97" s="15" t="s">
        <v>68</v>
      </c>
    </row>
    <row r="98" spans="1:19" x14ac:dyDescent="0.15">
      <c r="A98" s="3">
        <v>10093</v>
      </c>
      <c r="B98" s="5">
        <f>VLOOKUP(表1_3[[#This Row],[名称]],[1]!表1[#Data],3,FALSE)</f>
        <v>9072</v>
      </c>
      <c r="C98" s="5">
        <f>VLOOKUP(表1_3[[#This Row],[名称]],[1]!表1[#Data],4,FALSE)</f>
        <v>9493</v>
      </c>
      <c r="D98" s="5" t="str">
        <f>"gift_"&amp;表1_3[[#This Row],[价格]]</f>
        <v>gift_3</v>
      </c>
      <c r="E98" s="5" t="str">
        <f>"gift_"&amp;表1_3[[#This Row],[价格]]</f>
        <v>gift_3</v>
      </c>
      <c r="F98" s="3" t="s">
        <v>40</v>
      </c>
      <c r="G98" s="3" t="str">
        <f>"[[""r002"","&amp;表1_3[[#This Row],[价格]]&amp;"]]"</f>
        <v>[["r002",3]]</v>
      </c>
      <c r="H98" s="12">
        <f>INT(VLOOKUP(表1_3[[#This Row],[名称]],[1]!表1[#Data],5,FALSE)/6)</f>
        <v>3</v>
      </c>
      <c r="I98" s="5" t="str">
        <f>VLOOKUP(表1_3[[#This Row],[名称]],[1]!表1[#Data],19,FALSE)</f>
        <v>[["i016",10],["i001",50000],["i400",5],["i004",5]]</v>
      </c>
      <c r="J98" s="3">
        <v>1</v>
      </c>
      <c r="K98" s="3">
        <v>1</v>
      </c>
      <c r="L98" s="3" t="str">
        <f t="shared" si="2"/>
        <v>2018/06/01&amp;00:00:00</v>
      </c>
      <c r="M98" s="13" t="str">
        <f t="shared" si="3"/>
        <v>2018/06/01&amp;23:59:59</v>
      </c>
      <c r="N98" s="3">
        <v>1</v>
      </c>
      <c r="O98" s="3">
        <v>1</v>
      </c>
      <c r="P98" s="3">
        <v>0</v>
      </c>
      <c r="Q98" s="5">
        <f>VLOOKUP(表1_3[[#This Row],[名称]],[1]!表1[#Data],18,FALSE)*10</f>
        <v>1.5</v>
      </c>
      <c r="R98" s="11" t="s">
        <v>61</v>
      </c>
      <c r="S98" s="15" t="s">
        <v>67</v>
      </c>
    </row>
    <row r="99" spans="1:19" x14ac:dyDescent="0.15">
      <c r="A99" s="3">
        <v>10094</v>
      </c>
      <c r="B99" s="5">
        <f>VLOOKUP(表1_3[[#This Row],[名称]],[1]!表1[#Data],3,FALSE)</f>
        <v>9056</v>
      </c>
      <c r="C99" s="5">
        <f>VLOOKUP(表1_3[[#This Row],[名称]],[1]!表1[#Data],4,FALSE)</f>
        <v>9477</v>
      </c>
      <c r="D99" s="5" t="str">
        <f>"gift_"&amp;表1_3[[#This Row],[价格]]</f>
        <v>gift_2</v>
      </c>
      <c r="E99" s="5" t="str">
        <f>"gift_"&amp;表1_3[[#This Row],[价格]]</f>
        <v>gift_2</v>
      </c>
      <c r="F99" s="3" t="s">
        <v>40</v>
      </c>
      <c r="G99" s="3" t="str">
        <f>"[[""r002"","&amp;表1_3[[#This Row],[价格]]&amp;"]]"</f>
        <v>[["r002",2]]</v>
      </c>
      <c r="H99" s="12">
        <f>INT(VLOOKUP(表1_3[[#This Row],[名称]],[1]!表1[#Data],5,FALSE)/6)</f>
        <v>2</v>
      </c>
      <c r="I99" s="5" t="str">
        <f>VLOOKUP(表1_3[[#This Row],[名称]],[1]!表1[#Data],19,FALSE)</f>
        <v>[["i001",200000],["i002",200],["i400",2],["i220",10]]</v>
      </c>
      <c r="J99" s="3">
        <v>1</v>
      </c>
      <c r="K99" s="3">
        <v>1</v>
      </c>
      <c r="L99" s="3" t="str">
        <f t="shared" si="2"/>
        <v>2018/06/02&amp;00:00:00</v>
      </c>
      <c r="M99" s="13" t="str">
        <f t="shared" si="3"/>
        <v>2018/06/02&amp;23:59:59</v>
      </c>
      <c r="N99" s="3">
        <v>1</v>
      </c>
      <c r="O99" s="3">
        <v>1</v>
      </c>
      <c r="P99" s="3">
        <v>0</v>
      </c>
      <c r="Q99" s="5">
        <f>VLOOKUP(表1_3[[#This Row],[名称]],[1]!表1[#Data],18,FALSE)*10</f>
        <v>3.8</v>
      </c>
      <c r="R99" s="3" t="s">
        <v>41</v>
      </c>
      <c r="S99" s="15" t="s">
        <v>66</v>
      </c>
    </row>
    <row r="100" spans="1:19" x14ac:dyDescent="0.15">
      <c r="A100" s="3">
        <v>10095</v>
      </c>
      <c r="B100" s="5">
        <f>VLOOKUP(表1_3[[#This Row],[名称]],[1]!表1[#Data],3,FALSE)</f>
        <v>9055</v>
      </c>
      <c r="C100" s="5">
        <f>VLOOKUP(表1_3[[#This Row],[名称]],[1]!表1[#Data],4,FALSE)</f>
        <v>9476</v>
      </c>
      <c r="D100" s="5" t="str">
        <f>"gift_"&amp;表1_3[[#This Row],[价格]]</f>
        <v>gift_1</v>
      </c>
      <c r="E100" s="5" t="str">
        <f>"gift_"&amp;表1_3[[#This Row],[价格]]</f>
        <v>gift_1</v>
      </c>
      <c r="F100" s="3" t="s">
        <v>40</v>
      </c>
      <c r="G100" s="3" t="str">
        <f>"[[""r002"","&amp;表1_3[[#This Row],[价格]]&amp;"]]"</f>
        <v>[["r002",1]]</v>
      </c>
      <c r="H100" s="12">
        <f>INT(VLOOKUP(表1_3[[#This Row],[名称]],[1]!表1[#Data],5,FALSE)/6)</f>
        <v>1</v>
      </c>
      <c r="I100" s="5" t="str">
        <f>VLOOKUP(表1_3[[#This Row],[名称]],[1]!表1[#Data],19,FALSE)</f>
        <v>[["i215",10],["i002",50],["i004",1],["i240",20]]</v>
      </c>
      <c r="J100" s="3">
        <v>1</v>
      </c>
      <c r="K100" s="3">
        <v>1</v>
      </c>
      <c r="L100" s="3" t="str">
        <f t="shared" si="2"/>
        <v>2018/06/03&amp;00:00:00</v>
      </c>
      <c r="M100" s="13" t="str">
        <f t="shared" si="3"/>
        <v>2018/06/03&amp;23:59:59</v>
      </c>
      <c r="N100" s="3">
        <v>1</v>
      </c>
      <c r="O100" s="3">
        <v>1</v>
      </c>
      <c r="P100" s="3">
        <v>0</v>
      </c>
      <c r="Q100" s="5">
        <f>VLOOKUP(表1_3[[#This Row],[名称]],[1]!表1[#Data],18,FALSE)*10</f>
        <v>2.7</v>
      </c>
      <c r="R100" s="11" t="s">
        <v>58</v>
      </c>
      <c r="S100" s="15" t="s">
        <v>65</v>
      </c>
    </row>
    <row r="101" spans="1:19" x14ac:dyDescent="0.15">
      <c r="A101" s="3">
        <v>10096</v>
      </c>
      <c r="B101" s="5">
        <f>VLOOKUP(表1_3[[#This Row],[名称]],[1]!表1[#Data],3,FALSE)</f>
        <v>9056</v>
      </c>
      <c r="C101" s="5">
        <f>VLOOKUP(表1_3[[#This Row],[名称]],[1]!表1[#Data],4,FALSE)</f>
        <v>9477</v>
      </c>
      <c r="D101" s="5" t="str">
        <f>"gift_"&amp;表1_3[[#This Row],[价格]]</f>
        <v>gift_2</v>
      </c>
      <c r="E101" s="5" t="str">
        <f>"gift_"&amp;表1_3[[#This Row],[价格]]</f>
        <v>gift_2</v>
      </c>
      <c r="F101" s="3" t="s">
        <v>40</v>
      </c>
      <c r="G101" s="3" t="str">
        <f>"[[""r002"","&amp;表1_3[[#This Row],[价格]]&amp;"]]"</f>
        <v>[["r002",2]]</v>
      </c>
      <c r="H101" s="12">
        <f>INT(VLOOKUP(表1_3[[#This Row],[名称]],[1]!表1[#Data],5,FALSE)/6)</f>
        <v>2</v>
      </c>
      <c r="I101" s="5" t="str">
        <f>VLOOKUP(表1_3[[#This Row],[名称]],[1]!表1[#Data],19,FALSE)</f>
        <v>[["i015",8],["i002",100],["i400",2],["i220",2]]</v>
      </c>
      <c r="J101" s="3">
        <v>1</v>
      </c>
      <c r="K101" s="3">
        <v>1</v>
      </c>
      <c r="L101" s="3" t="str">
        <f t="shared" si="2"/>
        <v>2018/06/04&amp;00:00:00</v>
      </c>
      <c r="M101" s="13" t="str">
        <f t="shared" si="3"/>
        <v>2018/06/04&amp;23:59:59</v>
      </c>
      <c r="N101" s="3">
        <v>1</v>
      </c>
      <c r="O101" s="3">
        <v>1</v>
      </c>
      <c r="P101" s="3">
        <v>0</v>
      </c>
      <c r="Q101" s="5">
        <f>VLOOKUP(表1_3[[#This Row],[名称]],[1]!表1[#Data],18,FALSE)*10</f>
        <v>3</v>
      </c>
      <c r="R101" s="11" t="s">
        <v>55</v>
      </c>
      <c r="S101" s="15" t="s">
        <v>64</v>
      </c>
    </row>
    <row r="102" spans="1:19" x14ac:dyDescent="0.15">
      <c r="A102" s="3">
        <v>10097</v>
      </c>
      <c r="B102" s="5">
        <f>VLOOKUP(表1_3[[#This Row],[名称]],[1]!表1[#Data],3,FALSE)</f>
        <v>9055</v>
      </c>
      <c r="C102" s="5">
        <f>VLOOKUP(表1_3[[#This Row],[名称]],[1]!表1[#Data],4,FALSE)</f>
        <v>9476</v>
      </c>
      <c r="D102" s="5" t="str">
        <f>"gift_"&amp;表1_3[[#This Row],[价格]]</f>
        <v>gift_1</v>
      </c>
      <c r="E102" s="5" t="str">
        <f>"gift_"&amp;表1_3[[#This Row],[价格]]</f>
        <v>gift_1</v>
      </c>
      <c r="F102" s="3" t="s">
        <v>40</v>
      </c>
      <c r="G102" s="3" t="str">
        <f>"[[""r002"","&amp;表1_3[[#This Row],[价格]]&amp;"]]"</f>
        <v>[["r002",1]]</v>
      </c>
      <c r="H102" s="12">
        <f>INT(VLOOKUP(表1_3[[#This Row],[名称]],[1]!表1[#Data],5,FALSE)/6)</f>
        <v>1</v>
      </c>
      <c r="I102" s="5" t="str">
        <f>VLOOKUP(表1_3[[#This Row],[名称]],[1]!表1[#Data],19,FALSE)</f>
        <v>[["i001",100000],["i002",100],["i400",1],["i220",5]]</v>
      </c>
      <c r="J102" s="3">
        <v>1</v>
      </c>
      <c r="K102" s="3">
        <v>1</v>
      </c>
      <c r="L102" s="3" t="str">
        <f t="shared" si="2"/>
        <v>2018/06/05&amp;00:00:00</v>
      </c>
      <c r="M102" s="13" t="str">
        <f t="shared" si="3"/>
        <v>2018/06/05&amp;23:59:59</v>
      </c>
      <c r="N102" s="3">
        <v>1</v>
      </c>
      <c r="O102" s="3">
        <v>1</v>
      </c>
      <c r="P102" s="3">
        <v>0</v>
      </c>
      <c r="Q102" s="5">
        <f>VLOOKUP(表1_3[[#This Row],[名称]],[1]!表1[#Data],18,FALSE)*10</f>
        <v>3.5999999999999996</v>
      </c>
      <c r="R102" s="3" t="s">
        <v>39</v>
      </c>
      <c r="S102" s="15" t="s">
        <v>63</v>
      </c>
    </row>
    <row r="103" spans="1:19" x14ac:dyDescent="0.15">
      <c r="A103" s="3">
        <v>10098</v>
      </c>
      <c r="B103" s="5">
        <f>VLOOKUP(表1_3[[#This Row],[名称]],[1]!表1[#Data],3,FALSE)</f>
        <v>9075</v>
      </c>
      <c r="C103" s="5">
        <f>VLOOKUP(表1_3[[#This Row],[名称]],[1]!表1[#Data],4,FALSE)</f>
        <v>9496</v>
      </c>
      <c r="D103" s="5" t="str">
        <f>"gift_"&amp;表1_3[[#This Row],[价格]]</f>
        <v>gift_7</v>
      </c>
      <c r="E103" s="5" t="str">
        <f>"gift_"&amp;表1_3[[#This Row],[价格]]</f>
        <v>gift_7</v>
      </c>
      <c r="F103" s="3" t="s">
        <v>40</v>
      </c>
      <c r="G103" s="3" t="str">
        <f>"[[""r002"","&amp;表1_3[[#This Row],[价格]]&amp;"]]"</f>
        <v>[["r002",7]]</v>
      </c>
      <c r="H103" s="12">
        <f>INT(VLOOKUP(表1_3[[#This Row],[名称]],[1]!表1[#Data],5,FALSE)/6)</f>
        <v>7</v>
      </c>
      <c r="I103" s="5" t="str">
        <f>VLOOKUP(表1_3[[#This Row],[名称]],[1]!表1[#Data],19,FALSE)</f>
        <v>[["i001",500000],["i002",500],["i015",1],["i004",4]]</v>
      </c>
      <c r="J103" s="3">
        <v>1</v>
      </c>
      <c r="K103" s="3">
        <v>1</v>
      </c>
      <c r="L103" s="3" t="str">
        <f t="shared" si="2"/>
        <v>2018/06/06&amp;00:00:00</v>
      </c>
      <c r="M103" s="13" t="str">
        <f t="shared" si="3"/>
        <v>2018/06/06&amp;23:59:59</v>
      </c>
      <c r="N103" s="3">
        <v>1</v>
      </c>
      <c r="O103" s="3">
        <v>1</v>
      </c>
      <c r="P103" s="3">
        <v>0</v>
      </c>
      <c r="Q103" s="5">
        <f>VLOOKUP(表1_3[[#This Row],[名称]],[1]!表1[#Data],18,FALSE)*10</f>
        <v>3.8</v>
      </c>
      <c r="R103" s="3" t="s">
        <v>44</v>
      </c>
      <c r="S103" s="15" t="s">
        <v>75</v>
      </c>
    </row>
    <row r="104" spans="1:19" x14ac:dyDescent="0.15">
      <c r="A104" s="3">
        <v>10099</v>
      </c>
      <c r="B104" s="5">
        <f>VLOOKUP(表1_3[[#This Row],[名称]],[1]!表1[#Data],3,FALSE)</f>
        <v>9055</v>
      </c>
      <c r="C104" s="5">
        <f>VLOOKUP(表1_3[[#This Row],[名称]],[1]!表1[#Data],4,FALSE)</f>
        <v>9476</v>
      </c>
      <c r="D104" s="5" t="str">
        <f>"gift_"&amp;表1_3[[#This Row],[价格]]</f>
        <v>gift_1</v>
      </c>
      <c r="E104" s="5" t="str">
        <f>"gift_"&amp;表1_3[[#This Row],[价格]]</f>
        <v>gift_1</v>
      </c>
      <c r="F104" s="3" t="s">
        <v>40</v>
      </c>
      <c r="G104" s="3" t="str">
        <f>"[[""r002"","&amp;表1_3[[#This Row],[价格]]&amp;"]]"</f>
        <v>[["r002",1]]</v>
      </c>
      <c r="H104" s="14">
        <f>INT(VLOOKUP(表1_3[[#This Row],[名称]],[1]!表1[#Data],5,FALSE)/6)</f>
        <v>1</v>
      </c>
      <c r="I104" s="5" t="str">
        <f>VLOOKUP(表1_3[[#This Row],[名称]],[1]!表1[#Data],19,FALSE)</f>
        <v>[["i215",10],["i002",50],["i004",1],["i240",20]]</v>
      </c>
      <c r="J104" s="3">
        <v>1</v>
      </c>
      <c r="K104" s="3">
        <v>1</v>
      </c>
      <c r="L104" s="3" t="str">
        <f t="shared" si="2"/>
        <v>2018/06/07&amp;00:00:00</v>
      </c>
      <c r="M104" s="13" t="str">
        <f t="shared" si="3"/>
        <v>2018/06/07&amp;23:59:59</v>
      </c>
      <c r="N104" s="3">
        <v>1</v>
      </c>
      <c r="O104" s="3">
        <v>1</v>
      </c>
      <c r="P104" s="3">
        <v>0</v>
      </c>
      <c r="Q104" s="5">
        <f>VLOOKUP(表1_3[[#This Row],[名称]],[1]!表1[#Data],18,FALSE)*10</f>
        <v>2.7</v>
      </c>
      <c r="R104" s="11" t="s">
        <v>58</v>
      </c>
      <c r="S104" s="15" t="s">
        <v>65</v>
      </c>
    </row>
    <row r="105" spans="1:19" x14ac:dyDescent="0.15">
      <c r="A105" s="3">
        <v>10100</v>
      </c>
      <c r="B105" s="5">
        <f>VLOOKUP(表1_3[[#This Row],[名称]],[1]!表1[#Data],3,FALSE)</f>
        <v>9075</v>
      </c>
      <c r="C105" s="5">
        <f>VLOOKUP(表1_3[[#This Row],[名称]],[1]!表1[#Data],4,FALSE)</f>
        <v>9496</v>
      </c>
      <c r="D105" s="5" t="str">
        <f>"gift_"&amp;表1_3[[#This Row],[价格]]</f>
        <v>gift_7</v>
      </c>
      <c r="E105" s="5" t="str">
        <f>"gift_"&amp;表1_3[[#This Row],[价格]]</f>
        <v>gift_7</v>
      </c>
      <c r="F105" s="3" t="s">
        <v>40</v>
      </c>
      <c r="G105" s="3" t="str">
        <f>"[[""r002"","&amp;表1_3[[#This Row],[价格]]&amp;"]]"</f>
        <v>[["r002",7]]</v>
      </c>
      <c r="H105" s="14">
        <f>INT(VLOOKUP(表1_3[[#This Row],[名称]],[1]!表1[#Data],5,FALSE)/6)</f>
        <v>7</v>
      </c>
      <c r="I105" s="5" t="str">
        <f>VLOOKUP(表1_3[[#This Row],[名称]],[1]!表1[#Data],19,FALSE)</f>
        <v>[["i017",8],["i002",100],["i004",10],["i006",10]]</v>
      </c>
      <c r="J105" s="3">
        <v>1</v>
      </c>
      <c r="K105" s="3">
        <v>1</v>
      </c>
      <c r="L105" s="3" t="str">
        <f t="shared" si="2"/>
        <v>2018/06/08&amp;00:00:00</v>
      </c>
      <c r="M105" s="13" t="str">
        <f t="shared" si="3"/>
        <v>2018/06/08&amp;23:59:59</v>
      </c>
      <c r="N105" s="3">
        <v>1</v>
      </c>
      <c r="O105" s="3">
        <v>1</v>
      </c>
      <c r="P105" s="3">
        <v>0</v>
      </c>
      <c r="Q105" s="5">
        <f>VLOOKUP(表1_3[[#This Row],[名称]],[1]!表1[#Data],18,FALSE)*10</f>
        <v>1</v>
      </c>
      <c r="R105" s="11" t="s">
        <v>62</v>
      </c>
      <c r="S105" s="15" t="s">
        <v>74</v>
      </c>
    </row>
    <row r="106" spans="1:19" x14ac:dyDescent="0.15">
      <c r="A106" s="3">
        <v>10101</v>
      </c>
      <c r="B106" s="5">
        <f>VLOOKUP(表1_3[[#This Row],[名称]],[1]!表1[#Data],3,FALSE)</f>
        <v>9067</v>
      </c>
      <c r="C106" s="5">
        <f>VLOOKUP(表1_3[[#This Row],[名称]],[1]!表1[#Data],4,FALSE)</f>
        <v>9488</v>
      </c>
      <c r="D106" s="5" t="str">
        <f>"gift_"&amp;表1_3[[#This Row],[价格]]</f>
        <v>gift_5</v>
      </c>
      <c r="E106" s="5" t="str">
        <f>"gift_"&amp;表1_3[[#This Row],[价格]]</f>
        <v>gift_5</v>
      </c>
      <c r="F106" s="3" t="s">
        <v>40</v>
      </c>
      <c r="G106" s="3" t="str">
        <f>"[[""r002"","&amp;表1_3[[#This Row],[价格]]&amp;"]]"</f>
        <v>[["r002",5]]</v>
      </c>
      <c r="H106" s="14">
        <f>INT(VLOOKUP(表1_3[[#This Row],[名称]],[1]!表1[#Data],5,FALSE)/6)</f>
        <v>5</v>
      </c>
      <c r="I106" s="5" t="str">
        <f>VLOOKUP(表1_3[[#This Row],[名称]],[1]!表1[#Data],19,FALSE)</f>
        <v>[["i001",400000],["i002",400],["i015",1],["i006",5]]</v>
      </c>
      <c r="J106" s="3">
        <v>1</v>
      </c>
      <c r="K106" s="3">
        <v>1</v>
      </c>
      <c r="L106" s="3" t="str">
        <f t="shared" si="2"/>
        <v>2018/06/09&amp;00:00:00</v>
      </c>
      <c r="M106" s="13" t="str">
        <f t="shared" si="3"/>
        <v>2018/06/09&amp;23:59:59</v>
      </c>
      <c r="N106" s="3">
        <v>1</v>
      </c>
      <c r="O106" s="3">
        <v>1</v>
      </c>
      <c r="P106" s="3">
        <v>0</v>
      </c>
      <c r="Q106" s="5">
        <f>VLOOKUP(表1_3[[#This Row],[名称]],[1]!表1[#Data],18,FALSE)*10</f>
        <v>3.8</v>
      </c>
      <c r="R106" s="3" t="s">
        <v>43</v>
      </c>
      <c r="S106" s="15" t="s">
        <v>73</v>
      </c>
    </row>
    <row r="107" spans="1:19" x14ac:dyDescent="0.15">
      <c r="A107" s="3">
        <v>10102</v>
      </c>
      <c r="B107" s="5">
        <f>VLOOKUP(表1_3[[#This Row],[名称]],[1]!表1[#Data],3,FALSE)</f>
        <v>9055</v>
      </c>
      <c r="C107" s="5">
        <f>VLOOKUP(表1_3[[#This Row],[名称]],[1]!表1[#Data],4,FALSE)</f>
        <v>9476</v>
      </c>
      <c r="D107" s="5" t="str">
        <f>"gift_"&amp;表1_3[[#This Row],[价格]]</f>
        <v>gift_1</v>
      </c>
      <c r="E107" s="5" t="str">
        <f>"gift_"&amp;表1_3[[#This Row],[价格]]</f>
        <v>gift_1</v>
      </c>
      <c r="F107" s="3" t="s">
        <v>40</v>
      </c>
      <c r="G107" s="3" t="str">
        <f>"[[""r002"","&amp;表1_3[[#This Row],[价格]]&amp;"]]"</f>
        <v>[["r002",1]]</v>
      </c>
      <c r="H107" s="14">
        <f>INT(VLOOKUP(表1_3[[#This Row],[名称]],[1]!表1[#Data],5,FALSE)/6)</f>
        <v>1</v>
      </c>
      <c r="I107" s="5" t="str">
        <f>VLOOKUP(表1_3[[#This Row],[名称]],[1]!表1[#Data],19,FALSE)</f>
        <v>[["i400",20],["i002",50],["i015",1],["i220",2]]</v>
      </c>
      <c r="J107" s="3">
        <v>1</v>
      </c>
      <c r="K107" s="3">
        <v>1</v>
      </c>
      <c r="L107" s="3" t="str">
        <f t="shared" si="2"/>
        <v>2018/06/10&amp;00:00:00</v>
      </c>
      <c r="M107" s="13" t="str">
        <f t="shared" si="3"/>
        <v>2018/06/10&amp;23:59:59</v>
      </c>
      <c r="N107" s="3">
        <v>1</v>
      </c>
      <c r="O107" s="3">
        <v>1</v>
      </c>
      <c r="P107" s="3">
        <v>0</v>
      </c>
      <c r="Q107" s="5">
        <f>VLOOKUP(表1_3[[#This Row],[名称]],[1]!表1[#Data],18,FALSE)*10</f>
        <v>1.9</v>
      </c>
      <c r="R107" s="11" t="s">
        <v>57</v>
      </c>
      <c r="S107" s="15" t="s">
        <v>72</v>
      </c>
    </row>
    <row r="108" spans="1:19" x14ac:dyDescent="0.15">
      <c r="A108" s="3">
        <v>10103</v>
      </c>
      <c r="B108" s="5">
        <f>VLOOKUP(表1_3[[#This Row],[名称]],[1]!表1[#Data],3,FALSE)</f>
        <v>9072</v>
      </c>
      <c r="C108" s="5">
        <f>VLOOKUP(表1_3[[#This Row],[名称]],[1]!表1[#Data],4,FALSE)</f>
        <v>9493</v>
      </c>
      <c r="D108" s="5" t="str">
        <f>"gift_"&amp;表1_3[[#This Row],[价格]]</f>
        <v>gift_3</v>
      </c>
      <c r="E108" s="5" t="str">
        <f>"gift_"&amp;表1_3[[#This Row],[价格]]</f>
        <v>gift_3</v>
      </c>
      <c r="F108" s="3" t="s">
        <v>40</v>
      </c>
      <c r="G108" s="3" t="str">
        <f>"[[""r002"","&amp;表1_3[[#This Row],[价格]]&amp;"]]"</f>
        <v>[["r002",3]]</v>
      </c>
      <c r="H108" s="14">
        <f>INT(VLOOKUP(表1_3[[#This Row],[名称]],[1]!表1[#Data],5,FALSE)/6)</f>
        <v>3</v>
      </c>
      <c r="I108" s="5" t="str">
        <f>VLOOKUP(表1_3[[#This Row],[名称]],[1]!表1[#Data],19,FALSE)</f>
        <v>[["i001",300000],["i002",300],["i015",1],["i400",2]]</v>
      </c>
      <c r="J108" s="3">
        <v>1</v>
      </c>
      <c r="K108" s="3">
        <v>1</v>
      </c>
      <c r="L108" s="3" t="str">
        <f t="shared" si="2"/>
        <v>2018/06/11&amp;00:00:00</v>
      </c>
      <c r="M108" s="13" t="str">
        <f t="shared" si="3"/>
        <v>2018/06/11&amp;23:59:59</v>
      </c>
      <c r="N108" s="3">
        <v>1</v>
      </c>
      <c r="O108" s="3">
        <v>1</v>
      </c>
      <c r="P108" s="3">
        <v>0</v>
      </c>
      <c r="Q108" s="5">
        <f>VLOOKUP(表1_3[[#This Row],[名称]],[1]!表1[#Data],18,FALSE)*10</f>
        <v>4</v>
      </c>
      <c r="R108" s="3" t="s">
        <v>42</v>
      </c>
      <c r="S108" s="15" t="s">
        <v>71</v>
      </c>
    </row>
    <row r="109" spans="1:19" x14ac:dyDescent="0.15">
      <c r="A109" s="3">
        <v>10104</v>
      </c>
      <c r="B109" s="5">
        <f>VLOOKUP(表1_3[[#This Row],[名称]],[1]!表1[#Data],3,FALSE)</f>
        <v>9056</v>
      </c>
      <c r="C109" s="5">
        <f>VLOOKUP(表1_3[[#This Row],[名称]],[1]!表1[#Data],4,FALSE)</f>
        <v>9477</v>
      </c>
      <c r="D109" s="5" t="str">
        <f>"gift_"&amp;表1_3[[#This Row],[价格]]</f>
        <v>gift_2</v>
      </c>
      <c r="E109" s="5" t="str">
        <f>"gift_"&amp;表1_3[[#This Row],[价格]]</f>
        <v>gift_2</v>
      </c>
      <c r="F109" s="3" t="s">
        <v>40</v>
      </c>
      <c r="G109" s="3" t="str">
        <f>"[[""r002"","&amp;表1_3[[#This Row],[价格]]&amp;"]]"</f>
        <v>[["r002",2]]</v>
      </c>
      <c r="H109" s="14">
        <f>INT(VLOOKUP(表1_3[[#This Row],[名称]],[1]!表1[#Data],5,FALSE)/6)</f>
        <v>2</v>
      </c>
      <c r="I109" s="5" t="str">
        <f>VLOOKUP(表1_3[[#This Row],[名称]],[1]!表1[#Data],19,FALSE)</f>
        <v>[["i240",180],["i002",150],["i001",50000],["i220",5]]</v>
      </c>
      <c r="J109" s="3">
        <v>1</v>
      </c>
      <c r="K109" s="3">
        <v>1</v>
      </c>
      <c r="L109" s="3" t="str">
        <f t="shared" si="2"/>
        <v>2018/06/12&amp;00:00:00</v>
      </c>
      <c r="M109" s="13" t="str">
        <f t="shared" si="3"/>
        <v>2018/06/12&amp;23:59:59</v>
      </c>
      <c r="N109" s="3">
        <v>1</v>
      </c>
      <c r="O109" s="3">
        <v>1</v>
      </c>
      <c r="P109" s="3">
        <v>0</v>
      </c>
      <c r="Q109" s="5">
        <f>VLOOKUP(表1_3[[#This Row],[名称]],[1]!表1[#Data],18,FALSE)*10</f>
        <v>2.5</v>
      </c>
      <c r="R109" s="11" t="s">
        <v>56</v>
      </c>
      <c r="S109" s="15" t="s">
        <v>70</v>
      </c>
    </row>
    <row r="110" spans="1:19" x14ac:dyDescent="0.15">
      <c r="A110" s="3">
        <v>10105</v>
      </c>
      <c r="B110" s="5">
        <f>VLOOKUP(表1_3[[#This Row],[名称]],[1]!表1[#Data],3,FALSE)</f>
        <v>9055</v>
      </c>
      <c r="C110" s="5">
        <f>VLOOKUP(表1_3[[#This Row],[名称]],[1]!表1[#Data],4,FALSE)</f>
        <v>9476</v>
      </c>
      <c r="D110" s="5" t="str">
        <f>"gift_"&amp;表1_3[[#This Row],[价格]]</f>
        <v>gift_1</v>
      </c>
      <c r="E110" s="5" t="str">
        <f>"gift_"&amp;表1_3[[#This Row],[价格]]</f>
        <v>gift_1</v>
      </c>
      <c r="F110" s="3" t="s">
        <v>40</v>
      </c>
      <c r="G110" s="3" t="str">
        <f>"[[""r002"","&amp;表1_3[[#This Row],[价格]]&amp;"]]"</f>
        <v>[["r002",1]]</v>
      </c>
      <c r="H110" s="13">
        <f>INT(VLOOKUP(表1_3[[#This Row],[名称]],[1]!表1[#Data],5,FALSE)/6)</f>
        <v>1</v>
      </c>
      <c r="I110" s="5" t="str">
        <f>VLOOKUP(表1_3[[#This Row],[名称]],[1]!表1[#Data],19,FALSE)</f>
        <v>[["i006",25],["i001",50000],["i004",1],["i015",1]]</v>
      </c>
      <c r="J110" s="3">
        <v>1</v>
      </c>
      <c r="K110" s="3">
        <v>1</v>
      </c>
      <c r="L110" s="3" t="str">
        <f t="shared" si="2"/>
        <v>2018/06/13&amp;00:00:00</v>
      </c>
      <c r="M110" s="13" t="str">
        <f t="shared" si="3"/>
        <v>2018/06/13&amp;23:59:59</v>
      </c>
      <c r="N110" s="3">
        <v>1</v>
      </c>
      <c r="O110" s="3">
        <v>1</v>
      </c>
      <c r="P110" s="3">
        <v>0</v>
      </c>
      <c r="Q110" s="5">
        <f>VLOOKUP(表1_3[[#This Row],[名称]],[1]!表1[#Data],18,FALSE)*10</f>
        <v>1.9</v>
      </c>
      <c r="R110" s="11" t="s">
        <v>59</v>
      </c>
      <c r="S110" s="15" t="s">
        <v>69</v>
      </c>
    </row>
    <row r="111" spans="1:19" x14ac:dyDescent="0.15">
      <c r="A111" s="3">
        <v>10106</v>
      </c>
      <c r="B111" s="5">
        <f>VLOOKUP(表1_3[[#This Row],[名称]],[1]!表1[#Data],3,FALSE)</f>
        <v>9055</v>
      </c>
      <c r="C111" s="5">
        <f>VLOOKUP(表1_3[[#This Row],[名称]],[1]!表1[#Data],4,FALSE)</f>
        <v>9476</v>
      </c>
      <c r="D111" s="5" t="str">
        <f>"gift_"&amp;表1_3[[#This Row],[价格]]</f>
        <v>gift_1</v>
      </c>
      <c r="E111" s="5" t="str">
        <f>"gift_"&amp;表1_3[[#This Row],[价格]]</f>
        <v>gift_1</v>
      </c>
      <c r="F111" s="3" t="s">
        <v>40</v>
      </c>
      <c r="G111" s="3" t="str">
        <f>"[[""r002"","&amp;表1_3[[#This Row],[价格]]&amp;"]]"</f>
        <v>[["r002",1]]</v>
      </c>
      <c r="H111" s="13">
        <f>INT(VLOOKUP(表1_3[[#This Row],[名称]],[1]!表1[#Data],5,FALSE)/6)</f>
        <v>1</v>
      </c>
      <c r="I111" s="5" t="str">
        <f>VLOOKUP(表1_3[[#This Row],[名称]],[1]!表1[#Data],19,FALSE)</f>
        <v>[["i011",50],["i001",100000],["i004",1],["i015",1]]</v>
      </c>
      <c r="J111" s="3">
        <v>1</v>
      </c>
      <c r="K111" s="3">
        <v>1</v>
      </c>
      <c r="L111" s="3" t="str">
        <f t="shared" si="2"/>
        <v>2018/06/14&amp;00:00:00</v>
      </c>
      <c r="M111" s="13" t="str">
        <f t="shared" si="3"/>
        <v>2018/06/14&amp;23:59:59</v>
      </c>
      <c r="N111" s="3">
        <v>1</v>
      </c>
      <c r="O111" s="3">
        <v>1</v>
      </c>
      <c r="P111" s="3">
        <v>0</v>
      </c>
      <c r="Q111" s="5">
        <f>VLOOKUP(表1_3[[#This Row],[名称]],[1]!表1[#Data],18,FALSE)*10</f>
        <v>2.4</v>
      </c>
      <c r="R111" s="11" t="s">
        <v>60</v>
      </c>
      <c r="S111" s="15" t="s">
        <v>68</v>
      </c>
    </row>
    <row r="112" spans="1:19" x14ac:dyDescent="0.15">
      <c r="A112" s="3">
        <v>10107</v>
      </c>
      <c r="B112" s="5">
        <f>VLOOKUP(表1_3[[#This Row],[名称]],[1]!表1[#Data],3,FALSE)</f>
        <v>9072</v>
      </c>
      <c r="C112" s="5">
        <f>VLOOKUP(表1_3[[#This Row],[名称]],[1]!表1[#Data],4,FALSE)</f>
        <v>9493</v>
      </c>
      <c r="D112" s="5" t="str">
        <f>"gift_"&amp;表1_3[[#This Row],[价格]]</f>
        <v>gift_3</v>
      </c>
      <c r="E112" s="5" t="str">
        <f>"gift_"&amp;表1_3[[#This Row],[价格]]</f>
        <v>gift_3</v>
      </c>
      <c r="F112" s="3" t="s">
        <v>40</v>
      </c>
      <c r="G112" s="3" t="str">
        <f>"[[""r002"","&amp;表1_3[[#This Row],[价格]]&amp;"]]"</f>
        <v>[["r002",3]]</v>
      </c>
      <c r="H112" s="13">
        <f>INT(VLOOKUP(表1_3[[#This Row],[名称]],[1]!表1[#Data],5,FALSE)/6)</f>
        <v>3</v>
      </c>
      <c r="I112" s="5" t="str">
        <f>VLOOKUP(表1_3[[#This Row],[名称]],[1]!表1[#Data],19,FALSE)</f>
        <v>[["i016",10],["i001",50000],["i400",5],["i004",5]]</v>
      </c>
      <c r="J112" s="3">
        <v>1</v>
      </c>
      <c r="K112" s="3">
        <v>1</v>
      </c>
      <c r="L112" s="3" t="str">
        <f t="shared" si="2"/>
        <v>2018/06/15&amp;00:00:00</v>
      </c>
      <c r="M112" s="13" t="str">
        <f t="shared" si="3"/>
        <v>2018/06/15&amp;23:59:59</v>
      </c>
      <c r="N112" s="3">
        <v>1</v>
      </c>
      <c r="O112" s="3">
        <v>1</v>
      </c>
      <c r="P112" s="3">
        <v>0</v>
      </c>
      <c r="Q112" s="5">
        <f>VLOOKUP(表1_3[[#This Row],[名称]],[1]!表1[#Data],18,FALSE)*10</f>
        <v>1.5</v>
      </c>
      <c r="R112" s="11" t="s">
        <v>61</v>
      </c>
      <c r="S112" s="15" t="s">
        <v>67</v>
      </c>
    </row>
    <row r="113" spans="1:19" x14ac:dyDescent="0.15">
      <c r="A113" s="3">
        <v>10108</v>
      </c>
      <c r="B113" s="5">
        <f>VLOOKUP(表1_3[[#This Row],[名称]],[1]!表1[#Data],3,FALSE)</f>
        <v>9056</v>
      </c>
      <c r="C113" s="5">
        <f>VLOOKUP(表1_3[[#This Row],[名称]],[1]!表1[#Data],4,FALSE)</f>
        <v>9477</v>
      </c>
      <c r="D113" s="5" t="str">
        <f>"gift_"&amp;表1_3[[#This Row],[价格]]</f>
        <v>gift_2</v>
      </c>
      <c r="E113" s="5" t="str">
        <f>"gift_"&amp;表1_3[[#This Row],[价格]]</f>
        <v>gift_2</v>
      </c>
      <c r="F113" s="3" t="s">
        <v>40</v>
      </c>
      <c r="G113" s="3" t="str">
        <f>"[[""r002"","&amp;表1_3[[#This Row],[价格]]&amp;"]]"</f>
        <v>[["r002",2]]</v>
      </c>
      <c r="H113" s="13">
        <f>INT(VLOOKUP(表1_3[[#This Row],[名称]],[1]!表1[#Data],5,FALSE)/6)</f>
        <v>2</v>
      </c>
      <c r="I113" s="5" t="str">
        <f>VLOOKUP(表1_3[[#This Row],[名称]],[1]!表1[#Data],19,FALSE)</f>
        <v>[["i001",200000],["i002",200],["i400",2],["i220",10]]</v>
      </c>
      <c r="J113" s="3">
        <v>1</v>
      </c>
      <c r="K113" s="3">
        <v>1</v>
      </c>
      <c r="L113" s="3" t="str">
        <f t="shared" si="2"/>
        <v>2018/06/16&amp;00:00:00</v>
      </c>
      <c r="M113" s="13" t="str">
        <f t="shared" si="3"/>
        <v>2018/06/16&amp;23:59:59</v>
      </c>
      <c r="N113" s="3">
        <v>1</v>
      </c>
      <c r="O113" s="3">
        <v>1</v>
      </c>
      <c r="P113" s="3">
        <v>0</v>
      </c>
      <c r="Q113" s="5">
        <f>VLOOKUP(表1_3[[#This Row],[名称]],[1]!表1[#Data],18,FALSE)*10</f>
        <v>3.8</v>
      </c>
      <c r="R113" s="3" t="s">
        <v>41</v>
      </c>
      <c r="S113" s="15" t="s">
        <v>66</v>
      </c>
    </row>
    <row r="114" spans="1:19" x14ac:dyDescent="0.15">
      <c r="A114" s="3">
        <v>10109</v>
      </c>
      <c r="B114" s="5">
        <f>VLOOKUP(表1_3[[#This Row],[名称]],[1]!表1[#Data],3,FALSE)</f>
        <v>9055</v>
      </c>
      <c r="C114" s="5">
        <f>VLOOKUP(表1_3[[#This Row],[名称]],[1]!表1[#Data],4,FALSE)</f>
        <v>9476</v>
      </c>
      <c r="D114" s="5" t="str">
        <f>"gift_"&amp;表1_3[[#This Row],[价格]]</f>
        <v>gift_1</v>
      </c>
      <c r="E114" s="5" t="str">
        <f>"gift_"&amp;表1_3[[#This Row],[价格]]</f>
        <v>gift_1</v>
      </c>
      <c r="F114" s="3" t="s">
        <v>40</v>
      </c>
      <c r="G114" s="3" t="str">
        <f>"[[""r002"","&amp;表1_3[[#This Row],[价格]]&amp;"]]"</f>
        <v>[["r002",1]]</v>
      </c>
      <c r="H114" s="13">
        <f>INT(VLOOKUP(表1_3[[#This Row],[名称]],[1]!表1[#Data],5,FALSE)/6)</f>
        <v>1</v>
      </c>
      <c r="I114" s="5" t="str">
        <f>VLOOKUP(表1_3[[#This Row],[名称]],[1]!表1[#Data],19,FALSE)</f>
        <v>[["i215",10],["i002",50],["i004",1],["i240",20]]</v>
      </c>
      <c r="J114" s="3">
        <v>1</v>
      </c>
      <c r="K114" s="3">
        <v>1</v>
      </c>
      <c r="L114" s="3" t="str">
        <f t="shared" si="2"/>
        <v>2018/06/17&amp;00:00:00</v>
      </c>
      <c r="M114" s="13" t="str">
        <f t="shared" si="3"/>
        <v>2018/06/17&amp;23:59:59</v>
      </c>
      <c r="N114" s="3">
        <v>1</v>
      </c>
      <c r="O114" s="3">
        <v>1</v>
      </c>
      <c r="P114" s="3">
        <v>0</v>
      </c>
      <c r="Q114" s="5">
        <f>VLOOKUP(表1_3[[#This Row],[名称]],[1]!表1[#Data],18,FALSE)*10</f>
        <v>2.7</v>
      </c>
      <c r="R114" s="11" t="s">
        <v>58</v>
      </c>
      <c r="S114" s="15" t="s">
        <v>65</v>
      </c>
    </row>
    <row r="115" spans="1:19" x14ac:dyDescent="0.15">
      <c r="A115" s="3">
        <v>10110</v>
      </c>
      <c r="B115" s="5">
        <f>VLOOKUP(表1_3[[#This Row],[名称]],[1]!表1[#Data],3,FALSE)</f>
        <v>9056</v>
      </c>
      <c r="C115" s="5">
        <f>VLOOKUP(表1_3[[#This Row],[名称]],[1]!表1[#Data],4,FALSE)</f>
        <v>9477</v>
      </c>
      <c r="D115" s="5" t="str">
        <f>"gift_"&amp;表1_3[[#This Row],[价格]]</f>
        <v>gift_2</v>
      </c>
      <c r="E115" s="5" t="str">
        <f>"gift_"&amp;表1_3[[#This Row],[价格]]</f>
        <v>gift_2</v>
      </c>
      <c r="F115" s="3" t="s">
        <v>40</v>
      </c>
      <c r="G115" s="3" t="str">
        <f>"[[""r002"","&amp;表1_3[[#This Row],[价格]]&amp;"]]"</f>
        <v>[["r002",2]]</v>
      </c>
      <c r="H115" s="13">
        <f>INT(VLOOKUP(表1_3[[#This Row],[名称]],[1]!表1[#Data],5,FALSE)/6)</f>
        <v>2</v>
      </c>
      <c r="I115" s="5" t="str">
        <f>VLOOKUP(表1_3[[#This Row],[名称]],[1]!表1[#Data],19,FALSE)</f>
        <v>[["i015",8],["i002",100],["i400",2],["i220",2]]</v>
      </c>
      <c r="J115" s="3">
        <v>1</v>
      </c>
      <c r="K115" s="3">
        <v>1</v>
      </c>
      <c r="L115" s="3" t="str">
        <f t="shared" si="2"/>
        <v>2018/06/18&amp;00:00:00</v>
      </c>
      <c r="M115" s="13" t="str">
        <f t="shared" si="3"/>
        <v>2018/06/18&amp;23:59:59</v>
      </c>
      <c r="N115" s="3">
        <v>1</v>
      </c>
      <c r="O115" s="3">
        <v>1</v>
      </c>
      <c r="P115" s="3">
        <v>0</v>
      </c>
      <c r="Q115" s="5">
        <f>VLOOKUP(表1_3[[#This Row],[名称]],[1]!表1[#Data],18,FALSE)*10</f>
        <v>3</v>
      </c>
      <c r="R115" s="11" t="s">
        <v>55</v>
      </c>
      <c r="S115" s="15" t="s">
        <v>64</v>
      </c>
    </row>
    <row r="116" spans="1:19" x14ac:dyDescent="0.15">
      <c r="A116" s="3">
        <v>10111</v>
      </c>
      <c r="B116" s="5">
        <f>VLOOKUP(表1_3[[#This Row],[名称]],[1]!表1[#Data],3,FALSE)</f>
        <v>9055</v>
      </c>
      <c r="C116" s="5">
        <f>VLOOKUP(表1_3[[#This Row],[名称]],[1]!表1[#Data],4,FALSE)</f>
        <v>9476</v>
      </c>
      <c r="D116" s="5" t="str">
        <f>"gift_"&amp;表1_3[[#This Row],[价格]]</f>
        <v>gift_1</v>
      </c>
      <c r="E116" s="5" t="str">
        <f>"gift_"&amp;表1_3[[#This Row],[价格]]</f>
        <v>gift_1</v>
      </c>
      <c r="F116" s="3" t="s">
        <v>40</v>
      </c>
      <c r="G116" s="3" t="str">
        <f>"[[""r002"","&amp;表1_3[[#This Row],[价格]]&amp;"]]"</f>
        <v>[["r002",1]]</v>
      </c>
      <c r="H116" s="13">
        <f>INT(VLOOKUP(表1_3[[#This Row],[名称]],[1]!表1[#Data],5,FALSE)/6)</f>
        <v>1</v>
      </c>
      <c r="I116" s="5" t="str">
        <f>VLOOKUP(表1_3[[#This Row],[名称]],[1]!表1[#Data],19,FALSE)</f>
        <v>[["i001",100000],["i002",100],["i400",1],["i220",5]]</v>
      </c>
      <c r="J116" s="3">
        <v>1</v>
      </c>
      <c r="K116" s="3">
        <v>1</v>
      </c>
      <c r="L116" s="3" t="str">
        <f t="shared" si="2"/>
        <v>2018/06/19&amp;00:00:00</v>
      </c>
      <c r="M116" s="13" t="str">
        <f t="shared" si="3"/>
        <v>2018/06/19&amp;23:59:59</v>
      </c>
      <c r="N116" s="3">
        <v>1</v>
      </c>
      <c r="O116" s="3">
        <v>1</v>
      </c>
      <c r="P116" s="3">
        <v>0</v>
      </c>
      <c r="Q116" s="5">
        <f>VLOOKUP(表1_3[[#This Row],[名称]],[1]!表1[#Data],18,FALSE)*10</f>
        <v>3.5999999999999996</v>
      </c>
      <c r="R116" s="3" t="s">
        <v>39</v>
      </c>
      <c r="S116" s="15" t="s">
        <v>63</v>
      </c>
    </row>
    <row r="117" spans="1:19" x14ac:dyDescent="0.15">
      <c r="A117" s="3">
        <v>10112</v>
      </c>
      <c r="B117" s="5">
        <f>VLOOKUP(表1_3[[#This Row],[名称]],[1]!表1[#Data],3,FALSE)</f>
        <v>9055</v>
      </c>
      <c r="C117" s="5">
        <f>VLOOKUP(表1_3[[#This Row],[名称]],[1]!表1[#Data],4,FALSE)</f>
        <v>9476</v>
      </c>
      <c r="D117" s="5" t="str">
        <f>"gift_"&amp;表1_3[[#This Row],[价格]]</f>
        <v>gift_1</v>
      </c>
      <c r="E117" s="5" t="str">
        <f>"gift_"&amp;表1_3[[#This Row],[价格]]</f>
        <v>gift_1</v>
      </c>
      <c r="F117" s="3" t="s">
        <v>40</v>
      </c>
      <c r="G117" s="3" t="str">
        <f>"[[""r002"","&amp;表1_3[[#This Row],[价格]]&amp;"]]"</f>
        <v>[["r002",1]]</v>
      </c>
      <c r="H117" s="13">
        <f>INT(VLOOKUP(表1_3[[#This Row],[名称]],[1]!表1[#Data],5,FALSE)/6)</f>
        <v>1</v>
      </c>
      <c r="I117" s="5" t="str">
        <f>VLOOKUP(表1_3[[#This Row],[名称]],[1]!表1[#Data],19,FALSE)</f>
        <v>[["i001",100000],["i002",100],["i400",1],["i220",5]]</v>
      </c>
      <c r="J117" s="3">
        <v>1</v>
      </c>
      <c r="K117" s="3">
        <v>1</v>
      </c>
      <c r="L117" s="3" t="str">
        <f t="shared" si="2"/>
        <v>2018/06/20&amp;00:00:00</v>
      </c>
      <c r="M117" s="13" t="str">
        <f t="shared" si="3"/>
        <v>2018/06/20&amp;23:59:59</v>
      </c>
      <c r="N117" s="3">
        <v>1</v>
      </c>
      <c r="O117" s="3">
        <v>1</v>
      </c>
      <c r="P117" s="3">
        <v>0</v>
      </c>
      <c r="Q117" s="5">
        <f>VLOOKUP(表1_3[[#This Row],[名称]],[1]!表1[#Data],18,FALSE)*10</f>
        <v>3.5999999999999996</v>
      </c>
      <c r="R117" s="3" t="s">
        <v>39</v>
      </c>
      <c r="S117" s="15" t="s">
        <v>63</v>
      </c>
    </row>
    <row r="118" spans="1:19" x14ac:dyDescent="0.15">
      <c r="A118" s="3">
        <v>10113</v>
      </c>
      <c r="B118" s="5">
        <f>VLOOKUP(表1_3[[#This Row],[名称]],[1]!表1[#Data],3,FALSE)</f>
        <v>9056</v>
      </c>
      <c r="C118" s="5">
        <f>VLOOKUP(表1_3[[#This Row],[名称]],[1]!表1[#Data],4,FALSE)</f>
        <v>9477</v>
      </c>
      <c r="D118" s="5" t="str">
        <f>"gift_"&amp;表1_3[[#This Row],[价格]]</f>
        <v>gift_2</v>
      </c>
      <c r="E118" s="5" t="str">
        <f>"gift_"&amp;表1_3[[#This Row],[价格]]</f>
        <v>gift_2</v>
      </c>
      <c r="F118" s="3" t="s">
        <v>40</v>
      </c>
      <c r="G118" s="3" t="str">
        <f>"[[""r002"","&amp;表1_3[[#This Row],[价格]]&amp;"]]"</f>
        <v>[["r002",2]]</v>
      </c>
      <c r="H118" s="13">
        <f>INT(VLOOKUP(表1_3[[#This Row],[名称]],[1]!表1[#Data],5,FALSE)/6)</f>
        <v>2</v>
      </c>
      <c r="I118" s="5" t="str">
        <f>VLOOKUP(表1_3[[#This Row],[名称]],[1]!表1[#Data],19,FALSE)</f>
        <v>[["i015",8],["i002",100],["i400",2],["i220",2]]</v>
      </c>
      <c r="J118" s="3">
        <v>1</v>
      </c>
      <c r="K118" s="3">
        <v>1</v>
      </c>
      <c r="L118" s="3" t="str">
        <f t="shared" si="2"/>
        <v>2018/06/21&amp;00:00:00</v>
      </c>
      <c r="M118" s="13" t="str">
        <f t="shared" si="3"/>
        <v>2018/06/21&amp;23:59:59</v>
      </c>
      <c r="N118" s="3">
        <v>1</v>
      </c>
      <c r="O118" s="3">
        <v>1</v>
      </c>
      <c r="P118" s="3">
        <v>0</v>
      </c>
      <c r="Q118" s="5">
        <f>VLOOKUP(表1_3[[#This Row],[名称]],[1]!表1[#Data],18,FALSE)*10</f>
        <v>3</v>
      </c>
      <c r="R118" s="11" t="s">
        <v>55</v>
      </c>
      <c r="S118" s="15" t="s">
        <v>64</v>
      </c>
    </row>
    <row r="119" spans="1:19" x14ac:dyDescent="0.15">
      <c r="A119" s="3">
        <v>10114</v>
      </c>
      <c r="B119" s="5">
        <f>VLOOKUP(表1_3[[#This Row],[名称]],[1]!表1[#Data],3,FALSE)</f>
        <v>9055</v>
      </c>
      <c r="C119" s="5">
        <f>VLOOKUP(表1_3[[#This Row],[名称]],[1]!表1[#Data],4,FALSE)</f>
        <v>9476</v>
      </c>
      <c r="D119" s="5" t="str">
        <f>"gift_"&amp;表1_3[[#This Row],[价格]]</f>
        <v>gift_1</v>
      </c>
      <c r="E119" s="5" t="str">
        <f>"gift_"&amp;表1_3[[#This Row],[价格]]</f>
        <v>gift_1</v>
      </c>
      <c r="F119" s="3" t="s">
        <v>40</v>
      </c>
      <c r="G119" s="3" t="str">
        <f>"[[""r002"","&amp;表1_3[[#This Row],[价格]]&amp;"]]"</f>
        <v>[["r002",1]]</v>
      </c>
      <c r="H119" s="13">
        <f>INT(VLOOKUP(表1_3[[#This Row],[名称]],[1]!表1[#Data],5,FALSE)/6)</f>
        <v>1</v>
      </c>
      <c r="I119" s="5" t="str">
        <f>VLOOKUP(表1_3[[#This Row],[名称]],[1]!表1[#Data],19,FALSE)</f>
        <v>[["i215",10],["i002",50],["i004",1],["i240",20]]</v>
      </c>
      <c r="J119" s="3">
        <v>1</v>
      </c>
      <c r="K119" s="3">
        <v>1</v>
      </c>
      <c r="L119" s="3" t="str">
        <f t="shared" si="2"/>
        <v>2018/06/22&amp;00:00:00</v>
      </c>
      <c r="M119" s="13" t="str">
        <f t="shared" si="3"/>
        <v>2018/06/22&amp;23:59:59</v>
      </c>
      <c r="N119" s="3">
        <v>1</v>
      </c>
      <c r="O119" s="3">
        <v>1</v>
      </c>
      <c r="P119" s="3">
        <v>0</v>
      </c>
      <c r="Q119" s="5">
        <f>VLOOKUP(表1_3[[#This Row],[名称]],[1]!表1[#Data],18,FALSE)*10</f>
        <v>2.7</v>
      </c>
      <c r="R119" s="11" t="s">
        <v>58</v>
      </c>
      <c r="S119" s="15" t="s">
        <v>65</v>
      </c>
    </row>
    <row r="120" spans="1:19" x14ac:dyDescent="0.15">
      <c r="A120" s="3">
        <v>10115</v>
      </c>
      <c r="B120" s="5">
        <f>VLOOKUP(表1_3[[#This Row],[名称]],[1]!表1[#Data],3,FALSE)</f>
        <v>9056</v>
      </c>
      <c r="C120" s="5">
        <f>VLOOKUP(表1_3[[#This Row],[名称]],[1]!表1[#Data],4,FALSE)</f>
        <v>9477</v>
      </c>
      <c r="D120" s="5" t="str">
        <f>"gift_"&amp;表1_3[[#This Row],[价格]]</f>
        <v>gift_2</v>
      </c>
      <c r="E120" s="5" t="str">
        <f>"gift_"&amp;表1_3[[#This Row],[价格]]</f>
        <v>gift_2</v>
      </c>
      <c r="F120" s="3" t="s">
        <v>40</v>
      </c>
      <c r="G120" s="3" t="str">
        <f>"[[""r002"","&amp;表1_3[[#This Row],[价格]]&amp;"]]"</f>
        <v>[["r002",2]]</v>
      </c>
      <c r="H120" s="13">
        <f>INT(VLOOKUP(表1_3[[#This Row],[名称]],[1]!表1[#Data],5,FALSE)/6)</f>
        <v>2</v>
      </c>
      <c r="I120" s="5" t="str">
        <f>VLOOKUP(表1_3[[#This Row],[名称]],[1]!表1[#Data],19,FALSE)</f>
        <v>[["i001",200000],["i002",200],["i400",2],["i220",10]]</v>
      </c>
      <c r="J120" s="3">
        <v>1</v>
      </c>
      <c r="K120" s="3">
        <v>1</v>
      </c>
      <c r="L120" s="3" t="str">
        <f t="shared" si="2"/>
        <v>2018/06/23&amp;00:00:00</v>
      </c>
      <c r="M120" s="13" t="str">
        <f t="shared" si="3"/>
        <v>2018/06/23&amp;23:59:59</v>
      </c>
      <c r="N120" s="3">
        <v>1</v>
      </c>
      <c r="O120" s="3">
        <v>1</v>
      </c>
      <c r="P120" s="3">
        <v>0</v>
      </c>
      <c r="Q120" s="5">
        <f>VLOOKUP(表1_3[[#This Row],[名称]],[1]!表1[#Data],18,FALSE)*10</f>
        <v>3.8</v>
      </c>
      <c r="R120" s="3" t="s">
        <v>41</v>
      </c>
      <c r="S120" s="15" t="s">
        <v>66</v>
      </c>
    </row>
    <row r="121" spans="1:19" x14ac:dyDescent="0.15">
      <c r="A121" s="3">
        <v>10116</v>
      </c>
      <c r="B121" s="5">
        <f>VLOOKUP(表1_3[[#This Row],[名称]],[1]!表1[#Data],3,FALSE)</f>
        <v>9072</v>
      </c>
      <c r="C121" s="5">
        <f>VLOOKUP(表1_3[[#This Row],[名称]],[1]!表1[#Data],4,FALSE)</f>
        <v>9493</v>
      </c>
      <c r="D121" s="5" t="str">
        <f>"gift_"&amp;表1_3[[#This Row],[价格]]</f>
        <v>gift_3</v>
      </c>
      <c r="E121" s="5" t="str">
        <f>"gift_"&amp;表1_3[[#This Row],[价格]]</f>
        <v>gift_3</v>
      </c>
      <c r="F121" s="3" t="s">
        <v>40</v>
      </c>
      <c r="G121" s="3" t="str">
        <f>"[[""r002"","&amp;表1_3[[#This Row],[价格]]&amp;"]]"</f>
        <v>[["r002",3]]</v>
      </c>
      <c r="H121" s="13">
        <f>INT(VLOOKUP(表1_3[[#This Row],[名称]],[1]!表1[#Data],5,FALSE)/6)</f>
        <v>3</v>
      </c>
      <c r="I121" s="5" t="str">
        <f>VLOOKUP(表1_3[[#This Row],[名称]],[1]!表1[#Data],19,FALSE)</f>
        <v>[["i016",10],["i001",50000],["i400",5],["i004",5]]</v>
      </c>
      <c r="J121" s="3">
        <v>1</v>
      </c>
      <c r="K121" s="3">
        <v>1</v>
      </c>
      <c r="L121" s="3" t="str">
        <f t="shared" si="2"/>
        <v>2018/06/24&amp;00:00:00</v>
      </c>
      <c r="M121" s="13" t="str">
        <f t="shared" si="3"/>
        <v>2018/06/24&amp;23:59:59</v>
      </c>
      <c r="N121" s="3">
        <v>1</v>
      </c>
      <c r="O121" s="3">
        <v>1</v>
      </c>
      <c r="P121" s="3">
        <v>0</v>
      </c>
      <c r="Q121" s="5">
        <f>VLOOKUP(表1_3[[#This Row],[名称]],[1]!表1[#Data],18,FALSE)*10</f>
        <v>1.5</v>
      </c>
      <c r="R121" s="11" t="s">
        <v>61</v>
      </c>
      <c r="S121" s="15" t="s">
        <v>67</v>
      </c>
    </row>
    <row r="122" spans="1:19" x14ac:dyDescent="0.15">
      <c r="A122" s="3">
        <v>10117</v>
      </c>
      <c r="B122" s="5">
        <f>VLOOKUP(表1_3[[#This Row],[名称]],[1]!表1[#Data],3,FALSE)</f>
        <v>9055</v>
      </c>
      <c r="C122" s="5">
        <f>VLOOKUP(表1_3[[#This Row],[名称]],[1]!表1[#Data],4,FALSE)</f>
        <v>9476</v>
      </c>
      <c r="D122" s="5" t="str">
        <f>"gift_"&amp;表1_3[[#This Row],[价格]]</f>
        <v>gift_1</v>
      </c>
      <c r="E122" s="5" t="str">
        <f>"gift_"&amp;表1_3[[#This Row],[价格]]</f>
        <v>gift_1</v>
      </c>
      <c r="F122" s="3" t="s">
        <v>40</v>
      </c>
      <c r="G122" s="3" t="str">
        <f>"[[""r002"","&amp;表1_3[[#This Row],[价格]]&amp;"]]"</f>
        <v>[["r002",1]]</v>
      </c>
      <c r="H122" s="13">
        <f>INT(VLOOKUP(表1_3[[#This Row],[名称]],[1]!表1[#Data],5,FALSE)/6)</f>
        <v>1</v>
      </c>
      <c r="I122" s="5" t="str">
        <f>VLOOKUP(表1_3[[#This Row],[名称]],[1]!表1[#Data],19,FALSE)</f>
        <v>[["i011",50],["i001",100000],["i004",1],["i015",1]]</v>
      </c>
      <c r="J122" s="3">
        <v>1</v>
      </c>
      <c r="K122" s="3">
        <v>1</v>
      </c>
      <c r="L122" s="3" t="str">
        <f t="shared" si="2"/>
        <v>2018/06/25&amp;00:00:00</v>
      </c>
      <c r="M122" s="13" t="str">
        <f t="shared" si="3"/>
        <v>2018/06/25&amp;23:59:59</v>
      </c>
      <c r="N122" s="3">
        <v>1</v>
      </c>
      <c r="O122" s="3">
        <v>1</v>
      </c>
      <c r="P122" s="3">
        <v>0</v>
      </c>
      <c r="Q122" s="5">
        <f>VLOOKUP(表1_3[[#This Row],[名称]],[1]!表1[#Data],18,FALSE)*10</f>
        <v>2.4</v>
      </c>
      <c r="R122" s="11" t="s">
        <v>60</v>
      </c>
      <c r="S122" s="15" t="s">
        <v>68</v>
      </c>
    </row>
    <row r="123" spans="1:19" x14ac:dyDescent="0.15">
      <c r="A123" s="3">
        <v>10118</v>
      </c>
      <c r="B123" s="5">
        <f>VLOOKUP(表1_3[[#This Row],[名称]],[1]!表1[#Data],3,FALSE)</f>
        <v>9055</v>
      </c>
      <c r="C123" s="5">
        <f>VLOOKUP(表1_3[[#This Row],[名称]],[1]!表1[#Data],4,FALSE)</f>
        <v>9476</v>
      </c>
      <c r="D123" s="5" t="str">
        <f>"gift_"&amp;表1_3[[#This Row],[价格]]</f>
        <v>gift_1</v>
      </c>
      <c r="E123" s="5" t="str">
        <f>"gift_"&amp;表1_3[[#This Row],[价格]]</f>
        <v>gift_1</v>
      </c>
      <c r="F123" s="3" t="s">
        <v>40</v>
      </c>
      <c r="G123" s="3" t="str">
        <f>"[[""r002"","&amp;表1_3[[#This Row],[价格]]&amp;"]]"</f>
        <v>[["r002",1]]</v>
      </c>
      <c r="H123" s="13">
        <f>INT(VLOOKUP(表1_3[[#This Row],[名称]],[1]!表1[#Data],5,FALSE)/6)</f>
        <v>1</v>
      </c>
      <c r="I123" s="5" t="str">
        <f>VLOOKUP(表1_3[[#This Row],[名称]],[1]!表1[#Data],19,FALSE)</f>
        <v>[["i006",25],["i001",50000],["i004",1],["i015",1]]</v>
      </c>
      <c r="J123" s="3">
        <v>1</v>
      </c>
      <c r="K123" s="3">
        <v>1</v>
      </c>
      <c r="L123" s="3" t="str">
        <f t="shared" si="2"/>
        <v>2018/06/26&amp;00:00:00</v>
      </c>
      <c r="M123" s="13" t="str">
        <f t="shared" si="3"/>
        <v>2018/06/26&amp;23:59:59</v>
      </c>
      <c r="N123" s="3">
        <v>1</v>
      </c>
      <c r="O123" s="3">
        <v>1</v>
      </c>
      <c r="P123" s="3">
        <v>0</v>
      </c>
      <c r="Q123" s="5">
        <f>VLOOKUP(表1_3[[#This Row],[名称]],[1]!表1[#Data],18,FALSE)*10</f>
        <v>1.9</v>
      </c>
      <c r="R123" s="11" t="s">
        <v>59</v>
      </c>
      <c r="S123" s="15" t="s">
        <v>69</v>
      </c>
    </row>
    <row r="124" spans="1:19" x14ac:dyDescent="0.15">
      <c r="A124" s="3">
        <v>10119</v>
      </c>
      <c r="B124" s="5">
        <f>VLOOKUP(表1_3[[#This Row],[名称]],[1]!表1[#Data],3,FALSE)</f>
        <v>9056</v>
      </c>
      <c r="C124" s="5">
        <f>VLOOKUP(表1_3[[#This Row],[名称]],[1]!表1[#Data],4,FALSE)</f>
        <v>9477</v>
      </c>
      <c r="D124" s="5" t="str">
        <f>"gift_"&amp;表1_3[[#This Row],[价格]]</f>
        <v>gift_2</v>
      </c>
      <c r="E124" s="5" t="str">
        <f>"gift_"&amp;表1_3[[#This Row],[价格]]</f>
        <v>gift_2</v>
      </c>
      <c r="F124" s="3" t="s">
        <v>40</v>
      </c>
      <c r="G124" s="3" t="str">
        <f>"[[""r002"","&amp;表1_3[[#This Row],[价格]]&amp;"]]"</f>
        <v>[["r002",2]]</v>
      </c>
      <c r="H124" s="14">
        <f>INT(VLOOKUP(表1_3[[#This Row],[名称]],[1]!表1[#Data],5,FALSE)/6)</f>
        <v>2</v>
      </c>
      <c r="I124" s="5" t="str">
        <f>VLOOKUP(表1_3[[#This Row],[名称]],[1]!表1[#Data],19,FALSE)</f>
        <v>[["i240",180],["i002",150],["i001",50000],["i220",5]]</v>
      </c>
      <c r="J124" s="3">
        <v>1</v>
      </c>
      <c r="K124" s="3">
        <v>1</v>
      </c>
      <c r="L124" s="3" t="str">
        <f t="shared" si="2"/>
        <v>2018/06/27&amp;00:00:00</v>
      </c>
      <c r="M124" s="13" t="str">
        <f t="shared" si="3"/>
        <v>2018/06/27&amp;23:59:59</v>
      </c>
      <c r="N124" s="3">
        <v>1</v>
      </c>
      <c r="O124" s="3">
        <v>1</v>
      </c>
      <c r="P124" s="3">
        <v>0</v>
      </c>
      <c r="Q124" s="5">
        <f>VLOOKUP(表1_3[[#This Row],[名称]],[1]!表1[#Data],18,FALSE)*10</f>
        <v>2.5</v>
      </c>
      <c r="R124" s="11" t="s">
        <v>56</v>
      </c>
      <c r="S124" s="15" t="s">
        <v>70</v>
      </c>
    </row>
    <row r="125" spans="1:19" x14ac:dyDescent="0.15">
      <c r="A125" s="3">
        <v>10120</v>
      </c>
      <c r="B125" s="5">
        <f>VLOOKUP(表1_3[[#This Row],[名称]],[1]!表1[#Data],3,FALSE)</f>
        <v>9072</v>
      </c>
      <c r="C125" s="5">
        <f>VLOOKUP(表1_3[[#This Row],[名称]],[1]!表1[#Data],4,FALSE)</f>
        <v>9493</v>
      </c>
      <c r="D125" s="5" t="str">
        <f>"gift_"&amp;表1_3[[#This Row],[价格]]</f>
        <v>gift_3</v>
      </c>
      <c r="E125" s="5" t="str">
        <f>"gift_"&amp;表1_3[[#This Row],[价格]]</f>
        <v>gift_3</v>
      </c>
      <c r="F125" s="3" t="s">
        <v>40</v>
      </c>
      <c r="G125" s="3" t="str">
        <f>"[[""r002"","&amp;表1_3[[#This Row],[价格]]&amp;"]]"</f>
        <v>[["r002",3]]</v>
      </c>
      <c r="H125" s="14">
        <f>INT(VLOOKUP(表1_3[[#This Row],[名称]],[1]!表1[#Data],5,FALSE)/6)</f>
        <v>3</v>
      </c>
      <c r="I125" s="5" t="str">
        <f>VLOOKUP(表1_3[[#This Row],[名称]],[1]!表1[#Data],19,FALSE)</f>
        <v>[["i001",300000],["i002",300],["i015",1],["i400",2]]</v>
      </c>
      <c r="J125" s="3">
        <v>1</v>
      </c>
      <c r="K125" s="3">
        <v>1</v>
      </c>
      <c r="L125" s="3" t="str">
        <f t="shared" si="2"/>
        <v>2018/06/28&amp;00:00:00</v>
      </c>
      <c r="M125" s="13" t="str">
        <f t="shared" si="3"/>
        <v>2018/06/28&amp;23:59:59</v>
      </c>
      <c r="N125" s="3">
        <v>1</v>
      </c>
      <c r="O125" s="3">
        <v>1</v>
      </c>
      <c r="P125" s="3">
        <v>0</v>
      </c>
      <c r="Q125" s="5">
        <f>VLOOKUP(表1_3[[#This Row],[名称]],[1]!表1[#Data],18,FALSE)*10</f>
        <v>4</v>
      </c>
      <c r="R125" s="3" t="s">
        <v>42</v>
      </c>
      <c r="S125" s="15" t="s">
        <v>71</v>
      </c>
    </row>
    <row r="126" spans="1:19" x14ac:dyDescent="0.15">
      <c r="A126" s="3">
        <v>10121</v>
      </c>
      <c r="B126" s="5">
        <f>VLOOKUP(表1_3[[#This Row],[名称]],[1]!表1[#Data],3,FALSE)</f>
        <v>9055</v>
      </c>
      <c r="C126" s="5">
        <f>VLOOKUP(表1_3[[#This Row],[名称]],[1]!表1[#Data],4,FALSE)</f>
        <v>9476</v>
      </c>
      <c r="D126" s="5" t="str">
        <f>"gift_"&amp;表1_3[[#This Row],[价格]]</f>
        <v>gift_1</v>
      </c>
      <c r="E126" s="5" t="str">
        <f>"gift_"&amp;表1_3[[#This Row],[价格]]</f>
        <v>gift_1</v>
      </c>
      <c r="F126" s="3" t="s">
        <v>40</v>
      </c>
      <c r="G126" s="3" t="str">
        <f>"[[""r002"","&amp;表1_3[[#This Row],[价格]]&amp;"]]"</f>
        <v>[["r002",1]]</v>
      </c>
      <c r="H126" s="14">
        <f>INT(VLOOKUP(表1_3[[#This Row],[名称]],[1]!表1[#Data],5,FALSE)/6)</f>
        <v>1</v>
      </c>
      <c r="I126" s="5" t="str">
        <f>VLOOKUP(表1_3[[#This Row],[名称]],[1]!表1[#Data],19,FALSE)</f>
        <v>[["i400",20],["i002",50],["i015",1],["i220",2]]</v>
      </c>
      <c r="J126" s="3">
        <v>1</v>
      </c>
      <c r="K126" s="3">
        <v>1</v>
      </c>
      <c r="L126" s="3" t="str">
        <f t="shared" si="2"/>
        <v>2018/06/29&amp;00:00:00</v>
      </c>
      <c r="M126" s="13" t="str">
        <f t="shared" si="3"/>
        <v>2018/06/29&amp;23:59:59</v>
      </c>
      <c r="N126" s="3">
        <v>1</v>
      </c>
      <c r="O126" s="3">
        <v>1</v>
      </c>
      <c r="P126" s="3">
        <v>0</v>
      </c>
      <c r="Q126" s="5">
        <f>VLOOKUP(表1_3[[#This Row],[名称]],[1]!表1[#Data],18,FALSE)*10</f>
        <v>1.9</v>
      </c>
      <c r="R126" s="11" t="s">
        <v>57</v>
      </c>
      <c r="S126" s="15" t="s">
        <v>72</v>
      </c>
    </row>
    <row r="127" spans="1:19" x14ac:dyDescent="0.15">
      <c r="A127" s="3">
        <v>10122</v>
      </c>
      <c r="B127" s="5">
        <f>VLOOKUP(表1_3[[#This Row],[名称]],[1]!表1[#Data],3,FALSE)</f>
        <v>9067</v>
      </c>
      <c r="C127" s="5">
        <f>VLOOKUP(表1_3[[#This Row],[名称]],[1]!表1[#Data],4,FALSE)</f>
        <v>9488</v>
      </c>
      <c r="D127" s="5" t="str">
        <f>"gift_"&amp;表1_3[[#This Row],[价格]]</f>
        <v>gift_5</v>
      </c>
      <c r="E127" s="5" t="str">
        <f>"gift_"&amp;表1_3[[#This Row],[价格]]</f>
        <v>gift_5</v>
      </c>
      <c r="F127" s="3" t="s">
        <v>40</v>
      </c>
      <c r="G127" s="3" t="str">
        <f>"[[""r002"","&amp;表1_3[[#This Row],[价格]]&amp;"]]"</f>
        <v>[["r002",5]]</v>
      </c>
      <c r="H127" s="14">
        <f>INT(VLOOKUP(表1_3[[#This Row],[名称]],[1]!表1[#Data],5,FALSE)/6)</f>
        <v>5</v>
      </c>
      <c r="I127" s="5" t="str">
        <f>VLOOKUP(表1_3[[#This Row],[名称]],[1]!表1[#Data],19,FALSE)</f>
        <v>[["i001",400000],["i002",400],["i015",1],["i006",5]]</v>
      </c>
      <c r="J127" s="3">
        <v>1</v>
      </c>
      <c r="K127" s="3">
        <v>1</v>
      </c>
      <c r="L127" s="3" t="str">
        <f t="shared" si="2"/>
        <v>2018/06/30&amp;00:00:00</v>
      </c>
      <c r="M127" s="13" t="str">
        <f t="shared" si="3"/>
        <v>2018/06/30&amp;23:59:59</v>
      </c>
      <c r="N127" s="3">
        <v>1</v>
      </c>
      <c r="O127" s="3">
        <v>1</v>
      </c>
      <c r="P127" s="3">
        <v>0</v>
      </c>
      <c r="Q127" s="5">
        <f>VLOOKUP(表1_3[[#This Row],[名称]],[1]!表1[#Data],18,FALSE)*10</f>
        <v>3.8</v>
      </c>
      <c r="R127" s="3" t="s">
        <v>43</v>
      </c>
      <c r="S127" s="15" t="s">
        <v>73</v>
      </c>
    </row>
    <row r="128" spans="1:19" x14ac:dyDescent="0.15">
      <c r="A128" s="3">
        <v>10123</v>
      </c>
      <c r="B128" s="5">
        <f>VLOOKUP(表1_3[[#This Row],[名称]],[1]!表1[#Data],3,FALSE)</f>
        <v>9075</v>
      </c>
      <c r="C128" s="5">
        <f>VLOOKUP(表1_3[[#This Row],[名称]],[1]!表1[#Data],4,FALSE)</f>
        <v>9496</v>
      </c>
      <c r="D128" s="5" t="str">
        <f>"gift_"&amp;表1_3[[#This Row],[价格]]</f>
        <v>gift_7</v>
      </c>
      <c r="E128" s="5" t="str">
        <f>"gift_"&amp;表1_3[[#This Row],[价格]]</f>
        <v>gift_7</v>
      </c>
      <c r="F128" s="3" t="s">
        <v>40</v>
      </c>
      <c r="G128" s="3" t="str">
        <f>"[[""r002"","&amp;表1_3[[#This Row],[价格]]&amp;"]]"</f>
        <v>[["r002",7]]</v>
      </c>
      <c r="H128" s="14">
        <f>INT(VLOOKUP(表1_3[[#This Row],[名称]],[1]!表1[#Data],5,FALSE)/6)</f>
        <v>7</v>
      </c>
      <c r="I128" s="5" t="str">
        <f>VLOOKUP(表1_3[[#This Row],[名称]],[1]!表1[#Data],19,FALSE)</f>
        <v>[["i017",8],["i002",100],["i004",10],["i006",10]]</v>
      </c>
      <c r="J128" s="3">
        <v>1</v>
      </c>
      <c r="K128" s="3">
        <v>1</v>
      </c>
      <c r="L128" s="3" t="str">
        <f t="shared" si="2"/>
        <v>2018/07/01&amp;00:00:00</v>
      </c>
      <c r="M128" s="13" t="str">
        <f t="shared" si="3"/>
        <v>2018/07/01&amp;23:59:59</v>
      </c>
      <c r="N128" s="3">
        <v>1</v>
      </c>
      <c r="O128" s="3">
        <v>1</v>
      </c>
      <c r="P128" s="3">
        <v>0</v>
      </c>
      <c r="Q128" s="5">
        <f>VLOOKUP(表1_3[[#This Row],[名称]],[1]!表1[#Data],18,FALSE)*10</f>
        <v>1</v>
      </c>
      <c r="R128" s="11" t="s">
        <v>62</v>
      </c>
      <c r="S128" s="15" t="s">
        <v>74</v>
      </c>
    </row>
    <row r="129" spans="1:19" x14ac:dyDescent="0.15">
      <c r="A129" s="3">
        <v>10124</v>
      </c>
      <c r="B129" s="5">
        <f>VLOOKUP(表1_3[[#This Row],[名称]],[1]!表1[#Data],3,FALSE)</f>
        <v>9055</v>
      </c>
      <c r="C129" s="5">
        <f>VLOOKUP(表1_3[[#This Row],[名称]],[1]!表1[#Data],4,FALSE)</f>
        <v>9476</v>
      </c>
      <c r="D129" s="5" t="str">
        <f>"gift_"&amp;表1_3[[#This Row],[价格]]</f>
        <v>gift_1</v>
      </c>
      <c r="E129" s="5" t="str">
        <f>"gift_"&amp;表1_3[[#This Row],[价格]]</f>
        <v>gift_1</v>
      </c>
      <c r="F129" s="3" t="s">
        <v>40</v>
      </c>
      <c r="G129" s="3" t="str">
        <f>"[[""r002"","&amp;表1_3[[#This Row],[价格]]&amp;"]]"</f>
        <v>[["r002",1]]</v>
      </c>
      <c r="H129" s="14">
        <f>INT(VLOOKUP(表1_3[[#This Row],[名称]],[1]!表1[#Data],5,FALSE)/6)</f>
        <v>1</v>
      </c>
      <c r="I129" s="5" t="str">
        <f>VLOOKUP(表1_3[[#This Row],[名称]],[1]!表1[#Data],19,FALSE)</f>
        <v>[["i215",10],["i002",50],["i004",1],["i240",20]]</v>
      </c>
      <c r="J129" s="3">
        <v>1</v>
      </c>
      <c r="K129" s="3">
        <v>1</v>
      </c>
      <c r="L129" s="3" t="str">
        <f t="shared" si="2"/>
        <v>2018/07/02&amp;00:00:00</v>
      </c>
      <c r="M129" s="13" t="str">
        <f t="shared" si="3"/>
        <v>2018/07/02&amp;23:59:59</v>
      </c>
      <c r="N129" s="3">
        <v>1</v>
      </c>
      <c r="O129" s="3">
        <v>1</v>
      </c>
      <c r="P129" s="3">
        <v>0</v>
      </c>
      <c r="Q129" s="5">
        <f>VLOOKUP(表1_3[[#This Row],[名称]],[1]!表1[#Data],18,FALSE)*10</f>
        <v>2.7</v>
      </c>
      <c r="R129" s="11" t="s">
        <v>58</v>
      </c>
      <c r="S129" s="15" t="s">
        <v>65</v>
      </c>
    </row>
    <row r="130" spans="1:19" x14ac:dyDescent="0.15">
      <c r="A130" s="3">
        <v>10125</v>
      </c>
      <c r="B130" s="5">
        <f>VLOOKUP(表1_3[[#This Row],[名称]],[1]!表1[#Data],3,FALSE)</f>
        <v>9075</v>
      </c>
      <c r="C130" s="5">
        <f>VLOOKUP(表1_3[[#This Row],[名称]],[1]!表1[#Data],4,FALSE)</f>
        <v>9496</v>
      </c>
      <c r="D130" s="5" t="str">
        <f>"gift_"&amp;表1_3[[#This Row],[价格]]</f>
        <v>gift_7</v>
      </c>
      <c r="E130" s="5" t="str">
        <f>"gift_"&amp;表1_3[[#This Row],[价格]]</f>
        <v>gift_7</v>
      </c>
      <c r="F130" s="3" t="s">
        <v>40</v>
      </c>
      <c r="G130" s="3" t="str">
        <f>"[[""r002"","&amp;表1_3[[#This Row],[价格]]&amp;"]]"</f>
        <v>[["r002",7]]</v>
      </c>
      <c r="H130" s="12">
        <f>INT(VLOOKUP(表1_3[[#This Row],[名称]],[1]!表1[#Data],5,FALSE)/6)</f>
        <v>7</v>
      </c>
      <c r="I130" s="5" t="str">
        <f>VLOOKUP(表1_3[[#This Row],[名称]],[1]!表1[#Data],19,FALSE)</f>
        <v>[["i001",500000],["i002",500],["i015",1],["i004",4]]</v>
      </c>
      <c r="J130" s="3">
        <v>1</v>
      </c>
      <c r="K130" s="3">
        <v>1</v>
      </c>
      <c r="L130" s="3" t="str">
        <f t="shared" si="2"/>
        <v>2018/07/03&amp;00:00:00</v>
      </c>
      <c r="M130" s="13" t="str">
        <f t="shared" si="3"/>
        <v>2018/07/03&amp;23:59:59</v>
      </c>
      <c r="N130" s="3">
        <v>1</v>
      </c>
      <c r="O130" s="3">
        <v>1</v>
      </c>
      <c r="P130" s="3">
        <v>0</v>
      </c>
      <c r="Q130" s="5">
        <f>VLOOKUP(表1_3[[#This Row],[名称]],[1]!表1[#Data],18,FALSE)*10</f>
        <v>3.8</v>
      </c>
      <c r="R130" s="3" t="s">
        <v>44</v>
      </c>
      <c r="S130" s="15" t="s">
        <v>75</v>
      </c>
    </row>
    <row r="131" spans="1:19" x14ac:dyDescent="0.15">
      <c r="A131" s="3">
        <v>10126</v>
      </c>
      <c r="B131" s="5">
        <f>VLOOKUP(表1_3[[#This Row],[名称]],[1]!表1[#Data],3,FALSE)</f>
        <v>9055</v>
      </c>
      <c r="C131" s="5">
        <f>VLOOKUP(表1_3[[#This Row],[名称]],[1]!表1[#Data],4,FALSE)</f>
        <v>9476</v>
      </c>
      <c r="D131" s="5" t="str">
        <f>"gift_"&amp;表1_3[[#This Row],[价格]]</f>
        <v>gift_1</v>
      </c>
      <c r="E131" s="5" t="str">
        <f>"gift_"&amp;表1_3[[#This Row],[价格]]</f>
        <v>gift_1</v>
      </c>
      <c r="F131" s="3" t="s">
        <v>40</v>
      </c>
      <c r="G131" s="3" t="str">
        <f>"[[""r002"","&amp;表1_3[[#This Row],[价格]]&amp;"]]"</f>
        <v>[["r002",1]]</v>
      </c>
      <c r="H131" s="12">
        <f>INT(VLOOKUP(表1_3[[#This Row],[名称]],[1]!表1[#Data],5,FALSE)/6)</f>
        <v>1</v>
      </c>
      <c r="I131" s="5" t="str">
        <f>VLOOKUP(表1_3[[#This Row],[名称]],[1]!表1[#Data],19,FALSE)</f>
        <v>[["i001",100000],["i002",100],["i400",1],["i220",5]]</v>
      </c>
      <c r="J131" s="3">
        <v>1</v>
      </c>
      <c r="K131" s="3">
        <v>1</v>
      </c>
      <c r="L131" s="3" t="str">
        <f t="shared" si="2"/>
        <v>2018/07/04&amp;00:00:00</v>
      </c>
      <c r="M131" s="13" t="str">
        <f t="shared" si="3"/>
        <v>2018/07/04&amp;23:59:59</v>
      </c>
      <c r="N131" s="3">
        <v>1</v>
      </c>
      <c r="O131" s="3">
        <v>1</v>
      </c>
      <c r="P131" s="3">
        <v>0</v>
      </c>
      <c r="Q131" s="5">
        <f>VLOOKUP(表1_3[[#This Row],[名称]],[1]!表1[#Data],18,FALSE)*10</f>
        <v>3.5999999999999996</v>
      </c>
      <c r="R131" s="3" t="s">
        <v>39</v>
      </c>
      <c r="S131" s="15" t="s">
        <v>63</v>
      </c>
    </row>
    <row r="132" spans="1:19" x14ac:dyDescent="0.15">
      <c r="A132" s="3">
        <v>10127</v>
      </c>
      <c r="B132" s="5">
        <f>VLOOKUP(表1_3[[#This Row],[名称]],[1]!表1[#Data],3,FALSE)</f>
        <v>9056</v>
      </c>
      <c r="C132" s="5">
        <f>VLOOKUP(表1_3[[#This Row],[名称]],[1]!表1[#Data],4,FALSE)</f>
        <v>9477</v>
      </c>
      <c r="D132" s="5" t="str">
        <f>"gift_"&amp;表1_3[[#This Row],[价格]]</f>
        <v>gift_2</v>
      </c>
      <c r="E132" s="5" t="str">
        <f>"gift_"&amp;表1_3[[#This Row],[价格]]</f>
        <v>gift_2</v>
      </c>
      <c r="F132" s="3" t="s">
        <v>40</v>
      </c>
      <c r="G132" s="3" t="str">
        <f>"[[""r002"","&amp;表1_3[[#This Row],[价格]]&amp;"]]"</f>
        <v>[["r002",2]]</v>
      </c>
      <c r="H132" s="12">
        <f>INT(VLOOKUP(表1_3[[#This Row],[名称]],[1]!表1[#Data],5,FALSE)/6)</f>
        <v>2</v>
      </c>
      <c r="I132" s="5" t="str">
        <f>VLOOKUP(表1_3[[#This Row],[名称]],[1]!表1[#Data],19,FALSE)</f>
        <v>[["i015",8],["i002",100],["i400",2],["i220",2]]</v>
      </c>
      <c r="J132" s="3">
        <v>1</v>
      </c>
      <c r="K132" s="3">
        <v>1</v>
      </c>
      <c r="L132" s="3" t="str">
        <f t="shared" si="2"/>
        <v>2018/07/05&amp;00:00:00</v>
      </c>
      <c r="M132" s="13" t="str">
        <f t="shared" si="3"/>
        <v>2018/07/05&amp;23:59:59</v>
      </c>
      <c r="N132" s="3">
        <v>1</v>
      </c>
      <c r="O132" s="3">
        <v>1</v>
      </c>
      <c r="P132" s="3">
        <v>0</v>
      </c>
      <c r="Q132" s="5">
        <f>VLOOKUP(表1_3[[#This Row],[名称]],[1]!表1[#Data],18,FALSE)*10</f>
        <v>3</v>
      </c>
      <c r="R132" s="11" t="s">
        <v>55</v>
      </c>
      <c r="S132" s="15" t="s">
        <v>64</v>
      </c>
    </row>
    <row r="133" spans="1:19" x14ac:dyDescent="0.15">
      <c r="A133" s="3">
        <v>10128</v>
      </c>
      <c r="B133" s="5">
        <f>VLOOKUP(表1_3[[#This Row],[名称]],[1]!表1[#Data],3,FALSE)</f>
        <v>9055</v>
      </c>
      <c r="C133" s="5">
        <f>VLOOKUP(表1_3[[#This Row],[名称]],[1]!表1[#Data],4,FALSE)</f>
        <v>9476</v>
      </c>
      <c r="D133" s="5" t="str">
        <f>"gift_"&amp;表1_3[[#This Row],[价格]]</f>
        <v>gift_1</v>
      </c>
      <c r="E133" s="5" t="str">
        <f>"gift_"&amp;表1_3[[#This Row],[价格]]</f>
        <v>gift_1</v>
      </c>
      <c r="F133" s="3" t="s">
        <v>40</v>
      </c>
      <c r="G133" s="3" t="str">
        <f>"[[""r002"","&amp;表1_3[[#This Row],[价格]]&amp;"]]"</f>
        <v>[["r002",1]]</v>
      </c>
      <c r="H133" s="12">
        <f>INT(VLOOKUP(表1_3[[#This Row],[名称]],[1]!表1[#Data],5,FALSE)/6)</f>
        <v>1</v>
      </c>
      <c r="I133" s="5" t="str">
        <f>VLOOKUP(表1_3[[#This Row],[名称]],[1]!表1[#Data],19,FALSE)</f>
        <v>[["i215",10],["i002",50],["i004",1],["i240",20]]</v>
      </c>
      <c r="J133" s="3">
        <v>1</v>
      </c>
      <c r="K133" s="3">
        <v>1</v>
      </c>
      <c r="L133" s="3" t="str">
        <f t="shared" ref="L133:L196" si="4">YEAR(43159+ROW()-5)&amp;"/"&amp;IF(MONTH(43159+ROW()-5)&lt;10,"0","")&amp;MONTH(43159+ROW()-5)&amp;"/"&amp;IF(DAY(43159+ROW()-5)&lt;10,"0","")&amp;DAY(43159+ROW()-5)&amp;"&amp;00:00:00"</f>
        <v>2018/07/06&amp;00:00:00</v>
      </c>
      <c r="M133" s="13" t="str">
        <f t="shared" ref="M133:M196" si="5">YEAR(43159+ROW()-5)&amp;"/"&amp;IF(MONTH(43159+ROW()-5)&lt;10,"0","")&amp;MONTH(43159+ROW()-5)&amp;"/"&amp;IF(DAY(43159+ROW()-5)&lt;10,"0","")&amp;DAY(43159+ROW()-5)&amp;"&amp;23:59:59"</f>
        <v>2018/07/06&amp;23:59:59</v>
      </c>
      <c r="N133" s="3">
        <v>1</v>
      </c>
      <c r="O133" s="3">
        <v>1</v>
      </c>
      <c r="P133" s="3">
        <v>0</v>
      </c>
      <c r="Q133" s="5">
        <f>VLOOKUP(表1_3[[#This Row],[名称]],[1]!表1[#Data],18,FALSE)*10</f>
        <v>2.7</v>
      </c>
      <c r="R133" s="11" t="s">
        <v>58</v>
      </c>
      <c r="S133" s="15" t="s">
        <v>65</v>
      </c>
    </row>
    <row r="134" spans="1:19" x14ac:dyDescent="0.15">
      <c r="A134" s="3">
        <v>10129</v>
      </c>
      <c r="B134" s="5">
        <f>VLOOKUP(表1_3[[#This Row],[名称]],[1]!表1[#Data],3,FALSE)</f>
        <v>9056</v>
      </c>
      <c r="C134" s="5">
        <f>VLOOKUP(表1_3[[#This Row],[名称]],[1]!表1[#Data],4,FALSE)</f>
        <v>9477</v>
      </c>
      <c r="D134" s="5" t="str">
        <f>"gift_"&amp;表1_3[[#This Row],[价格]]</f>
        <v>gift_2</v>
      </c>
      <c r="E134" s="5" t="str">
        <f>"gift_"&amp;表1_3[[#This Row],[价格]]</f>
        <v>gift_2</v>
      </c>
      <c r="F134" s="3" t="s">
        <v>40</v>
      </c>
      <c r="G134" s="3" t="str">
        <f>"[[""r002"","&amp;表1_3[[#This Row],[价格]]&amp;"]]"</f>
        <v>[["r002",2]]</v>
      </c>
      <c r="H134" s="12">
        <f>INT(VLOOKUP(表1_3[[#This Row],[名称]],[1]!表1[#Data],5,FALSE)/6)</f>
        <v>2</v>
      </c>
      <c r="I134" s="5" t="str">
        <f>VLOOKUP(表1_3[[#This Row],[名称]],[1]!表1[#Data],19,FALSE)</f>
        <v>[["i001",200000],["i002",200],["i400",2],["i220",10]]</v>
      </c>
      <c r="J134" s="3">
        <v>1</v>
      </c>
      <c r="K134" s="3">
        <v>1</v>
      </c>
      <c r="L134" s="3" t="str">
        <f t="shared" si="4"/>
        <v>2018/07/07&amp;00:00:00</v>
      </c>
      <c r="M134" s="13" t="str">
        <f t="shared" si="5"/>
        <v>2018/07/07&amp;23:59:59</v>
      </c>
      <c r="N134" s="3">
        <v>1</v>
      </c>
      <c r="O134" s="3">
        <v>1</v>
      </c>
      <c r="P134" s="3">
        <v>0</v>
      </c>
      <c r="Q134" s="5">
        <f>VLOOKUP(表1_3[[#This Row],[名称]],[1]!表1[#Data],18,FALSE)*10</f>
        <v>3.8</v>
      </c>
      <c r="R134" s="3" t="s">
        <v>41</v>
      </c>
      <c r="S134" s="15" t="s">
        <v>66</v>
      </c>
    </row>
    <row r="135" spans="1:19" x14ac:dyDescent="0.15">
      <c r="A135" s="3">
        <v>10130</v>
      </c>
      <c r="B135" s="5">
        <f>VLOOKUP(表1_3[[#This Row],[名称]],[1]!表1[#Data],3,FALSE)</f>
        <v>9072</v>
      </c>
      <c r="C135" s="5">
        <f>VLOOKUP(表1_3[[#This Row],[名称]],[1]!表1[#Data],4,FALSE)</f>
        <v>9493</v>
      </c>
      <c r="D135" s="5" t="str">
        <f>"gift_"&amp;表1_3[[#This Row],[价格]]</f>
        <v>gift_3</v>
      </c>
      <c r="E135" s="5" t="str">
        <f>"gift_"&amp;表1_3[[#This Row],[价格]]</f>
        <v>gift_3</v>
      </c>
      <c r="F135" s="3" t="s">
        <v>40</v>
      </c>
      <c r="G135" s="3" t="str">
        <f>"[[""r002"","&amp;表1_3[[#This Row],[价格]]&amp;"]]"</f>
        <v>[["r002",3]]</v>
      </c>
      <c r="H135" s="12">
        <f>INT(VLOOKUP(表1_3[[#This Row],[名称]],[1]!表1[#Data],5,FALSE)/6)</f>
        <v>3</v>
      </c>
      <c r="I135" s="5" t="str">
        <f>VLOOKUP(表1_3[[#This Row],[名称]],[1]!表1[#Data],19,FALSE)</f>
        <v>[["i016",10],["i001",50000],["i400",5],["i004",5]]</v>
      </c>
      <c r="J135" s="3">
        <v>1</v>
      </c>
      <c r="K135" s="3">
        <v>1</v>
      </c>
      <c r="L135" s="3" t="str">
        <f t="shared" si="4"/>
        <v>2018/07/08&amp;00:00:00</v>
      </c>
      <c r="M135" s="13" t="str">
        <f t="shared" si="5"/>
        <v>2018/07/08&amp;23:59:59</v>
      </c>
      <c r="N135" s="3">
        <v>1</v>
      </c>
      <c r="O135" s="3">
        <v>1</v>
      </c>
      <c r="P135" s="3">
        <v>0</v>
      </c>
      <c r="Q135" s="5">
        <f>VLOOKUP(表1_3[[#This Row],[名称]],[1]!表1[#Data],18,FALSE)*10</f>
        <v>1.5</v>
      </c>
      <c r="R135" s="11" t="s">
        <v>61</v>
      </c>
      <c r="S135" s="15" t="s">
        <v>67</v>
      </c>
    </row>
    <row r="136" spans="1:19" x14ac:dyDescent="0.15">
      <c r="A136" s="3">
        <v>10131</v>
      </c>
      <c r="B136" s="5">
        <f>VLOOKUP(表1_3[[#This Row],[名称]],[1]!表1[#Data],3,FALSE)</f>
        <v>9055</v>
      </c>
      <c r="C136" s="5">
        <f>VLOOKUP(表1_3[[#This Row],[名称]],[1]!表1[#Data],4,FALSE)</f>
        <v>9476</v>
      </c>
      <c r="D136" s="5" t="str">
        <f>"gift_"&amp;表1_3[[#This Row],[价格]]</f>
        <v>gift_1</v>
      </c>
      <c r="E136" s="5" t="str">
        <f>"gift_"&amp;表1_3[[#This Row],[价格]]</f>
        <v>gift_1</v>
      </c>
      <c r="F136" s="3" t="s">
        <v>40</v>
      </c>
      <c r="G136" s="3" t="str">
        <f>"[[""r002"","&amp;表1_3[[#This Row],[价格]]&amp;"]]"</f>
        <v>[["r002",1]]</v>
      </c>
      <c r="H136" s="12">
        <f>INT(VLOOKUP(表1_3[[#This Row],[名称]],[1]!表1[#Data],5,FALSE)/6)</f>
        <v>1</v>
      </c>
      <c r="I136" s="5" t="str">
        <f>VLOOKUP(表1_3[[#This Row],[名称]],[1]!表1[#Data],19,FALSE)</f>
        <v>[["i011",50],["i001",100000],["i004",1],["i015",1]]</v>
      </c>
      <c r="J136" s="3">
        <v>1</v>
      </c>
      <c r="K136" s="3">
        <v>1</v>
      </c>
      <c r="L136" s="3" t="str">
        <f t="shared" si="4"/>
        <v>2018/07/09&amp;00:00:00</v>
      </c>
      <c r="M136" s="13" t="str">
        <f t="shared" si="5"/>
        <v>2018/07/09&amp;23:59:59</v>
      </c>
      <c r="N136" s="3">
        <v>1</v>
      </c>
      <c r="O136" s="3">
        <v>1</v>
      </c>
      <c r="P136" s="3">
        <v>0</v>
      </c>
      <c r="Q136" s="5">
        <f>VLOOKUP(表1_3[[#This Row],[名称]],[1]!表1[#Data],18,FALSE)*10</f>
        <v>2.4</v>
      </c>
      <c r="R136" s="11" t="s">
        <v>60</v>
      </c>
      <c r="S136" s="15" t="s">
        <v>68</v>
      </c>
    </row>
    <row r="137" spans="1:19" x14ac:dyDescent="0.15">
      <c r="A137" s="3">
        <v>10132</v>
      </c>
      <c r="B137" s="5">
        <f>VLOOKUP(表1_3[[#This Row],[名称]],[1]!表1[#Data],3,FALSE)</f>
        <v>9055</v>
      </c>
      <c r="C137" s="5">
        <f>VLOOKUP(表1_3[[#This Row],[名称]],[1]!表1[#Data],4,FALSE)</f>
        <v>9476</v>
      </c>
      <c r="D137" s="5" t="str">
        <f>"gift_"&amp;表1_3[[#This Row],[价格]]</f>
        <v>gift_1</v>
      </c>
      <c r="E137" s="5" t="str">
        <f>"gift_"&amp;表1_3[[#This Row],[价格]]</f>
        <v>gift_1</v>
      </c>
      <c r="F137" s="3" t="s">
        <v>40</v>
      </c>
      <c r="G137" s="3" t="str">
        <f>"[[""r002"","&amp;表1_3[[#This Row],[价格]]&amp;"]]"</f>
        <v>[["r002",1]]</v>
      </c>
      <c r="H137" s="12">
        <f>INT(VLOOKUP(表1_3[[#This Row],[名称]],[1]!表1[#Data],5,FALSE)/6)</f>
        <v>1</v>
      </c>
      <c r="I137" s="5" t="str">
        <f>VLOOKUP(表1_3[[#This Row],[名称]],[1]!表1[#Data],19,FALSE)</f>
        <v>[["i006",25],["i001",50000],["i004",1],["i015",1]]</v>
      </c>
      <c r="J137" s="3">
        <v>1</v>
      </c>
      <c r="K137" s="3">
        <v>1</v>
      </c>
      <c r="L137" s="3" t="str">
        <f t="shared" si="4"/>
        <v>2018/07/10&amp;00:00:00</v>
      </c>
      <c r="M137" s="13" t="str">
        <f t="shared" si="5"/>
        <v>2018/07/10&amp;23:59:59</v>
      </c>
      <c r="N137" s="3">
        <v>1</v>
      </c>
      <c r="O137" s="3">
        <v>1</v>
      </c>
      <c r="P137" s="3">
        <v>0</v>
      </c>
      <c r="Q137" s="5">
        <f>VLOOKUP(表1_3[[#This Row],[名称]],[1]!表1[#Data],18,FALSE)*10</f>
        <v>1.9</v>
      </c>
      <c r="R137" s="11" t="s">
        <v>59</v>
      </c>
      <c r="S137" s="15" t="s">
        <v>69</v>
      </c>
    </row>
    <row r="138" spans="1:19" x14ac:dyDescent="0.15">
      <c r="A138" s="3">
        <v>10133</v>
      </c>
      <c r="B138" s="5">
        <f>VLOOKUP(表1_3[[#This Row],[名称]],[1]!表1[#Data],3,FALSE)</f>
        <v>9056</v>
      </c>
      <c r="C138" s="5">
        <f>VLOOKUP(表1_3[[#This Row],[名称]],[1]!表1[#Data],4,FALSE)</f>
        <v>9477</v>
      </c>
      <c r="D138" s="5" t="str">
        <f>"gift_"&amp;表1_3[[#This Row],[价格]]</f>
        <v>gift_2</v>
      </c>
      <c r="E138" s="5" t="str">
        <f>"gift_"&amp;表1_3[[#This Row],[价格]]</f>
        <v>gift_2</v>
      </c>
      <c r="F138" s="3" t="s">
        <v>40</v>
      </c>
      <c r="G138" s="3" t="str">
        <f>"[[""r002"","&amp;表1_3[[#This Row],[价格]]&amp;"]]"</f>
        <v>[["r002",2]]</v>
      </c>
      <c r="H138" s="12">
        <f>INT(VLOOKUP(表1_3[[#This Row],[名称]],[1]!表1[#Data],5,FALSE)/6)</f>
        <v>2</v>
      </c>
      <c r="I138" s="5" t="str">
        <f>VLOOKUP(表1_3[[#This Row],[名称]],[1]!表1[#Data],19,FALSE)</f>
        <v>[["i240",180],["i002",150],["i001",50000],["i220",5]]</v>
      </c>
      <c r="J138" s="3">
        <v>1</v>
      </c>
      <c r="K138" s="3">
        <v>1</v>
      </c>
      <c r="L138" s="3" t="str">
        <f t="shared" si="4"/>
        <v>2018/07/11&amp;00:00:00</v>
      </c>
      <c r="M138" s="13" t="str">
        <f t="shared" si="5"/>
        <v>2018/07/11&amp;23:59:59</v>
      </c>
      <c r="N138" s="3">
        <v>1</v>
      </c>
      <c r="O138" s="3">
        <v>1</v>
      </c>
      <c r="P138" s="3">
        <v>0</v>
      </c>
      <c r="Q138" s="5">
        <f>VLOOKUP(表1_3[[#This Row],[名称]],[1]!表1[#Data],18,FALSE)*10</f>
        <v>2.5</v>
      </c>
      <c r="R138" s="11" t="s">
        <v>56</v>
      </c>
      <c r="S138" s="15" t="s">
        <v>70</v>
      </c>
    </row>
    <row r="139" spans="1:19" x14ac:dyDescent="0.15">
      <c r="A139" s="3">
        <v>10134</v>
      </c>
      <c r="B139" s="5">
        <f>VLOOKUP(表1_3[[#This Row],[名称]],[1]!表1[#Data],3,FALSE)</f>
        <v>9072</v>
      </c>
      <c r="C139" s="5">
        <f>VLOOKUP(表1_3[[#This Row],[名称]],[1]!表1[#Data],4,FALSE)</f>
        <v>9493</v>
      </c>
      <c r="D139" s="5" t="str">
        <f>"gift_"&amp;表1_3[[#This Row],[价格]]</f>
        <v>gift_3</v>
      </c>
      <c r="E139" s="5" t="str">
        <f>"gift_"&amp;表1_3[[#This Row],[价格]]</f>
        <v>gift_3</v>
      </c>
      <c r="F139" s="3" t="s">
        <v>40</v>
      </c>
      <c r="G139" s="3" t="str">
        <f>"[[""r002"","&amp;表1_3[[#This Row],[价格]]&amp;"]]"</f>
        <v>[["r002",3]]</v>
      </c>
      <c r="H139" s="12">
        <f>INT(VLOOKUP(表1_3[[#This Row],[名称]],[1]!表1[#Data],5,FALSE)/6)</f>
        <v>3</v>
      </c>
      <c r="I139" s="5" t="str">
        <f>VLOOKUP(表1_3[[#This Row],[名称]],[1]!表1[#Data],19,FALSE)</f>
        <v>[["i001",300000],["i002",300],["i015",1],["i400",2]]</v>
      </c>
      <c r="J139" s="3">
        <v>1</v>
      </c>
      <c r="K139" s="3">
        <v>1</v>
      </c>
      <c r="L139" s="3" t="str">
        <f t="shared" si="4"/>
        <v>2018/07/12&amp;00:00:00</v>
      </c>
      <c r="M139" s="13" t="str">
        <f t="shared" si="5"/>
        <v>2018/07/12&amp;23:59:59</v>
      </c>
      <c r="N139" s="3">
        <v>1</v>
      </c>
      <c r="O139" s="3">
        <v>1</v>
      </c>
      <c r="P139" s="3">
        <v>0</v>
      </c>
      <c r="Q139" s="5">
        <f>VLOOKUP(表1_3[[#This Row],[名称]],[1]!表1[#Data],18,FALSE)*10</f>
        <v>4</v>
      </c>
      <c r="R139" s="3" t="s">
        <v>42</v>
      </c>
      <c r="S139" s="15" t="s">
        <v>71</v>
      </c>
    </row>
    <row r="140" spans="1:19" x14ac:dyDescent="0.15">
      <c r="A140" s="3">
        <v>10135</v>
      </c>
      <c r="B140" s="5">
        <f>VLOOKUP(表1_3[[#This Row],[名称]],[1]!表1[#Data],3,FALSE)</f>
        <v>9055</v>
      </c>
      <c r="C140" s="5">
        <f>VLOOKUP(表1_3[[#This Row],[名称]],[1]!表1[#Data],4,FALSE)</f>
        <v>9476</v>
      </c>
      <c r="D140" s="5" t="str">
        <f>"gift_"&amp;表1_3[[#This Row],[价格]]</f>
        <v>gift_1</v>
      </c>
      <c r="E140" s="5" t="str">
        <f>"gift_"&amp;表1_3[[#This Row],[价格]]</f>
        <v>gift_1</v>
      </c>
      <c r="F140" s="3" t="s">
        <v>40</v>
      </c>
      <c r="G140" s="3" t="str">
        <f>"[[""r002"","&amp;表1_3[[#This Row],[价格]]&amp;"]]"</f>
        <v>[["r002",1]]</v>
      </c>
      <c r="H140" s="12">
        <f>INT(VLOOKUP(表1_3[[#This Row],[名称]],[1]!表1[#Data],5,FALSE)/6)</f>
        <v>1</v>
      </c>
      <c r="I140" s="5" t="str">
        <f>VLOOKUP(表1_3[[#This Row],[名称]],[1]!表1[#Data],19,FALSE)</f>
        <v>[["i400",20],["i002",50],["i015",1],["i220",2]]</v>
      </c>
      <c r="J140" s="3">
        <v>1</v>
      </c>
      <c r="K140" s="3">
        <v>1</v>
      </c>
      <c r="L140" s="3" t="str">
        <f t="shared" si="4"/>
        <v>2018/07/13&amp;00:00:00</v>
      </c>
      <c r="M140" s="13" t="str">
        <f t="shared" si="5"/>
        <v>2018/07/13&amp;23:59:59</v>
      </c>
      <c r="N140" s="3">
        <v>1</v>
      </c>
      <c r="O140" s="3">
        <v>1</v>
      </c>
      <c r="P140" s="3">
        <v>0</v>
      </c>
      <c r="Q140" s="5">
        <f>VLOOKUP(表1_3[[#This Row],[名称]],[1]!表1[#Data],18,FALSE)*10</f>
        <v>1.9</v>
      </c>
      <c r="R140" s="11" t="s">
        <v>57</v>
      </c>
      <c r="S140" s="15" t="s">
        <v>72</v>
      </c>
    </row>
    <row r="141" spans="1:19" x14ac:dyDescent="0.15">
      <c r="A141" s="3">
        <v>10136</v>
      </c>
      <c r="B141" s="5">
        <f>VLOOKUP(表1_3[[#This Row],[名称]],[1]!表1[#Data],3,FALSE)</f>
        <v>9067</v>
      </c>
      <c r="C141" s="5">
        <f>VLOOKUP(表1_3[[#This Row],[名称]],[1]!表1[#Data],4,FALSE)</f>
        <v>9488</v>
      </c>
      <c r="D141" s="5" t="str">
        <f>"gift_"&amp;表1_3[[#This Row],[价格]]</f>
        <v>gift_5</v>
      </c>
      <c r="E141" s="5" t="str">
        <f>"gift_"&amp;表1_3[[#This Row],[价格]]</f>
        <v>gift_5</v>
      </c>
      <c r="F141" s="3" t="s">
        <v>40</v>
      </c>
      <c r="G141" s="3" t="str">
        <f>"[[""r002"","&amp;表1_3[[#This Row],[价格]]&amp;"]]"</f>
        <v>[["r002",5]]</v>
      </c>
      <c r="H141" s="12">
        <f>INT(VLOOKUP(表1_3[[#This Row],[名称]],[1]!表1[#Data],5,FALSE)/6)</f>
        <v>5</v>
      </c>
      <c r="I141" s="5" t="str">
        <f>VLOOKUP(表1_3[[#This Row],[名称]],[1]!表1[#Data],19,FALSE)</f>
        <v>[["i001",400000],["i002",400],["i015",1],["i006",5]]</v>
      </c>
      <c r="J141" s="3">
        <v>1</v>
      </c>
      <c r="K141" s="3">
        <v>1</v>
      </c>
      <c r="L141" s="3" t="str">
        <f t="shared" si="4"/>
        <v>2018/07/14&amp;00:00:00</v>
      </c>
      <c r="M141" s="13" t="str">
        <f t="shared" si="5"/>
        <v>2018/07/14&amp;23:59:59</v>
      </c>
      <c r="N141" s="3">
        <v>1</v>
      </c>
      <c r="O141" s="3">
        <v>1</v>
      </c>
      <c r="P141" s="3">
        <v>0</v>
      </c>
      <c r="Q141" s="5">
        <f>VLOOKUP(表1_3[[#This Row],[名称]],[1]!表1[#Data],18,FALSE)*10</f>
        <v>3.8</v>
      </c>
      <c r="R141" s="3" t="s">
        <v>43</v>
      </c>
      <c r="S141" s="15" t="s">
        <v>73</v>
      </c>
    </row>
    <row r="142" spans="1:19" x14ac:dyDescent="0.15">
      <c r="A142" s="3">
        <v>10137</v>
      </c>
      <c r="B142" s="5">
        <f>VLOOKUP(表1_3[[#This Row],[名称]],[1]!表1[#Data],3,FALSE)</f>
        <v>9075</v>
      </c>
      <c r="C142" s="5">
        <f>VLOOKUP(表1_3[[#This Row],[名称]],[1]!表1[#Data],4,FALSE)</f>
        <v>9496</v>
      </c>
      <c r="D142" s="5" t="str">
        <f>"gift_"&amp;表1_3[[#This Row],[价格]]</f>
        <v>gift_7</v>
      </c>
      <c r="E142" s="5" t="str">
        <f>"gift_"&amp;表1_3[[#This Row],[价格]]</f>
        <v>gift_7</v>
      </c>
      <c r="F142" s="3" t="s">
        <v>40</v>
      </c>
      <c r="G142" s="3" t="str">
        <f>"[[""r002"","&amp;表1_3[[#This Row],[价格]]&amp;"]]"</f>
        <v>[["r002",7]]</v>
      </c>
      <c r="H142" s="12">
        <f>INT(VLOOKUP(表1_3[[#This Row],[名称]],[1]!表1[#Data],5,FALSE)/6)</f>
        <v>7</v>
      </c>
      <c r="I142" s="5" t="str">
        <f>VLOOKUP(表1_3[[#This Row],[名称]],[1]!表1[#Data],19,FALSE)</f>
        <v>[["i017",8],["i002",100],["i004",10],["i006",10]]</v>
      </c>
      <c r="J142" s="3">
        <v>1</v>
      </c>
      <c r="K142" s="3">
        <v>1</v>
      </c>
      <c r="L142" s="3" t="str">
        <f t="shared" si="4"/>
        <v>2018/07/15&amp;00:00:00</v>
      </c>
      <c r="M142" s="13" t="str">
        <f t="shared" si="5"/>
        <v>2018/07/15&amp;23:59:59</v>
      </c>
      <c r="N142" s="3">
        <v>1</v>
      </c>
      <c r="O142" s="3">
        <v>1</v>
      </c>
      <c r="P142" s="3">
        <v>0</v>
      </c>
      <c r="Q142" s="5">
        <f>VLOOKUP(表1_3[[#This Row],[名称]],[1]!表1[#Data],18,FALSE)*10</f>
        <v>1</v>
      </c>
      <c r="R142" s="11" t="s">
        <v>62</v>
      </c>
      <c r="S142" s="15" t="s">
        <v>74</v>
      </c>
    </row>
    <row r="143" spans="1:19" x14ac:dyDescent="0.15">
      <c r="A143" s="3">
        <v>10138</v>
      </c>
      <c r="B143" s="5">
        <f>VLOOKUP(表1_3[[#This Row],[名称]],[1]!表1[#Data],3,FALSE)</f>
        <v>9055</v>
      </c>
      <c r="C143" s="5">
        <f>VLOOKUP(表1_3[[#This Row],[名称]],[1]!表1[#Data],4,FALSE)</f>
        <v>9476</v>
      </c>
      <c r="D143" s="5" t="str">
        <f>"gift_"&amp;表1_3[[#This Row],[价格]]</f>
        <v>gift_1</v>
      </c>
      <c r="E143" s="5" t="str">
        <f>"gift_"&amp;表1_3[[#This Row],[价格]]</f>
        <v>gift_1</v>
      </c>
      <c r="F143" s="3" t="s">
        <v>40</v>
      </c>
      <c r="G143" s="3" t="str">
        <f>"[[""r002"","&amp;表1_3[[#This Row],[价格]]&amp;"]]"</f>
        <v>[["r002",1]]</v>
      </c>
      <c r="H143" s="12">
        <f>INT(VLOOKUP(表1_3[[#This Row],[名称]],[1]!表1[#Data],5,FALSE)/6)</f>
        <v>1</v>
      </c>
      <c r="I143" s="5" t="str">
        <f>VLOOKUP(表1_3[[#This Row],[名称]],[1]!表1[#Data],19,FALSE)</f>
        <v>[["i215",10],["i002",50],["i004",1],["i240",20]]</v>
      </c>
      <c r="J143" s="3">
        <v>1</v>
      </c>
      <c r="K143" s="3">
        <v>1</v>
      </c>
      <c r="L143" s="3" t="str">
        <f t="shared" si="4"/>
        <v>2018/07/16&amp;00:00:00</v>
      </c>
      <c r="M143" s="13" t="str">
        <f t="shared" si="5"/>
        <v>2018/07/16&amp;23:59:59</v>
      </c>
      <c r="N143" s="3">
        <v>1</v>
      </c>
      <c r="O143" s="3">
        <v>1</v>
      </c>
      <c r="P143" s="3">
        <v>0</v>
      </c>
      <c r="Q143" s="5">
        <f>VLOOKUP(表1_3[[#This Row],[名称]],[1]!表1[#Data],18,FALSE)*10</f>
        <v>2.7</v>
      </c>
      <c r="R143" s="11" t="s">
        <v>58</v>
      </c>
      <c r="S143" s="15" t="s">
        <v>65</v>
      </c>
    </row>
    <row r="144" spans="1:19" x14ac:dyDescent="0.15">
      <c r="A144" s="3">
        <v>10139</v>
      </c>
      <c r="B144" s="5">
        <f>VLOOKUP(表1_3[[#This Row],[名称]],[1]!表1[#Data],3,FALSE)</f>
        <v>9055</v>
      </c>
      <c r="C144" s="5">
        <f>VLOOKUP(表1_3[[#This Row],[名称]],[1]!表1[#Data],4,FALSE)</f>
        <v>9476</v>
      </c>
      <c r="D144" s="5" t="str">
        <f>"gift_"&amp;表1_3[[#This Row],[价格]]</f>
        <v>gift_1</v>
      </c>
      <c r="E144" s="5" t="str">
        <f>"gift_"&amp;表1_3[[#This Row],[价格]]</f>
        <v>gift_1</v>
      </c>
      <c r="F144" s="3" t="s">
        <v>40</v>
      </c>
      <c r="G144" s="3" t="str">
        <f>"[[""r002"","&amp;表1_3[[#This Row],[价格]]&amp;"]]"</f>
        <v>[["r002",1]]</v>
      </c>
      <c r="H144" s="12">
        <f>INT(VLOOKUP(表1_3[[#This Row],[名称]],[1]!表1[#Data],5,FALSE)/6)</f>
        <v>1</v>
      </c>
      <c r="I144" s="5" t="str">
        <f>VLOOKUP(表1_3[[#This Row],[名称]],[1]!表1[#Data],19,FALSE)</f>
        <v>[["i006",25],["i001",50000],["i004",1],["i015",1]]</v>
      </c>
      <c r="J144" s="3">
        <v>1</v>
      </c>
      <c r="K144" s="3">
        <v>1</v>
      </c>
      <c r="L144" s="3" t="str">
        <f t="shared" si="4"/>
        <v>2018/07/17&amp;00:00:00</v>
      </c>
      <c r="M144" s="13" t="str">
        <f t="shared" si="5"/>
        <v>2018/07/17&amp;23:59:59</v>
      </c>
      <c r="N144" s="3">
        <v>1</v>
      </c>
      <c r="O144" s="3">
        <v>1</v>
      </c>
      <c r="P144" s="3">
        <v>0</v>
      </c>
      <c r="Q144" s="5">
        <f>VLOOKUP(表1_3[[#This Row],[名称]],[1]!表1[#Data],18,FALSE)*10</f>
        <v>1.9</v>
      </c>
      <c r="R144" s="11" t="s">
        <v>59</v>
      </c>
      <c r="S144" s="15" t="s">
        <v>69</v>
      </c>
    </row>
    <row r="145" spans="1:19" x14ac:dyDescent="0.15">
      <c r="A145" s="3">
        <v>10140</v>
      </c>
      <c r="B145" s="5">
        <f>VLOOKUP(表1_3[[#This Row],[名称]],[1]!表1[#Data],3,FALSE)</f>
        <v>9055</v>
      </c>
      <c r="C145" s="5">
        <f>VLOOKUP(表1_3[[#This Row],[名称]],[1]!表1[#Data],4,FALSE)</f>
        <v>9476</v>
      </c>
      <c r="D145" s="5" t="str">
        <f>"gift_"&amp;表1_3[[#This Row],[价格]]</f>
        <v>gift_1</v>
      </c>
      <c r="E145" s="5" t="str">
        <f>"gift_"&amp;表1_3[[#This Row],[价格]]</f>
        <v>gift_1</v>
      </c>
      <c r="F145" s="3" t="s">
        <v>40</v>
      </c>
      <c r="G145" s="3" t="str">
        <f>"[[""r002"","&amp;表1_3[[#This Row],[价格]]&amp;"]]"</f>
        <v>[["r002",1]]</v>
      </c>
      <c r="H145" s="12">
        <f>INT(VLOOKUP(表1_3[[#This Row],[名称]],[1]!表1[#Data],5,FALSE)/6)</f>
        <v>1</v>
      </c>
      <c r="I145" s="5" t="str">
        <f>VLOOKUP(表1_3[[#This Row],[名称]],[1]!表1[#Data],19,FALSE)</f>
        <v>[["i006",25],["i001",50000],["i004",1],["i015",1]]</v>
      </c>
      <c r="J145" s="3">
        <v>1</v>
      </c>
      <c r="K145" s="3">
        <v>1</v>
      </c>
      <c r="L145" s="3" t="str">
        <f t="shared" si="4"/>
        <v>2018/07/18&amp;00:00:00</v>
      </c>
      <c r="M145" s="13" t="str">
        <f t="shared" si="5"/>
        <v>2018/07/18&amp;23:59:59</v>
      </c>
      <c r="N145" s="3">
        <v>1</v>
      </c>
      <c r="O145" s="3">
        <v>1</v>
      </c>
      <c r="P145" s="3">
        <v>0</v>
      </c>
      <c r="Q145" s="5">
        <f>VLOOKUP(表1_3[[#This Row],[名称]],[1]!表1[#Data],18,FALSE)*10</f>
        <v>1.9</v>
      </c>
      <c r="R145" s="11" t="s">
        <v>59</v>
      </c>
      <c r="S145" s="15" t="s">
        <v>69</v>
      </c>
    </row>
    <row r="146" spans="1:19" x14ac:dyDescent="0.15">
      <c r="A146" s="3">
        <v>10141</v>
      </c>
      <c r="B146" s="5">
        <f>VLOOKUP(表1_3[[#This Row],[名称]],[1]!表1[#Data],3,FALSE)</f>
        <v>9055</v>
      </c>
      <c r="C146" s="5">
        <f>VLOOKUP(表1_3[[#This Row],[名称]],[1]!表1[#Data],4,FALSE)</f>
        <v>9476</v>
      </c>
      <c r="D146" s="5" t="str">
        <f>"gift_"&amp;表1_3[[#This Row],[价格]]</f>
        <v>gift_1</v>
      </c>
      <c r="E146" s="5" t="str">
        <f>"gift_"&amp;表1_3[[#This Row],[价格]]</f>
        <v>gift_1</v>
      </c>
      <c r="F146" s="3" t="s">
        <v>40</v>
      </c>
      <c r="G146" s="3" t="str">
        <f>"[[""r002"","&amp;表1_3[[#This Row],[价格]]&amp;"]]"</f>
        <v>[["r002",1]]</v>
      </c>
      <c r="H146" s="12">
        <f>INT(VLOOKUP(表1_3[[#This Row],[名称]],[1]!表1[#Data],5,FALSE)/6)</f>
        <v>1</v>
      </c>
      <c r="I146" s="5" t="str">
        <f>VLOOKUP(表1_3[[#This Row],[名称]],[1]!表1[#Data],19,FALSE)</f>
        <v>[["i215",10],["i002",50],["i004",1],["i240",20]]</v>
      </c>
      <c r="J146" s="3">
        <v>1</v>
      </c>
      <c r="K146" s="3">
        <v>1</v>
      </c>
      <c r="L146" s="3" t="str">
        <f t="shared" si="4"/>
        <v>2018/07/19&amp;00:00:00</v>
      </c>
      <c r="M146" s="13" t="str">
        <f t="shared" si="5"/>
        <v>2018/07/19&amp;23:59:59</v>
      </c>
      <c r="N146" s="3">
        <v>1</v>
      </c>
      <c r="O146" s="3">
        <v>1</v>
      </c>
      <c r="P146" s="3">
        <v>0</v>
      </c>
      <c r="Q146" s="5">
        <f>VLOOKUP(表1_3[[#This Row],[名称]],[1]!表1[#Data],18,FALSE)*10</f>
        <v>2.7</v>
      </c>
      <c r="R146" s="11" t="s">
        <v>58</v>
      </c>
      <c r="S146" s="15" t="s">
        <v>65</v>
      </c>
    </row>
    <row r="147" spans="1:19" x14ac:dyDescent="0.15">
      <c r="A147" s="3">
        <v>10142</v>
      </c>
      <c r="B147" s="5">
        <f>VLOOKUP(表1_3[[#This Row],[名称]],[1]!表1[#Data],3,FALSE)</f>
        <v>9075</v>
      </c>
      <c r="C147" s="5">
        <f>VLOOKUP(表1_3[[#This Row],[名称]],[1]!表1[#Data],4,FALSE)</f>
        <v>9496</v>
      </c>
      <c r="D147" s="5" t="str">
        <f>"gift_"&amp;表1_3[[#This Row],[价格]]</f>
        <v>gift_7</v>
      </c>
      <c r="E147" s="5" t="str">
        <f>"gift_"&amp;表1_3[[#This Row],[价格]]</f>
        <v>gift_7</v>
      </c>
      <c r="F147" s="3" t="s">
        <v>40</v>
      </c>
      <c r="G147" s="3" t="str">
        <f>"[[""r002"","&amp;表1_3[[#This Row],[价格]]&amp;"]]"</f>
        <v>[["r002",7]]</v>
      </c>
      <c r="H147" s="12">
        <f>INT(VLOOKUP(表1_3[[#This Row],[名称]],[1]!表1[#Data],5,FALSE)/6)</f>
        <v>7</v>
      </c>
      <c r="I147" s="5" t="str">
        <f>VLOOKUP(表1_3[[#This Row],[名称]],[1]!表1[#Data],19,FALSE)</f>
        <v>[["i017",8],["i002",100],["i004",10],["i006",10]]</v>
      </c>
      <c r="J147" s="3">
        <v>1</v>
      </c>
      <c r="K147" s="3">
        <v>1</v>
      </c>
      <c r="L147" s="3" t="str">
        <f t="shared" si="4"/>
        <v>2018/07/20&amp;00:00:00</v>
      </c>
      <c r="M147" s="13" t="str">
        <f t="shared" si="5"/>
        <v>2018/07/20&amp;23:59:59</v>
      </c>
      <c r="N147" s="3">
        <v>1</v>
      </c>
      <c r="O147" s="3">
        <v>1</v>
      </c>
      <c r="P147" s="3">
        <v>0</v>
      </c>
      <c r="Q147" s="5">
        <f>VLOOKUP(表1_3[[#This Row],[名称]],[1]!表1[#Data],18,FALSE)*10</f>
        <v>1</v>
      </c>
      <c r="R147" s="11" t="s">
        <v>62</v>
      </c>
      <c r="S147" s="15" t="s">
        <v>74</v>
      </c>
    </row>
    <row r="148" spans="1:19" x14ac:dyDescent="0.15">
      <c r="A148" s="3">
        <v>10143</v>
      </c>
      <c r="B148" s="5">
        <f>VLOOKUP(表1_3[[#This Row],[名称]],[1]!表1[#Data],3,FALSE)</f>
        <v>9067</v>
      </c>
      <c r="C148" s="5">
        <f>VLOOKUP(表1_3[[#This Row],[名称]],[1]!表1[#Data],4,FALSE)</f>
        <v>9488</v>
      </c>
      <c r="D148" s="5" t="str">
        <f>"gift_"&amp;表1_3[[#This Row],[价格]]</f>
        <v>gift_5</v>
      </c>
      <c r="E148" s="5" t="str">
        <f>"gift_"&amp;表1_3[[#This Row],[价格]]</f>
        <v>gift_5</v>
      </c>
      <c r="F148" s="3" t="s">
        <v>40</v>
      </c>
      <c r="G148" s="3" t="str">
        <f>"[[""r002"","&amp;表1_3[[#This Row],[价格]]&amp;"]]"</f>
        <v>[["r002",5]]</v>
      </c>
      <c r="H148" s="12">
        <f>INT(VLOOKUP(表1_3[[#This Row],[名称]],[1]!表1[#Data],5,FALSE)/6)</f>
        <v>5</v>
      </c>
      <c r="I148" s="5" t="str">
        <f>VLOOKUP(表1_3[[#This Row],[名称]],[1]!表1[#Data],19,FALSE)</f>
        <v>[["i001",400000],["i002",400],["i015",1],["i006",5]]</v>
      </c>
      <c r="J148" s="3">
        <v>1</v>
      </c>
      <c r="K148" s="3">
        <v>1</v>
      </c>
      <c r="L148" s="3" t="str">
        <f t="shared" si="4"/>
        <v>2018/07/21&amp;00:00:00</v>
      </c>
      <c r="M148" s="13" t="str">
        <f t="shared" si="5"/>
        <v>2018/07/21&amp;23:59:59</v>
      </c>
      <c r="N148" s="3">
        <v>1</v>
      </c>
      <c r="O148" s="3">
        <v>1</v>
      </c>
      <c r="P148" s="3">
        <v>0</v>
      </c>
      <c r="Q148" s="5">
        <f>VLOOKUP(表1_3[[#This Row],[名称]],[1]!表1[#Data],18,FALSE)*10</f>
        <v>3.8</v>
      </c>
      <c r="R148" s="3" t="s">
        <v>43</v>
      </c>
      <c r="S148" s="15" t="s">
        <v>73</v>
      </c>
    </row>
    <row r="149" spans="1:19" x14ac:dyDescent="0.15">
      <c r="A149" s="3">
        <v>10144</v>
      </c>
      <c r="B149" s="5">
        <f>VLOOKUP(表1_3[[#This Row],[名称]],[1]!表1[#Data],3,FALSE)</f>
        <v>9055</v>
      </c>
      <c r="C149" s="5">
        <f>VLOOKUP(表1_3[[#This Row],[名称]],[1]!表1[#Data],4,FALSE)</f>
        <v>9476</v>
      </c>
      <c r="D149" s="5" t="str">
        <f>"gift_"&amp;表1_3[[#This Row],[价格]]</f>
        <v>gift_1</v>
      </c>
      <c r="E149" s="5" t="str">
        <f>"gift_"&amp;表1_3[[#This Row],[价格]]</f>
        <v>gift_1</v>
      </c>
      <c r="F149" s="3" t="s">
        <v>40</v>
      </c>
      <c r="G149" s="3" t="str">
        <f>"[[""r002"","&amp;表1_3[[#This Row],[价格]]&amp;"]]"</f>
        <v>[["r002",1]]</v>
      </c>
      <c r="H149" s="12">
        <f>INT(VLOOKUP(表1_3[[#This Row],[名称]],[1]!表1[#Data],5,FALSE)/6)</f>
        <v>1</v>
      </c>
      <c r="I149" s="5" t="str">
        <f>VLOOKUP(表1_3[[#This Row],[名称]],[1]!表1[#Data],19,FALSE)</f>
        <v>[["i400",20],["i002",50],["i015",1],["i220",2]]</v>
      </c>
      <c r="J149" s="3">
        <v>1</v>
      </c>
      <c r="K149" s="3">
        <v>1</v>
      </c>
      <c r="L149" s="3" t="str">
        <f t="shared" si="4"/>
        <v>2018/07/22&amp;00:00:00</v>
      </c>
      <c r="M149" s="13" t="str">
        <f t="shared" si="5"/>
        <v>2018/07/22&amp;23:59:59</v>
      </c>
      <c r="N149" s="3">
        <v>1</v>
      </c>
      <c r="O149" s="3">
        <v>1</v>
      </c>
      <c r="P149" s="3">
        <v>0</v>
      </c>
      <c r="Q149" s="5">
        <f>VLOOKUP(表1_3[[#This Row],[名称]],[1]!表1[#Data],18,FALSE)*10</f>
        <v>1.9</v>
      </c>
      <c r="R149" s="11" t="s">
        <v>57</v>
      </c>
      <c r="S149" s="15" t="s">
        <v>72</v>
      </c>
    </row>
    <row r="150" spans="1:19" x14ac:dyDescent="0.15">
      <c r="A150" s="3">
        <v>10145</v>
      </c>
      <c r="B150" s="5">
        <f>VLOOKUP(表1_3[[#This Row],[名称]],[1]!表1[#Data],3,FALSE)</f>
        <v>9072</v>
      </c>
      <c r="C150" s="5">
        <f>VLOOKUP(表1_3[[#This Row],[名称]],[1]!表1[#Data],4,FALSE)</f>
        <v>9493</v>
      </c>
      <c r="D150" s="5" t="str">
        <f>"gift_"&amp;表1_3[[#This Row],[价格]]</f>
        <v>gift_3</v>
      </c>
      <c r="E150" s="5" t="str">
        <f>"gift_"&amp;表1_3[[#This Row],[价格]]</f>
        <v>gift_3</v>
      </c>
      <c r="F150" s="3" t="s">
        <v>40</v>
      </c>
      <c r="G150" s="3" t="str">
        <f>"[[""r002"","&amp;表1_3[[#This Row],[价格]]&amp;"]]"</f>
        <v>[["r002",3]]</v>
      </c>
      <c r="H150" s="12">
        <f>INT(VLOOKUP(表1_3[[#This Row],[名称]],[1]!表1[#Data],5,FALSE)/6)</f>
        <v>3</v>
      </c>
      <c r="I150" s="5" t="str">
        <f>VLOOKUP(表1_3[[#This Row],[名称]],[1]!表1[#Data],19,FALSE)</f>
        <v>[["i001",300000],["i002",300],["i015",1],["i400",2]]</v>
      </c>
      <c r="J150" s="3">
        <v>1</v>
      </c>
      <c r="K150" s="3">
        <v>1</v>
      </c>
      <c r="L150" s="3" t="str">
        <f t="shared" si="4"/>
        <v>2018/07/23&amp;00:00:00</v>
      </c>
      <c r="M150" s="13" t="str">
        <f t="shared" si="5"/>
        <v>2018/07/23&amp;23:59:59</v>
      </c>
      <c r="N150" s="3">
        <v>1</v>
      </c>
      <c r="O150" s="3">
        <v>1</v>
      </c>
      <c r="P150" s="3">
        <v>0</v>
      </c>
      <c r="Q150" s="5">
        <f>VLOOKUP(表1_3[[#This Row],[名称]],[1]!表1[#Data],18,FALSE)*10</f>
        <v>4</v>
      </c>
      <c r="R150" s="3" t="s">
        <v>42</v>
      </c>
      <c r="S150" s="15" t="s">
        <v>71</v>
      </c>
    </row>
    <row r="151" spans="1:19" x14ac:dyDescent="0.15">
      <c r="A151" s="3">
        <v>10146</v>
      </c>
      <c r="B151" s="5">
        <f>VLOOKUP(表1_3[[#This Row],[名称]],[1]!表1[#Data],3,FALSE)</f>
        <v>9056</v>
      </c>
      <c r="C151" s="5">
        <f>VLOOKUP(表1_3[[#This Row],[名称]],[1]!表1[#Data],4,FALSE)</f>
        <v>9477</v>
      </c>
      <c r="D151" s="5" t="str">
        <f>"gift_"&amp;表1_3[[#This Row],[价格]]</f>
        <v>gift_2</v>
      </c>
      <c r="E151" s="5" t="str">
        <f>"gift_"&amp;表1_3[[#This Row],[价格]]</f>
        <v>gift_2</v>
      </c>
      <c r="F151" s="3" t="s">
        <v>40</v>
      </c>
      <c r="G151" s="3" t="str">
        <f>"[[""r002"","&amp;表1_3[[#This Row],[价格]]&amp;"]]"</f>
        <v>[["r002",2]]</v>
      </c>
      <c r="H151" s="12">
        <f>INT(VLOOKUP(表1_3[[#This Row],[名称]],[1]!表1[#Data],5,FALSE)/6)</f>
        <v>2</v>
      </c>
      <c r="I151" s="5" t="str">
        <f>VLOOKUP(表1_3[[#This Row],[名称]],[1]!表1[#Data],19,FALSE)</f>
        <v>[["i240",180],["i002",150],["i001",50000],["i220",5]]</v>
      </c>
      <c r="J151" s="3">
        <v>1</v>
      </c>
      <c r="K151" s="3">
        <v>1</v>
      </c>
      <c r="L151" s="3" t="str">
        <f t="shared" si="4"/>
        <v>2018/07/24&amp;00:00:00</v>
      </c>
      <c r="M151" s="13" t="str">
        <f t="shared" si="5"/>
        <v>2018/07/24&amp;23:59:59</v>
      </c>
      <c r="N151" s="3">
        <v>1</v>
      </c>
      <c r="O151" s="3">
        <v>1</v>
      </c>
      <c r="P151" s="3">
        <v>0</v>
      </c>
      <c r="Q151" s="5">
        <f>VLOOKUP(表1_3[[#This Row],[名称]],[1]!表1[#Data],18,FALSE)*10</f>
        <v>2.5</v>
      </c>
      <c r="R151" s="11" t="s">
        <v>56</v>
      </c>
      <c r="S151" s="15" t="s">
        <v>70</v>
      </c>
    </row>
    <row r="152" spans="1:19" x14ac:dyDescent="0.15">
      <c r="A152" s="3">
        <v>10147</v>
      </c>
      <c r="B152" s="5">
        <f>VLOOKUP(表1_3[[#This Row],[名称]],[1]!表1[#Data],3,FALSE)</f>
        <v>9055</v>
      </c>
      <c r="C152" s="5">
        <f>VLOOKUP(表1_3[[#This Row],[名称]],[1]!表1[#Data],4,FALSE)</f>
        <v>9476</v>
      </c>
      <c r="D152" s="5" t="str">
        <f>"gift_"&amp;表1_3[[#This Row],[价格]]</f>
        <v>gift_1</v>
      </c>
      <c r="E152" s="5" t="str">
        <f>"gift_"&amp;表1_3[[#This Row],[价格]]</f>
        <v>gift_1</v>
      </c>
      <c r="F152" s="3" t="s">
        <v>40</v>
      </c>
      <c r="G152" s="3" t="str">
        <f>"[[""r002"","&amp;表1_3[[#This Row],[价格]]&amp;"]]"</f>
        <v>[["r002",1]]</v>
      </c>
      <c r="H152" s="12">
        <f>INT(VLOOKUP(表1_3[[#This Row],[名称]],[1]!表1[#Data],5,FALSE)/6)</f>
        <v>1</v>
      </c>
      <c r="I152" s="5" t="str">
        <f>VLOOKUP(表1_3[[#This Row],[名称]],[1]!表1[#Data],19,FALSE)</f>
        <v>[["i006",25],["i001",50000],["i004",1],["i015",1]]</v>
      </c>
      <c r="J152" s="3">
        <v>1</v>
      </c>
      <c r="K152" s="3">
        <v>1</v>
      </c>
      <c r="L152" s="3" t="str">
        <f t="shared" si="4"/>
        <v>2018/07/25&amp;00:00:00</v>
      </c>
      <c r="M152" s="13" t="str">
        <f t="shared" si="5"/>
        <v>2018/07/25&amp;23:59:59</v>
      </c>
      <c r="N152" s="3">
        <v>1</v>
      </c>
      <c r="O152" s="3">
        <v>1</v>
      </c>
      <c r="P152" s="3">
        <v>0</v>
      </c>
      <c r="Q152" s="5">
        <f>VLOOKUP(表1_3[[#This Row],[名称]],[1]!表1[#Data],18,FALSE)*10</f>
        <v>1.9</v>
      </c>
      <c r="R152" s="11" t="s">
        <v>59</v>
      </c>
      <c r="S152" s="15" t="s">
        <v>69</v>
      </c>
    </row>
    <row r="153" spans="1:19" x14ac:dyDescent="0.15">
      <c r="A153" s="3">
        <v>10148</v>
      </c>
      <c r="B153" s="5">
        <f>VLOOKUP(表1_3[[#This Row],[名称]],[1]!表1[#Data],3,FALSE)</f>
        <v>9055</v>
      </c>
      <c r="C153" s="5">
        <f>VLOOKUP(表1_3[[#This Row],[名称]],[1]!表1[#Data],4,FALSE)</f>
        <v>9476</v>
      </c>
      <c r="D153" s="5" t="str">
        <f>"gift_"&amp;表1_3[[#This Row],[价格]]</f>
        <v>gift_1</v>
      </c>
      <c r="E153" s="5" t="str">
        <f>"gift_"&amp;表1_3[[#This Row],[价格]]</f>
        <v>gift_1</v>
      </c>
      <c r="F153" s="3" t="s">
        <v>40</v>
      </c>
      <c r="G153" s="3" t="str">
        <f>"[[""r002"","&amp;表1_3[[#This Row],[价格]]&amp;"]]"</f>
        <v>[["r002",1]]</v>
      </c>
      <c r="H153" s="12">
        <f>INT(VLOOKUP(表1_3[[#This Row],[名称]],[1]!表1[#Data],5,FALSE)/6)</f>
        <v>1</v>
      </c>
      <c r="I153" s="5" t="str">
        <f>VLOOKUP(表1_3[[#This Row],[名称]],[1]!表1[#Data],19,FALSE)</f>
        <v>[["i011",50],["i001",100000],["i004",1],["i015",1]]</v>
      </c>
      <c r="J153" s="3">
        <v>1</v>
      </c>
      <c r="K153" s="3">
        <v>1</v>
      </c>
      <c r="L153" s="3" t="str">
        <f t="shared" si="4"/>
        <v>2018/07/26&amp;00:00:00</v>
      </c>
      <c r="M153" s="13" t="str">
        <f t="shared" si="5"/>
        <v>2018/07/26&amp;23:59:59</v>
      </c>
      <c r="N153" s="3">
        <v>1</v>
      </c>
      <c r="O153" s="3">
        <v>1</v>
      </c>
      <c r="P153" s="3">
        <v>0</v>
      </c>
      <c r="Q153" s="5">
        <f>VLOOKUP(表1_3[[#This Row],[名称]],[1]!表1[#Data],18,FALSE)*10</f>
        <v>2.4</v>
      </c>
      <c r="R153" s="11" t="s">
        <v>60</v>
      </c>
      <c r="S153" s="15" t="s">
        <v>68</v>
      </c>
    </row>
    <row r="154" spans="1:19" x14ac:dyDescent="0.15">
      <c r="A154" s="3">
        <v>10149</v>
      </c>
      <c r="B154" s="5">
        <f>VLOOKUP(表1_3[[#This Row],[名称]],[1]!表1[#Data],3,FALSE)</f>
        <v>9072</v>
      </c>
      <c r="C154" s="5">
        <f>VLOOKUP(表1_3[[#This Row],[名称]],[1]!表1[#Data],4,FALSE)</f>
        <v>9493</v>
      </c>
      <c r="D154" s="5" t="str">
        <f>"gift_"&amp;表1_3[[#This Row],[价格]]</f>
        <v>gift_3</v>
      </c>
      <c r="E154" s="5" t="str">
        <f>"gift_"&amp;表1_3[[#This Row],[价格]]</f>
        <v>gift_3</v>
      </c>
      <c r="F154" s="3" t="s">
        <v>40</v>
      </c>
      <c r="G154" s="3" t="str">
        <f>"[[""r002"","&amp;表1_3[[#This Row],[价格]]&amp;"]]"</f>
        <v>[["r002",3]]</v>
      </c>
      <c r="H154" s="12">
        <f>INT(VLOOKUP(表1_3[[#This Row],[名称]],[1]!表1[#Data],5,FALSE)/6)</f>
        <v>3</v>
      </c>
      <c r="I154" s="5" t="str">
        <f>VLOOKUP(表1_3[[#This Row],[名称]],[1]!表1[#Data],19,FALSE)</f>
        <v>[["i016",10],["i001",50000],["i400",5],["i004",5]]</v>
      </c>
      <c r="J154" s="3">
        <v>1</v>
      </c>
      <c r="K154" s="3">
        <v>1</v>
      </c>
      <c r="L154" s="3" t="str">
        <f t="shared" si="4"/>
        <v>2018/07/27&amp;00:00:00</v>
      </c>
      <c r="M154" s="13" t="str">
        <f t="shared" si="5"/>
        <v>2018/07/27&amp;23:59:59</v>
      </c>
      <c r="N154" s="3">
        <v>1</v>
      </c>
      <c r="O154" s="3">
        <v>1</v>
      </c>
      <c r="P154" s="3">
        <v>0</v>
      </c>
      <c r="Q154" s="5">
        <f>VLOOKUP(表1_3[[#This Row],[名称]],[1]!表1[#Data],18,FALSE)*10</f>
        <v>1.5</v>
      </c>
      <c r="R154" s="11" t="s">
        <v>61</v>
      </c>
      <c r="S154" s="15" t="s">
        <v>67</v>
      </c>
    </row>
    <row r="155" spans="1:19" x14ac:dyDescent="0.15">
      <c r="A155" s="3">
        <v>10150</v>
      </c>
      <c r="B155" s="5">
        <f>VLOOKUP(表1_3[[#This Row],[名称]],[1]!表1[#Data],3,FALSE)</f>
        <v>9056</v>
      </c>
      <c r="C155" s="5">
        <f>VLOOKUP(表1_3[[#This Row],[名称]],[1]!表1[#Data],4,FALSE)</f>
        <v>9477</v>
      </c>
      <c r="D155" s="5" t="str">
        <f>"gift_"&amp;表1_3[[#This Row],[价格]]</f>
        <v>gift_2</v>
      </c>
      <c r="E155" s="5" t="str">
        <f>"gift_"&amp;表1_3[[#This Row],[价格]]</f>
        <v>gift_2</v>
      </c>
      <c r="F155" s="3" t="s">
        <v>40</v>
      </c>
      <c r="G155" s="3" t="str">
        <f>"[[""r002"","&amp;表1_3[[#This Row],[价格]]&amp;"]]"</f>
        <v>[["r002",2]]</v>
      </c>
      <c r="H155" s="12">
        <f>INT(VLOOKUP(表1_3[[#This Row],[名称]],[1]!表1[#Data],5,FALSE)/6)</f>
        <v>2</v>
      </c>
      <c r="I155" s="5" t="str">
        <f>VLOOKUP(表1_3[[#This Row],[名称]],[1]!表1[#Data],19,FALSE)</f>
        <v>[["i001",200000],["i002",200],["i400",2],["i220",10]]</v>
      </c>
      <c r="J155" s="3">
        <v>1</v>
      </c>
      <c r="K155" s="3">
        <v>1</v>
      </c>
      <c r="L155" s="3" t="str">
        <f t="shared" si="4"/>
        <v>2018/07/28&amp;00:00:00</v>
      </c>
      <c r="M155" s="13" t="str">
        <f t="shared" si="5"/>
        <v>2018/07/28&amp;23:59:59</v>
      </c>
      <c r="N155" s="3">
        <v>1</v>
      </c>
      <c r="O155" s="3">
        <v>1</v>
      </c>
      <c r="P155" s="3">
        <v>0</v>
      </c>
      <c r="Q155" s="5">
        <f>VLOOKUP(表1_3[[#This Row],[名称]],[1]!表1[#Data],18,FALSE)*10</f>
        <v>3.8</v>
      </c>
      <c r="R155" s="3" t="s">
        <v>41</v>
      </c>
      <c r="S155" s="15" t="s">
        <v>66</v>
      </c>
    </row>
    <row r="156" spans="1:19" x14ac:dyDescent="0.15">
      <c r="A156" s="3">
        <v>10151</v>
      </c>
      <c r="B156" s="5">
        <f>VLOOKUP(表1_3[[#This Row],[名称]],[1]!表1[#Data],3,FALSE)</f>
        <v>9055</v>
      </c>
      <c r="C156" s="5">
        <f>VLOOKUP(表1_3[[#This Row],[名称]],[1]!表1[#Data],4,FALSE)</f>
        <v>9476</v>
      </c>
      <c r="D156" s="5" t="str">
        <f>"gift_"&amp;表1_3[[#This Row],[价格]]</f>
        <v>gift_1</v>
      </c>
      <c r="E156" s="5" t="str">
        <f>"gift_"&amp;表1_3[[#This Row],[价格]]</f>
        <v>gift_1</v>
      </c>
      <c r="F156" s="3" t="s">
        <v>40</v>
      </c>
      <c r="G156" s="3" t="str">
        <f>"[[""r002"","&amp;表1_3[[#This Row],[价格]]&amp;"]]"</f>
        <v>[["r002",1]]</v>
      </c>
      <c r="H156" s="12">
        <f>INT(VLOOKUP(表1_3[[#This Row],[名称]],[1]!表1[#Data],5,FALSE)/6)</f>
        <v>1</v>
      </c>
      <c r="I156" s="5" t="str">
        <f>VLOOKUP(表1_3[[#This Row],[名称]],[1]!表1[#Data],19,FALSE)</f>
        <v>[["i215",10],["i002",50],["i004",1],["i240",20]]</v>
      </c>
      <c r="J156" s="3">
        <v>1</v>
      </c>
      <c r="K156" s="3">
        <v>1</v>
      </c>
      <c r="L156" s="3" t="str">
        <f t="shared" si="4"/>
        <v>2018/07/29&amp;00:00:00</v>
      </c>
      <c r="M156" s="13" t="str">
        <f t="shared" si="5"/>
        <v>2018/07/29&amp;23:59:59</v>
      </c>
      <c r="N156" s="3">
        <v>1</v>
      </c>
      <c r="O156" s="3">
        <v>1</v>
      </c>
      <c r="P156" s="3">
        <v>0</v>
      </c>
      <c r="Q156" s="5">
        <f>VLOOKUP(表1_3[[#This Row],[名称]],[1]!表1[#Data],18,FALSE)*10</f>
        <v>2.7</v>
      </c>
      <c r="R156" s="11" t="s">
        <v>58</v>
      </c>
      <c r="S156" s="15" t="s">
        <v>65</v>
      </c>
    </row>
    <row r="157" spans="1:19" x14ac:dyDescent="0.15">
      <c r="A157" s="3">
        <v>10152</v>
      </c>
      <c r="B157" s="5">
        <f>VLOOKUP(表1_3[[#This Row],[名称]],[1]!表1[#Data],3,FALSE)</f>
        <v>9056</v>
      </c>
      <c r="C157" s="5">
        <f>VLOOKUP(表1_3[[#This Row],[名称]],[1]!表1[#Data],4,FALSE)</f>
        <v>9477</v>
      </c>
      <c r="D157" s="5" t="str">
        <f>"gift_"&amp;表1_3[[#This Row],[价格]]</f>
        <v>gift_2</v>
      </c>
      <c r="E157" s="5" t="str">
        <f>"gift_"&amp;表1_3[[#This Row],[价格]]</f>
        <v>gift_2</v>
      </c>
      <c r="F157" s="3" t="s">
        <v>40</v>
      </c>
      <c r="G157" s="3" t="str">
        <f>"[[""r002"","&amp;表1_3[[#This Row],[价格]]&amp;"]]"</f>
        <v>[["r002",2]]</v>
      </c>
      <c r="H157" s="12">
        <f>INT(VLOOKUP(表1_3[[#This Row],[名称]],[1]!表1[#Data],5,FALSE)/6)</f>
        <v>2</v>
      </c>
      <c r="I157" s="5" t="str">
        <f>VLOOKUP(表1_3[[#This Row],[名称]],[1]!表1[#Data],19,FALSE)</f>
        <v>[["i015",8],["i002",100],["i400",2],["i220",2]]</v>
      </c>
      <c r="J157" s="3">
        <v>1</v>
      </c>
      <c r="K157" s="3">
        <v>1</v>
      </c>
      <c r="L157" s="3" t="str">
        <f t="shared" si="4"/>
        <v>2018/07/30&amp;00:00:00</v>
      </c>
      <c r="M157" s="13" t="str">
        <f t="shared" si="5"/>
        <v>2018/07/30&amp;23:59:59</v>
      </c>
      <c r="N157" s="3">
        <v>1</v>
      </c>
      <c r="O157" s="3">
        <v>1</v>
      </c>
      <c r="P157" s="3">
        <v>0</v>
      </c>
      <c r="Q157" s="5">
        <f>VLOOKUP(表1_3[[#This Row],[名称]],[1]!表1[#Data],18,FALSE)*10</f>
        <v>3</v>
      </c>
      <c r="R157" s="11" t="s">
        <v>55</v>
      </c>
      <c r="S157" s="15" t="s">
        <v>64</v>
      </c>
    </row>
    <row r="158" spans="1:19" x14ac:dyDescent="0.15">
      <c r="A158" s="3">
        <v>10153</v>
      </c>
      <c r="B158" s="5">
        <f>VLOOKUP(表1_3[[#This Row],[名称]],[1]!表1[#Data],3,FALSE)</f>
        <v>9055</v>
      </c>
      <c r="C158" s="5">
        <f>VLOOKUP(表1_3[[#This Row],[名称]],[1]!表1[#Data],4,FALSE)</f>
        <v>9476</v>
      </c>
      <c r="D158" s="5" t="str">
        <f>"gift_"&amp;表1_3[[#This Row],[价格]]</f>
        <v>gift_1</v>
      </c>
      <c r="E158" s="5" t="str">
        <f>"gift_"&amp;表1_3[[#This Row],[价格]]</f>
        <v>gift_1</v>
      </c>
      <c r="F158" s="3" t="s">
        <v>40</v>
      </c>
      <c r="G158" s="3" t="str">
        <f>"[[""r002"","&amp;表1_3[[#This Row],[价格]]&amp;"]]"</f>
        <v>[["r002",1]]</v>
      </c>
      <c r="H158" s="12">
        <f>INT(VLOOKUP(表1_3[[#This Row],[名称]],[1]!表1[#Data],5,FALSE)/6)</f>
        <v>1</v>
      </c>
      <c r="I158" s="5" t="str">
        <f>VLOOKUP(表1_3[[#This Row],[名称]],[1]!表1[#Data],19,FALSE)</f>
        <v>[["i001",100000],["i002",100],["i400",1],["i220",5]]</v>
      </c>
      <c r="J158" s="3">
        <v>1</v>
      </c>
      <c r="K158" s="3">
        <v>1</v>
      </c>
      <c r="L158" s="3" t="str">
        <f t="shared" si="4"/>
        <v>2018/07/31&amp;00:00:00</v>
      </c>
      <c r="M158" s="13" t="str">
        <f t="shared" si="5"/>
        <v>2018/07/31&amp;23:59:59</v>
      </c>
      <c r="N158" s="3">
        <v>1</v>
      </c>
      <c r="O158" s="3">
        <v>1</v>
      </c>
      <c r="P158" s="3">
        <v>0</v>
      </c>
      <c r="Q158" s="5">
        <f>VLOOKUP(表1_3[[#This Row],[名称]],[1]!表1[#Data],18,FALSE)*10</f>
        <v>3.5999999999999996</v>
      </c>
      <c r="R158" s="3" t="s">
        <v>39</v>
      </c>
      <c r="S158" s="15" t="s">
        <v>63</v>
      </c>
    </row>
    <row r="159" spans="1:19" x14ac:dyDescent="0.15">
      <c r="A159" s="3">
        <v>10154</v>
      </c>
      <c r="B159" s="5">
        <f>VLOOKUP(表1_3[[#This Row],[名称]],[1]!表1[#Data],3,FALSE)</f>
        <v>9075</v>
      </c>
      <c r="C159" s="5">
        <f>VLOOKUP(表1_3[[#This Row],[名称]],[1]!表1[#Data],4,FALSE)</f>
        <v>9496</v>
      </c>
      <c r="D159" s="5" t="str">
        <f>"gift_"&amp;表1_3[[#This Row],[价格]]</f>
        <v>gift_7</v>
      </c>
      <c r="E159" s="5" t="str">
        <f>"gift_"&amp;表1_3[[#This Row],[价格]]</f>
        <v>gift_7</v>
      </c>
      <c r="F159" s="3" t="s">
        <v>40</v>
      </c>
      <c r="G159" s="3" t="str">
        <f>"[[""r002"","&amp;表1_3[[#This Row],[价格]]&amp;"]]"</f>
        <v>[["r002",7]]</v>
      </c>
      <c r="H159" s="12">
        <f>INT(VLOOKUP(表1_3[[#This Row],[名称]],[1]!表1[#Data],5,FALSE)/6)</f>
        <v>7</v>
      </c>
      <c r="I159" s="5" t="str">
        <f>VLOOKUP(表1_3[[#This Row],[名称]],[1]!表1[#Data],19,FALSE)</f>
        <v>[["i001",500000],["i002",500],["i015",1],["i004",4]]</v>
      </c>
      <c r="J159" s="3">
        <v>1</v>
      </c>
      <c r="K159" s="3">
        <v>1</v>
      </c>
      <c r="L159" s="3" t="str">
        <f t="shared" si="4"/>
        <v>2018/08/01&amp;00:00:00</v>
      </c>
      <c r="M159" s="13" t="str">
        <f t="shared" si="5"/>
        <v>2018/08/01&amp;23:59:59</v>
      </c>
      <c r="N159" s="3">
        <v>1</v>
      </c>
      <c r="O159" s="3">
        <v>1</v>
      </c>
      <c r="P159" s="3">
        <v>0</v>
      </c>
      <c r="Q159" s="5">
        <f>VLOOKUP(表1_3[[#This Row],[名称]],[1]!表1[#Data],18,FALSE)*10</f>
        <v>3.8</v>
      </c>
      <c r="R159" s="3" t="s">
        <v>44</v>
      </c>
      <c r="S159" s="15" t="s">
        <v>75</v>
      </c>
    </row>
    <row r="160" spans="1:19" x14ac:dyDescent="0.15">
      <c r="A160" s="3">
        <v>10155</v>
      </c>
      <c r="B160" s="5">
        <f>VLOOKUP(表1_3[[#This Row],[名称]],[1]!表1[#Data],3,FALSE)</f>
        <v>9055</v>
      </c>
      <c r="C160" s="5">
        <f>VLOOKUP(表1_3[[#This Row],[名称]],[1]!表1[#Data],4,FALSE)</f>
        <v>9476</v>
      </c>
      <c r="D160" s="5" t="str">
        <f>"gift_"&amp;表1_3[[#This Row],[价格]]</f>
        <v>gift_1</v>
      </c>
      <c r="E160" s="5" t="str">
        <f>"gift_"&amp;表1_3[[#This Row],[价格]]</f>
        <v>gift_1</v>
      </c>
      <c r="F160" s="3" t="s">
        <v>40</v>
      </c>
      <c r="G160" s="3" t="str">
        <f>"[[""r002"","&amp;表1_3[[#This Row],[价格]]&amp;"]]"</f>
        <v>[["r002",1]]</v>
      </c>
      <c r="H160" s="14">
        <f>INT(VLOOKUP(表1_3[[#This Row],[名称]],[1]!表1[#Data],5,FALSE)/6)</f>
        <v>1</v>
      </c>
      <c r="I160" s="5" t="str">
        <f>VLOOKUP(表1_3[[#This Row],[名称]],[1]!表1[#Data],19,FALSE)</f>
        <v>[["i215",10],["i002",50],["i004",1],["i240",20]]</v>
      </c>
      <c r="J160" s="3">
        <v>1</v>
      </c>
      <c r="K160" s="3">
        <v>1</v>
      </c>
      <c r="L160" s="3" t="str">
        <f t="shared" si="4"/>
        <v>2018/08/02&amp;00:00:00</v>
      </c>
      <c r="M160" s="13" t="str">
        <f t="shared" si="5"/>
        <v>2018/08/02&amp;23:59:59</v>
      </c>
      <c r="N160" s="3">
        <v>1</v>
      </c>
      <c r="O160" s="3">
        <v>1</v>
      </c>
      <c r="P160" s="3">
        <v>0</v>
      </c>
      <c r="Q160" s="5">
        <f>VLOOKUP(表1_3[[#This Row],[名称]],[1]!表1[#Data],18,FALSE)*10</f>
        <v>2.7</v>
      </c>
      <c r="R160" s="11" t="s">
        <v>58</v>
      </c>
      <c r="S160" s="15" t="s">
        <v>65</v>
      </c>
    </row>
    <row r="161" spans="1:19" x14ac:dyDescent="0.15">
      <c r="A161" s="3">
        <v>10156</v>
      </c>
      <c r="B161" s="5">
        <f>VLOOKUP(表1_3[[#This Row],[名称]],[1]!表1[#Data],3,FALSE)</f>
        <v>9075</v>
      </c>
      <c r="C161" s="5">
        <f>VLOOKUP(表1_3[[#This Row],[名称]],[1]!表1[#Data],4,FALSE)</f>
        <v>9496</v>
      </c>
      <c r="D161" s="5" t="str">
        <f>"gift_"&amp;表1_3[[#This Row],[价格]]</f>
        <v>gift_7</v>
      </c>
      <c r="E161" s="5" t="str">
        <f>"gift_"&amp;表1_3[[#This Row],[价格]]</f>
        <v>gift_7</v>
      </c>
      <c r="F161" s="3" t="s">
        <v>40</v>
      </c>
      <c r="G161" s="3" t="str">
        <f>"[[""r002"","&amp;表1_3[[#This Row],[价格]]&amp;"]]"</f>
        <v>[["r002",7]]</v>
      </c>
      <c r="H161" s="14">
        <f>INT(VLOOKUP(表1_3[[#This Row],[名称]],[1]!表1[#Data],5,FALSE)/6)</f>
        <v>7</v>
      </c>
      <c r="I161" s="5" t="str">
        <f>VLOOKUP(表1_3[[#This Row],[名称]],[1]!表1[#Data],19,FALSE)</f>
        <v>[["i017",8],["i002",100],["i004",10],["i006",10]]</v>
      </c>
      <c r="J161" s="3">
        <v>1</v>
      </c>
      <c r="K161" s="3">
        <v>1</v>
      </c>
      <c r="L161" s="3" t="str">
        <f t="shared" si="4"/>
        <v>2018/08/03&amp;00:00:00</v>
      </c>
      <c r="M161" s="13" t="str">
        <f t="shared" si="5"/>
        <v>2018/08/03&amp;23:59:59</v>
      </c>
      <c r="N161" s="3">
        <v>1</v>
      </c>
      <c r="O161" s="3">
        <v>1</v>
      </c>
      <c r="P161" s="3">
        <v>0</v>
      </c>
      <c r="Q161" s="5">
        <f>VLOOKUP(表1_3[[#This Row],[名称]],[1]!表1[#Data],18,FALSE)*10</f>
        <v>1</v>
      </c>
      <c r="R161" s="11" t="s">
        <v>62</v>
      </c>
      <c r="S161" s="15" t="s">
        <v>74</v>
      </c>
    </row>
    <row r="162" spans="1:19" x14ac:dyDescent="0.15">
      <c r="A162" s="3">
        <v>10157</v>
      </c>
      <c r="B162" s="5">
        <f>VLOOKUP(表1_3[[#This Row],[名称]],[1]!表1[#Data],3,FALSE)</f>
        <v>9067</v>
      </c>
      <c r="C162" s="5">
        <f>VLOOKUP(表1_3[[#This Row],[名称]],[1]!表1[#Data],4,FALSE)</f>
        <v>9488</v>
      </c>
      <c r="D162" s="5" t="str">
        <f>"gift_"&amp;表1_3[[#This Row],[价格]]</f>
        <v>gift_5</v>
      </c>
      <c r="E162" s="5" t="str">
        <f>"gift_"&amp;表1_3[[#This Row],[价格]]</f>
        <v>gift_5</v>
      </c>
      <c r="F162" s="3" t="s">
        <v>40</v>
      </c>
      <c r="G162" s="3" t="str">
        <f>"[[""r002"","&amp;表1_3[[#This Row],[价格]]&amp;"]]"</f>
        <v>[["r002",5]]</v>
      </c>
      <c r="H162" s="14">
        <f>INT(VLOOKUP(表1_3[[#This Row],[名称]],[1]!表1[#Data],5,FALSE)/6)</f>
        <v>5</v>
      </c>
      <c r="I162" s="5" t="str">
        <f>VLOOKUP(表1_3[[#This Row],[名称]],[1]!表1[#Data],19,FALSE)</f>
        <v>[["i001",400000],["i002",400],["i015",1],["i006",5]]</v>
      </c>
      <c r="J162" s="3">
        <v>1</v>
      </c>
      <c r="K162" s="3">
        <v>1</v>
      </c>
      <c r="L162" s="3" t="str">
        <f t="shared" si="4"/>
        <v>2018/08/04&amp;00:00:00</v>
      </c>
      <c r="M162" s="13" t="str">
        <f t="shared" si="5"/>
        <v>2018/08/04&amp;23:59:59</v>
      </c>
      <c r="N162" s="3">
        <v>1</v>
      </c>
      <c r="O162" s="3">
        <v>1</v>
      </c>
      <c r="P162" s="3">
        <v>0</v>
      </c>
      <c r="Q162" s="5">
        <f>VLOOKUP(表1_3[[#This Row],[名称]],[1]!表1[#Data],18,FALSE)*10</f>
        <v>3.8</v>
      </c>
      <c r="R162" s="3" t="s">
        <v>43</v>
      </c>
      <c r="S162" s="15" t="s">
        <v>73</v>
      </c>
    </row>
    <row r="163" spans="1:19" x14ac:dyDescent="0.15">
      <c r="A163" s="3">
        <v>10158</v>
      </c>
      <c r="B163" s="5">
        <f>VLOOKUP(表1_3[[#This Row],[名称]],[1]!表1[#Data],3,FALSE)</f>
        <v>9055</v>
      </c>
      <c r="C163" s="5">
        <f>VLOOKUP(表1_3[[#This Row],[名称]],[1]!表1[#Data],4,FALSE)</f>
        <v>9476</v>
      </c>
      <c r="D163" s="5" t="str">
        <f>"gift_"&amp;表1_3[[#This Row],[价格]]</f>
        <v>gift_1</v>
      </c>
      <c r="E163" s="5" t="str">
        <f>"gift_"&amp;表1_3[[#This Row],[价格]]</f>
        <v>gift_1</v>
      </c>
      <c r="F163" s="3" t="s">
        <v>40</v>
      </c>
      <c r="G163" s="3" t="str">
        <f>"[[""r002"","&amp;表1_3[[#This Row],[价格]]&amp;"]]"</f>
        <v>[["r002",1]]</v>
      </c>
      <c r="H163" s="14">
        <f>INT(VLOOKUP(表1_3[[#This Row],[名称]],[1]!表1[#Data],5,FALSE)/6)</f>
        <v>1</v>
      </c>
      <c r="I163" s="5" t="str">
        <f>VLOOKUP(表1_3[[#This Row],[名称]],[1]!表1[#Data],19,FALSE)</f>
        <v>[["i400",20],["i002",50],["i015",1],["i220",2]]</v>
      </c>
      <c r="J163" s="3">
        <v>1</v>
      </c>
      <c r="K163" s="3">
        <v>1</v>
      </c>
      <c r="L163" s="3" t="str">
        <f t="shared" si="4"/>
        <v>2018/08/05&amp;00:00:00</v>
      </c>
      <c r="M163" s="13" t="str">
        <f t="shared" si="5"/>
        <v>2018/08/05&amp;23:59:59</v>
      </c>
      <c r="N163" s="3">
        <v>1</v>
      </c>
      <c r="O163" s="3">
        <v>1</v>
      </c>
      <c r="P163" s="3">
        <v>0</v>
      </c>
      <c r="Q163" s="5">
        <f>VLOOKUP(表1_3[[#This Row],[名称]],[1]!表1[#Data],18,FALSE)*10</f>
        <v>1.9</v>
      </c>
      <c r="R163" s="11" t="s">
        <v>57</v>
      </c>
      <c r="S163" s="15" t="s">
        <v>72</v>
      </c>
    </row>
    <row r="164" spans="1:19" x14ac:dyDescent="0.15">
      <c r="A164" s="3">
        <v>10159</v>
      </c>
      <c r="B164" s="5">
        <f>VLOOKUP(表1_3[[#This Row],[名称]],[1]!表1[#Data],3,FALSE)</f>
        <v>9072</v>
      </c>
      <c r="C164" s="5">
        <f>VLOOKUP(表1_3[[#This Row],[名称]],[1]!表1[#Data],4,FALSE)</f>
        <v>9493</v>
      </c>
      <c r="D164" s="5" t="str">
        <f>"gift_"&amp;表1_3[[#This Row],[价格]]</f>
        <v>gift_3</v>
      </c>
      <c r="E164" s="5" t="str">
        <f>"gift_"&amp;表1_3[[#This Row],[价格]]</f>
        <v>gift_3</v>
      </c>
      <c r="F164" s="3" t="s">
        <v>40</v>
      </c>
      <c r="G164" s="3" t="str">
        <f>"[[""r002"","&amp;表1_3[[#This Row],[价格]]&amp;"]]"</f>
        <v>[["r002",3]]</v>
      </c>
      <c r="H164" s="14">
        <f>INT(VLOOKUP(表1_3[[#This Row],[名称]],[1]!表1[#Data],5,FALSE)/6)</f>
        <v>3</v>
      </c>
      <c r="I164" s="5" t="str">
        <f>VLOOKUP(表1_3[[#This Row],[名称]],[1]!表1[#Data],19,FALSE)</f>
        <v>[["i001",300000],["i002",300],["i015",1],["i400",2]]</v>
      </c>
      <c r="J164" s="3">
        <v>1</v>
      </c>
      <c r="K164" s="3">
        <v>1</v>
      </c>
      <c r="L164" s="3" t="str">
        <f t="shared" si="4"/>
        <v>2018/08/06&amp;00:00:00</v>
      </c>
      <c r="M164" s="13" t="str">
        <f t="shared" si="5"/>
        <v>2018/08/06&amp;23:59:59</v>
      </c>
      <c r="N164" s="3">
        <v>1</v>
      </c>
      <c r="O164" s="3">
        <v>1</v>
      </c>
      <c r="P164" s="3">
        <v>0</v>
      </c>
      <c r="Q164" s="5">
        <f>VLOOKUP(表1_3[[#This Row],[名称]],[1]!表1[#Data],18,FALSE)*10</f>
        <v>4</v>
      </c>
      <c r="R164" s="3" t="s">
        <v>42</v>
      </c>
      <c r="S164" s="15" t="s">
        <v>71</v>
      </c>
    </row>
    <row r="165" spans="1:19" x14ac:dyDescent="0.15">
      <c r="A165" s="3">
        <v>10160</v>
      </c>
      <c r="B165" s="5">
        <f>VLOOKUP(表1_3[[#This Row],[名称]],[1]!表1[#Data],3,FALSE)</f>
        <v>9056</v>
      </c>
      <c r="C165" s="5">
        <f>VLOOKUP(表1_3[[#This Row],[名称]],[1]!表1[#Data],4,FALSE)</f>
        <v>9477</v>
      </c>
      <c r="D165" s="5" t="str">
        <f>"gift_"&amp;表1_3[[#This Row],[价格]]</f>
        <v>gift_2</v>
      </c>
      <c r="E165" s="5" t="str">
        <f>"gift_"&amp;表1_3[[#This Row],[价格]]</f>
        <v>gift_2</v>
      </c>
      <c r="F165" s="3" t="s">
        <v>40</v>
      </c>
      <c r="G165" s="3" t="str">
        <f>"[[""r002"","&amp;表1_3[[#This Row],[价格]]&amp;"]]"</f>
        <v>[["r002",2]]</v>
      </c>
      <c r="H165" s="14">
        <f>INT(VLOOKUP(表1_3[[#This Row],[名称]],[1]!表1[#Data],5,FALSE)/6)</f>
        <v>2</v>
      </c>
      <c r="I165" s="5" t="str">
        <f>VLOOKUP(表1_3[[#This Row],[名称]],[1]!表1[#Data],19,FALSE)</f>
        <v>[["i240",180],["i002",150],["i001",50000],["i220",5]]</v>
      </c>
      <c r="J165" s="3">
        <v>1</v>
      </c>
      <c r="K165" s="3">
        <v>1</v>
      </c>
      <c r="L165" s="3" t="str">
        <f t="shared" si="4"/>
        <v>2018/08/07&amp;00:00:00</v>
      </c>
      <c r="M165" s="13" t="str">
        <f t="shared" si="5"/>
        <v>2018/08/07&amp;23:59:59</v>
      </c>
      <c r="N165" s="3">
        <v>1</v>
      </c>
      <c r="O165" s="3">
        <v>1</v>
      </c>
      <c r="P165" s="3">
        <v>0</v>
      </c>
      <c r="Q165" s="5">
        <f>VLOOKUP(表1_3[[#This Row],[名称]],[1]!表1[#Data],18,FALSE)*10</f>
        <v>2.5</v>
      </c>
      <c r="R165" s="11" t="s">
        <v>56</v>
      </c>
      <c r="S165" s="15" t="s">
        <v>70</v>
      </c>
    </row>
    <row r="166" spans="1:19" x14ac:dyDescent="0.15">
      <c r="A166" s="3">
        <v>10161</v>
      </c>
      <c r="B166" s="5">
        <f>VLOOKUP(表1_3[[#This Row],[名称]],[1]!表1[#Data],3,FALSE)</f>
        <v>9055</v>
      </c>
      <c r="C166" s="5">
        <f>VLOOKUP(表1_3[[#This Row],[名称]],[1]!表1[#Data],4,FALSE)</f>
        <v>9476</v>
      </c>
      <c r="D166" s="5" t="str">
        <f>"gift_"&amp;表1_3[[#This Row],[价格]]</f>
        <v>gift_1</v>
      </c>
      <c r="E166" s="5" t="str">
        <f>"gift_"&amp;表1_3[[#This Row],[价格]]</f>
        <v>gift_1</v>
      </c>
      <c r="F166" s="3" t="s">
        <v>40</v>
      </c>
      <c r="G166" s="3" t="str">
        <f>"[[""r002"","&amp;表1_3[[#This Row],[价格]]&amp;"]]"</f>
        <v>[["r002",1]]</v>
      </c>
      <c r="H166" s="13">
        <f>INT(VLOOKUP(表1_3[[#This Row],[名称]],[1]!表1[#Data],5,FALSE)/6)</f>
        <v>1</v>
      </c>
      <c r="I166" s="5" t="str">
        <f>VLOOKUP(表1_3[[#This Row],[名称]],[1]!表1[#Data],19,FALSE)</f>
        <v>[["i006",25],["i001",50000],["i004",1],["i015",1]]</v>
      </c>
      <c r="J166" s="3">
        <v>1</v>
      </c>
      <c r="K166" s="3">
        <v>1</v>
      </c>
      <c r="L166" s="3" t="str">
        <f t="shared" si="4"/>
        <v>2018/08/08&amp;00:00:00</v>
      </c>
      <c r="M166" s="13" t="str">
        <f t="shared" si="5"/>
        <v>2018/08/08&amp;23:59:59</v>
      </c>
      <c r="N166" s="3">
        <v>1</v>
      </c>
      <c r="O166" s="3">
        <v>1</v>
      </c>
      <c r="P166" s="3">
        <v>0</v>
      </c>
      <c r="Q166" s="5">
        <f>VLOOKUP(表1_3[[#This Row],[名称]],[1]!表1[#Data],18,FALSE)*10</f>
        <v>1.9</v>
      </c>
      <c r="R166" s="11" t="s">
        <v>59</v>
      </c>
      <c r="S166" s="15" t="s">
        <v>69</v>
      </c>
    </row>
    <row r="167" spans="1:19" x14ac:dyDescent="0.15">
      <c r="A167" s="3">
        <v>10162</v>
      </c>
      <c r="B167" s="5">
        <f>VLOOKUP(表1_3[[#This Row],[名称]],[1]!表1[#Data],3,FALSE)</f>
        <v>9055</v>
      </c>
      <c r="C167" s="5">
        <f>VLOOKUP(表1_3[[#This Row],[名称]],[1]!表1[#Data],4,FALSE)</f>
        <v>9476</v>
      </c>
      <c r="D167" s="5" t="str">
        <f>"gift_"&amp;表1_3[[#This Row],[价格]]</f>
        <v>gift_1</v>
      </c>
      <c r="E167" s="5" t="str">
        <f>"gift_"&amp;表1_3[[#This Row],[价格]]</f>
        <v>gift_1</v>
      </c>
      <c r="F167" s="3" t="s">
        <v>40</v>
      </c>
      <c r="G167" s="3" t="str">
        <f>"[[""r002"","&amp;表1_3[[#This Row],[价格]]&amp;"]]"</f>
        <v>[["r002",1]]</v>
      </c>
      <c r="H167" s="13">
        <f>INT(VLOOKUP(表1_3[[#This Row],[名称]],[1]!表1[#Data],5,FALSE)/6)</f>
        <v>1</v>
      </c>
      <c r="I167" s="5" t="str">
        <f>VLOOKUP(表1_3[[#This Row],[名称]],[1]!表1[#Data],19,FALSE)</f>
        <v>[["i011",50],["i001",100000],["i004",1],["i015",1]]</v>
      </c>
      <c r="J167" s="3">
        <v>1</v>
      </c>
      <c r="K167" s="3">
        <v>1</v>
      </c>
      <c r="L167" s="3" t="str">
        <f t="shared" si="4"/>
        <v>2018/08/09&amp;00:00:00</v>
      </c>
      <c r="M167" s="13" t="str">
        <f t="shared" si="5"/>
        <v>2018/08/09&amp;23:59:59</v>
      </c>
      <c r="N167" s="3">
        <v>1</v>
      </c>
      <c r="O167" s="3">
        <v>1</v>
      </c>
      <c r="P167" s="3">
        <v>0</v>
      </c>
      <c r="Q167" s="5">
        <f>VLOOKUP(表1_3[[#This Row],[名称]],[1]!表1[#Data],18,FALSE)*10</f>
        <v>2.4</v>
      </c>
      <c r="R167" s="11" t="s">
        <v>60</v>
      </c>
      <c r="S167" s="15" t="s">
        <v>68</v>
      </c>
    </row>
    <row r="168" spans="1:19" x14ac:dyDescent="0.15">
      <c r="A168" s="3">
        <v>10163</v>
      </c>
      <c r="B168" s="5">
        <f>VLOOKUP(表1_3[[#This Row],[名称]],[1]!表1[#Data],3,FALSE)</f>
        <v>9072</v>
      </c>
      <c r="C168" s="5">
        <f>VLOOKUP(表1_3[[#This Row],[名称]],[1]!表1[#Data],4,FALSE)</f>
        <v>9493</v>
      </c>
      <c r="D168" s="5" t="str">
        <f>"gift_"&amp;表1_3[[#This Row],[价格]]</f>
        <v>gift_3</v>
      </c>
      <c r="E168" s="5" t="str">
        <f>"gift_"&amp;表1_3[[#This Row],[价格]]</f>
        <v>gift_3</v>
      </c>
      <c r="F168" s="3" t="s">
        <v>40</v>
      </c>
      <c r="G168" s="3" t="str">
        <f>"[[""r002"","&amp;表1_3[[#This Row],[价格]]&amp;"]]"</f>
        <v>[["r002",3]]</v>
      </c>
      <c r="H168" s="13">
        <f>INT(VLOOKUP(表1_3[[#This Row],[名称]],[1]!表1[#Data],5,FALSE)/6)</f>
        <v>3</v>
      </c>
      <c r="I168" s="5" t="str">
        <f>VLOOKUP(表1_3[[#This Row],[名称]],[1]!表1[#Data],19,FALSE)</f>
        <v>[["i016",10],["i001",50000],["i400",5],["i004",5]]</v>
      </c>
      <c r="J168" s="3">
        <v>1</v>
      </c>
      <c r="K168" s="3">
        <v>1</v>
      </c>
      <c r="L168" s="3" t="str">
        <f t="shared" si="4"/>
        <v>2018/08/10&amp;00:00:00</v>
      </c>
      <c r="M168" s="13" t="str">
        <f t="shared" si="5"/>
        <v>2018/08/10&amp;23:59:59</v>
      </c>
      <c r="N168" s="3">
        <v>1</v>
      </c>
      <c r="O168" s="3">
        <v>1</v>
      </c>
      <c r="P168" s="3">
        <v>0</v>
      </c>
      <c r="Q168" s="5">
        <f>VLOOKUP(表1_3[[#This Row],[名称]],[1]!表1[#Data],18,FALSE)*10</f>
        <v>1.5</v>
      </c>
      <c r="R168" s="11" t="s">
        <v>61</v>
      </c>
      <c r="S168" s="15" t="s">
        <v>67</v>
      </c>
    </row>
    <row r="169" spans="1:19" x14ac:dyDescent="0.15">
      <c r="A169" s="3">
        <v>10164</v>
      </c>
      <c r="B169" s="5">
        <f>VLOOKUP(表1_3[[#This Row],[名称]],[1]!表1[#Data],3,FALSE)</f>
        <v>9056</v>
      </c>
      <c r="C169" s="5">
        <f>VLOOKUP(表1_3[[#This Row],[名称]],[1]!表1[#Data],4,FALSE)</f>
        <v>9477</v>
      </c>
      <c r="D169" s="5" t="str">
        <f>"gift_"&amp;表1_3[[#This Row],[价格]]</f>
        <v>gift_2</v>
      </c>
      <c r="E169" s="5" t="str">
        <f>"gift_"&amp;表1_3[[#This Row],[价格]]</f>
        <v>gift_2</v>
      </c>
      <c r="F169" s="3" t="s">
        <v>40</v>
      </c>
      <c r="G169" s="3" t="str">
        <f>"[[""r002"","&amp;表1_3[[#This Row],[价格]]&amp;"]]"</f>
        <v>[["r002",2]]</v>
      </c>
      <c r="H169" s="13">
        <f>INT(VLOOKUP(表1_3[[#This Row],[名称]],[1]!表1[#Data],5,FALSE)/6)</f>
        <v>2</v>
      </c>
      <c r="I169" s="5" t="str">
        <f>VLOOKUP(表1_3[[#This Row],[名称]],[1]!表1[#Data],19,FALSE)</f>
        <v>[["i001",200000],["i002",200],["i400",2],["i220",10]]</v>
      </c>
      <c r="J169" s="3">
        <v>1</v>
      </c>
      <c r="K169" s="3">
        <v>1</v>
      </c>
      <c r="L169" s="3" t="str">
        <f t="shared" si="4"/>
        <v>2018/08/11&amp;00:00:00</v>
      </c>
      <c r="M169" s="13" t="str">
        <f t="shared" si="5"/>
        <v>2018/08/11&amp;23:59:59</v>
      </c>
      <c r="N169" s="3">
        <v>1</v>
      </c>
      <c r="O169" s="3">
        <v>1</v>
      </c>
      <c r="P169" s="3">
        <v>0</v>
      </c>
      <c r="Q169" s="5">
        <f>VLOOKUP(表1_3[[#This Row],[名称]],[1]!表1[#Data],18,FALSE)*10</f>
        <v>3.8</v>
      </c>
      <c r="R169" s="3" t="s">
        <v>41</v>
      </c>
      <c r="S169" s="15" t="s">
        <v>66</v>
      </c>
    </row>
    <row r="170" spans="1:19" x14ac:dyDescent="0.15">
      <c r="A170" s="3">
        <v>10165</v>
      </c>
      <c r="B170" s="5">
        <f>VLOOKUP(表1_3[[#This Row],[名称]],[1]!表1[#Data],3,FALSE)</f>
        <v>9055</v>
      </c>
      <c r="C170" s="5">
        <f>VLOOKUP(表1_3[[#This Row],[名称]],[1]!表1[#Data],4,FALSE)</f>
        <v>9476</v>
      </c>
      <c r="D170" s="5" t="str">
        <f>"gift_"&amp;表1_3[[#This Row],[价格]]</f>
        <v>gift_1</v>
      </c>
      <c r="E170" s="5" t="str">
        <f>"gift_"&amp;表1_3[[#This Row],[价格]]</f>
        <v>gift_1</v>
      </c>
      <c r="F170" s="3" t="s">
        <v>40</v>
      </c>
      <c r="G170" s="3" t="str">
        <f>"[[""r002"","&amp;表1_3[[#This Row],[价格]]&amp;"]]"</f>
        <v>[["r002",1]]</v>
      </c>
      <c r="H170" s="13">
        <f>INT(VLOOKUP(表1_3[[#This Row],[名称]],[1]!表1[#Data],5,FALSE)/6)</f>
        <v>1</v>
      </c>
      <c r="I170" s="5" t="str">
        <f>VLOOKUP(表1_3[[#This Row],[名称]],[1]!表1[#Data],19,FALSE)</f>
        <v>[["i215",10],["i002",50],["i004",1],["i240",20]]</v>
      </c>
      <c r="J170" s="3">
        <v>1</v>
      </c>
      <c r="K170" s="3">
        <v>1</v>
      </c>
      <c r="L170" s="3" t="str">
        <f t="shared" si="4"/>
        <v>2018/08/12&amp;00:00:00</v>
      </c>
      <c r="M170" s="13" t="str">
        <f t="shared" si="5"/>
        <v>2018/08/12&amp;23:59:59</v>
      </c>
      <c r="N170" s="3">
        <v>1</v>
      </c>
      <c r="O170" s="3">
        <v>1</v>
      </c>
      <c r="P170" s="3">
        <v>0</v>
      </c>
      <c r="Q170" s="5">
        <f>VLOOKUP(表1_3[[#This Row],[名称]],[1]!表1[#Data],18,FALSE)*10</f>
        <v>2.7</v>
      </c>
      <c r="R170" s="11" t="s">
        <v>58</v>
      </c>
      <c r="S170" s="15" t="s">
        <v>65</v>
      </c>
    </row>
    <row r="171" spans="1:19" x14ac:dyDescent="0.15">
      <c r="A171" s="3">
        <v>10166</v>
      </c>
      <c r="B171" s="5">
        <f>VLOOKUP(表1_3[[#This Row],[名称]],[1]!表1[#Data],3,FALSE)</f>
        <v>9056</v>
      </c>
      <c r="C171" s="5">
        <f>VLOOKUP(表1_3[[#This Row],[名称]],[1]!表1[#Data],4,FALSE)</f>
        <v>9477</v>
      </c>
      <c r="D171" s="5" t="str">
        <f>"gift_"&amp;表1_3[[#This Row],[价格]]</f>
        <v>gift_2</v>
      </c>
      <c r="E171" s="5" t="str">
        <f>"gift_"&amp;表1_3[[#This Row],[价格]]</f>
        <v>gift_2</v>
      </c>
      <c r="F171" s="3" t="s">
        <v>40</v>
      </c>
      <c r="G171" s="3" t="str">
        <f>"[[""r002"","&amp;表1_3[[#This Row],[价格]]&amp;"]]"</f>
        <v>[["r002",2]]</v>
      </c>
      <c r="H171" s="13">
        <f>INT(VLOOKUP(表1_3[[#This Row],[名称]],[1]!表1[#Data],5,FALSE)/6)</f>
        <v>2</v>
      </c>
      <c r="I171" s="5" t="str">
        <f>VLOOKUP(表1_3[[#This Row],[名称]],[1]!表1[#Data],19,FALSE)</f>
        <v>[["i015",8],["i002",100],["i400",2],["i220",2]]</v>
      </c>
      <c r="J171" s="3">
        <v>1</v>
      </c>
      <c r="K171" s="3">
        <v>1</v>
      </c>
      <c r="L171" s="3" t="str">
        <f t="shared" si="4"/>
        <v>2018/08/13&amp;00:00:00</v>
      </c>
      <c r="M171" s="13" t="str">
        <f t="shared" si="5"/>
        <v>2018/08/13&amp;23:59:59</v>
      </c>
      <c r="N171" s="3">
        <v>1</v>
      </c>
      <c r="O171" s="3">
        <v>1</v>
      </c>
      <c r="P171" s="3">
        <v>0</v>
      </c>
      <c r="Q171" s="5">
        <f>VLOOKUP(表1_3[[#This Row],[名称]],[1]!表1[#Data],18,FALSE)*10</f>
        <v>3</v>
      </c>
      <c r="R171" s="11" t="s">
        <v>55</v>
      </c>
      <c r="S171" s="15" t="s">
        <v>64</v>
      </c>
    </row>
    <row r="172" spans="1:19" x14ac:dyDescent="0.15">
      <c r="A172" s="3">
        <v>10167</v>
      </c>
      <c r="B172" s="5">
        <f>VLOOKUP(表1_3[[#This Row],[名称]],[1]!表1[#Data],3,FALSE)</f>
        <v>9055</v>
      </c>
      <c r="C172" s="5">
        <f>VLOOKUP(表1_3[[#This Row],[名称]],[1]!表1[#Data],4,FALSE)</f>
        <v>9476</v>
      </c>
      <c r="D172" s="5" t="str">
        <f>"gift_"&amp;表1_3[[#This Row],[价格]]</f>
        <v>gift_1</v>
      </c>
      <c r="E172" s="5" t="str">
        <f>"gift_"&amp;表1_3[[#This Row],[价格]]</f>
        <v>gift_1</v>
      </c>
      <c r="F172" s="3" t="s">
        <v>40</v>
      </c>
      <c r="G172" s="3" t="str">
        <f>"[[""r002"","&amp;表1_3[[#This Row],[价格]]&amp;"]]"</f>
        <v>[["r002",1]]</v>
      </c>
      <c r="H172" s="13">
        <f>INT(VLOOKUP(表1_3[[#This Row],[名称]],[1]!表1[#Data],5,FALSE)/6)</f>
        <v>1</v>
      </c>
      <c r="I172" s="5" t="str">
        <f>VLOOKUP(表1_3[[#This Row],[名称]],[1]!表1[#Data],19,FALSE)</f>
        <v>[["i001",100000],["i002",100],["i400",1],["i220",5]]</v>
      </c>
      <c r="J172" s="3">
        <v>1</v>
      </c>
      <c r="K172" s="3">
        <v>1</v>
      </c>
      <c r="L172" s="3" t="str">
        <f t="shared" si="4"/>
        <v>2018/08/14&amp;00:00:00</v>
      </c>
      <c r="M172" s="13" t="str">
        <f t="shared" si="5"/>
        <v>2018/08/14&amp;23:59:59</v>
      </c>
      <c r="N172" s="3">
        <v>1</v>
      </c>
      <c r="O172" s="3">
        <v>1</v>
      </c>
      <c r="P172" s="3">
        <v>0</v>
      </c>
      <c r="Q172" s="5">
        <f>VLOOKUP(表1_3[[#This Row],[名称]],[1]!表1[#Data],18,FALSE)*10</f>
        <v>3.5999999999999996</v>
      </c>
      <c r="R172" s="3" t="s">
        <v>39</v>
      </c>
      <c r="S172" s="15" t="s">
        <v>63</v>
      </c>
    </row>
    <row r="173" spans="1:19" x14ac:dyDescent="0.15">
      <c r="A173" s="3">
        <v>10168</v>
      </c>
      <c r="B173" s="5">
        <f>VLOOKUP(表1_3[[#This Row],[名称]],[1]!表1[#Data],3,FALSE)</f>
        <v>9055</v>
      </c>
      <c r="C173" s="5">
        <f>VLOOKUP(表1_3[[#This Row],[名称]],[1]!表1[#Data],4,FALSE)</f>
        <v>9476</v>
      </c>
      <c r="D173" s="5" t="str">
        <f>"gift_"&amp;表1_3[[#This Row],[价格]]</f>
        <v>gift_1</v>
      </c>
      <c r="E173" s="5" t="str">
        <f>"gift_"&amp;表1_3[[#This Row],[价格]]</f>
        <v>gift_1</v>
      </c>
      <c r="F173" s="3" t="s">
        <v>40</v>
      </c>
      <c r="G173" s="3" t="str">
        <f>"[[""r002"","&amp;表1_3[[#This Row],[价格]]&amp;"]]"</f>
        <v>[["r002",1]]</v>
      </c>
      <c r="H173" s="13">
        <f>INT(VLOOKUP(表1_3[[#This Row],[名称]],[1]!表1[#Data],5,FALSE)/6)</f>
        <v>1</v>
      </c>
      <c r="I173" s="5" t="str">
        <f>VLOOKUP(表1_3[[#This Row],[名称]],[1]!表1[#Data],19,FALSE)</f>
        <v>[["i001",100000],["i002",100],["i400",1],["i220",5]]</v>
      </c>
      <c r="J173" s="3">
        <v>1</v>
      </c>
      <c r="K173" s="3">
        <v>1</v>
      </c>
      <c r="L173" s="3" t="str">
        <f t="shared" si="4"/>
        <v>2018/08/15&amp;00:00:00</v>
      </c>
      <c r="M173" s="13" t="str">
        <f t="shared" si="5"/>
        <v>2018/08/15&amp;23:59:59</v>
      </c>
      <c r="N173" s="3">
        <v>1</v>
      </c>
      <c r="O173" s="3">
        <v>1</v>
      </c>
      <c r="P173" s="3">
        <v>0</v>
      </c>
      <c r="Q173" s="5">
        <f>VLOOKUP(表1_3[[#This Row],[名称]],[1]!表1[#Data],18,FALSE)*10</f>
        <v>3.5999999999999996</v>
      </c>
      <c r="R173" s="3" t="s">
        <v>39</v>
      </c>
      <c r="S173" s="15" t="s">
        <v>63</v>
      </c>
    </row>
    <row r="174" spans="1:19" x14ac:dyDescent="0.15">
      <c r="A174" s="3">
        <v>10169</v>
      </c>
      <c r="B174" s="5">
        <f>VLOOKUP(表1_3[[#This Row],[名称]],[1]!表1[#Data],3,FALSE)</f>
        <v>9056</v>
      </c>
      <c r="C174" s="5">
        <f>VLOOKUP(表1_3[[#This Row],[名称]],[1]!表1[#Data],4,FALSE)</f>
        <v>9477</v>
      </c>
      <c r="D174" s="5" t="str">
        <f>"gift_"&amp;表1_3[[#This Row],[价格]]</f>
        <v>gift_2</v>
      </c>
      <c r="E174" s="5" t="str">
        <f>"gift_"&amp;表1_3[[#This Row],[价格]]</f>
        <v>gift_2</v>
      </c>
      <c r="F174" s="3" t="s">
        <v>40</v>
      </c>
      <c r="G174" s="3" t="str">
        <f>"[[""r002"","&amp;表1_3[[#This Row],[价格]]&amp;"]]"</f>
        <v>[["r002",2]]</v>
      </c>
      <c r="H174" s="13">
        <f>INT(VLOOKUP(表1_3[[#This Row],[名称]],[1]!表1[#Data],5,FALSE)/6)</f>
        <v>2</v>
      </c>
      <c r="I174" s="5" t="str">
        <f>VLOOKUP(表1_3[[#This Row],[名称]],[1]!表1[#Data],19,FALSE)</f>
        <v>[["i015",8],["i002",100],["i400",2],["i220",2]]</v>
      </c>
      <c r="J174" s="3">
        <v>1</v>
      </c>
      <c r="K174" s="3">
        <v>1</v>
      </c>
      <c r="L174" s="3" t="str">
        <f t="shared" si="4"/>
        <v>2018/08/16&amp;00:00:00</v>
      </c>
      <c r="M174" s="13" t="str">
        <f t="shared" si="5"/>
        <v>2018/08/16&amp;23:59:59</v>
      </c>
      <c r="N174" s="3">
        <v>1</v>
      </c>
      <c r="O174" s="3">
        <v>1</v>
      </c>
      <c r="P174" s="3">
        <v>0</v>
      </c>
      <c r="Q174" s="5">
        <f>VLOOKUP(表1_3[[#This Row],[名称]],[1]!表1[#Data],18,FALSE)*10</f>
        <v>3</v>
      </c>
      <c r="R174" s="11" t="s">
        <v>55</v>
      </c>
      <c r="S174" s="15" t="s">
        <v>64</v>
      </c>
    </row>
    <row r="175" spans="1:19" x14ac:dyDescent="0.15">
      <c r="A175" s="3">
        <v>10170</v>
      </c>
      <c r="B175" s="5">
        <f>VLOOKUP(表1_3[[#This Row],[名称]],[1]!表1[#Data],3,FALSE)</f>
        <v>9055</v>
      </c>
      <c r="C175" s="5">
        <f>VLOOKUP(表1_3[[#This Row],[名称]],[1]!表1[#Data],4,FALSE)</f>
        <v>9476</v>
      </c>
      <c r="D175" s="5" t="str">
        <f>"gift_"&amp;表1_3[[#This Row],[价格]]</f>
        <v>gift_1</v>
      </c>
      <c r="E175" s="5" t="str">
        <f>"gift_"&amp;表1_3[[#This Row],[价格]]</f>
        <v>gift_1</v>
      </c>
      <c r="F175" s="3" t="s">
        <v>40</v>
      </c>
      <c r="G175" s="3" t="str">
        <f>"[[""r002"","&amp;表1_3[[#This Row],[价格]]&amp;"]]"</f>
        <v>[["r002",1]]</v>
      </c>
      <c r="H175" s="13">
        <f>INT(VLOOKUP(表1_3[[#This Row],[名称]],[1]!表1[#Data],5,FALSE)/6)</f>
        <v>1</v>
      </c>
      <c r="I175" s="5" t="str">
        <f>VLOOKUP(表1_3[[#This Row],[名称]],[1]!表1[#Data],19,FALSE)</f>
        <v>[["i215",10],["i002",50],["i004",1],["i240",20]]</v>
      </c>
      <c r="J175" s="3">
        <v>1</v>
      </c>
      <c r="K175" s="3">
        <v>1</v>
      </c>
      <c r="L175" s="3" t="str">
        <f t="shared" si="4"/>
        <v>2018/08/17&amp;00:00:00</v>
      </c>
      <c r="M175" s="13" t="str">
        <f t="shared" si="5"/>
        <v>2018/08/17&amp;23:59:59</v>
      </c>
      <c r="N175" s="3">
        <v>1</v>
      </c>
      <c r="O175" s="3">
        <v>1</v>
      </c>
      <c r="P175" s="3">
        <v>0</v>
      </c>
      <c r="Q175" s="5">
        <f>VLOOKUP(表1_3[[#This Row],[名称]],[1]!表1[#Data],18,FALSE)*10</f>
        <v>2.7</v>
      </c>
      <c r="R175" s="11" t="s">
        <v>58</v>
      </c>
      <c r="S175" s="15" t="s">
        <v>65</v>
      </c>
    </row>
    <row r="176" spans="1:19" x14ac:dyDescent="0.15">
      <c r="A176" s="3">
        <v>10171</v>
      </c>
      <c r="B176" s="5">
        <f>VLOOKUP(表1_3[[#This Row],[名称]],[1]!表1[#Data],3,FALSE)</f>
        <v>9056</v>
      </c>
      <c r="C176" s="5">
        <f>VLOOKUP(表1_3[[#This Row],[名称]],[1]!表1[#Data],4,FALSE)</f>
        <v>9477</v>
      </c>
      <c r="D176" s="5" t="str">
        <f>"gift_"&amp;表1_3[[#This Row],[价格]]</f>
        <v>gift_2</v>
      </c>
      <c r="E176" s="5" t="str">
        <f>"gift_"&amp;表1_3[[#This Row],[价格]]</f>
        <v>gift_2</v>
      </c>
      <c r="F176" s="3" t="s">
        <v>40</v>
      </c>
      <c r="G176" s="3" t="str">
        <f>"[[""r002"","&amp;表1_3[[#This Row],[价格]]&amp;"]]"</f>
        <v>[["r002",2]]</v>
      </c>
      <c r="H176" s="13">
        <f>INT(VLOOKUP(表1_3[[#This Row],[名称]],[1]!表1[#Data],5,FALSE)/6)</f>
        <v>2</v>
      </c>
      <c r="I176" s="5" t="str">
        <f>VLOOKUP(表1_3[[#This Row],[名称]],[1]!表1[#Data],19,FALSE)</f>
        <v>[["i001",200000],["i002",200],["i400",2],["i220",10]]</v>
      </c>
      <c r="J176" s="3">
        <v>1</v>
      </c>
      <c r="K176" s="3">
        <v>1</v>
      </c>
      <c r="L176" s="3" t="str">
        <f t="shared" si="4"/>
        <v>2018/08/18&amp;00:00:00</v>
      </c>
      <c r="M176" s="13" t="str">
        <f t="shared" si="5"/>
        <v>2018/08/18&amp;23:59:59</v>
      </c>
      <c r="N176" s="3">
        <v>1</v>
      </c>
      <c r="O176" s="3">
        <v>1</v>
      </c>
      <c r="P176" s="3">
        <v>0</v>
      </c>
      <c r="Q176" s="5">
        <f>VLOOKUP(表1_3[[#This Row],[名称]],[1]!表1[#Data],18,FALSE)*10</f>
        <v>3.8</v>
      </c>
      <c r="R176" s="3" t="s">
        <v>41</v>
      </c>
      <c r="S176" s="15" t="s">
        <v>66</v>
      </c>
    </row>
    <row r="177" spans="1:19" x14ac:dyDescent="0.15">
      <c r="A177" s="3">
        <v>10172</v>
      </c>
      <c r="B177" s="5">
        <f>VLOOKUP(表1_3[[#This Row],[名称]],[1]!表1[#Data],3,FALSE)</f>
        <v>9072</v>
      </c>
      <c r="C177" s="5">
        <f>VLOOKUP(表1_3[[#This Row],[名称]],[1]!表1[#Data],4,FALSE)</f>
        <v>9493</v>
      </c>
      <c r="D177" s="5" t="str">
        <f>"gift_"&amp;表1_3[[#This Row],[价格]]</f>
        <v>gift_3</v>
      </c>
      <c r="E177" s="5" t="str">
        <f>"gift_"&amp;表1_3[[#This Row],[价格]]</f>
        <v>gift_3</v>
      </c>
      <c r="F177" s="3" t="s">
        <v>40</v>
      </c>
      <c r="G177" s="3" t="str">
        <f>"[[""r002"","&amp;表1_3[[#This Row],[价格]]&amp;"]]"</f>
        <v>[["r002",3]]</v>
      </c>
      <c r="H177" s="13">
        <f>INT(VLOOKUP(表1_3[[#This Row],[名称]],[1]!表1[#Data],5,FALSE)/6)</f>
        <v>3</v>
      </c>
      <c r="I177" s="5" t="str">
        <f>VLOOKUP(表1_3[[#This Row],[名称]],[1]!表1[#Data],19,FALSE)</f>
        <v>[["i016",10],["i001",50000],["i400",5],["i004",5]]</v>
      </c>
      <c r="J177" s="3">
        <v>1</v>
      </c>
      <c r="K177" s="3">
        <v>1</v>
      </c>
      <c r="L177" s="3" t="str">
        <f t="shared" si="4"/>
        <v>2018/08/19&amp;00:00:00</v>
      </c>
      <c r="M177" s="13" t="str">
        <f t="shared" si="5"/>
        <v>2018/08/19&amp;23:59:59</v>
      </c>
      <c r="N177" s="3">
        <v>1</v>
      </c>
      <c r="O177" s="3">
        <v>1</v>
      </c>
      <c r="P177" s="3">
        <v>0</v>
      </c>
      <c r="Q177" s="5">
        <f>VLOOKUP(表1_3[[#This Row],[名称]],[1]!表1[#Data],18,FALSE)*10</f>
        <v>1.5</v>
      </c>
      <c r="R177" s="11" t="s">
        <v>61</v>
      </c>
      <c r="S177" s="15" t="s">
        <v>67</v>
      </c>
    </row>
    <row r="178" spans="1:19" x14ac:dyDescent="0.15">
      <c r="A178" s="3">
        <v>10173</v>
      </c>
      <c r="B178" s="5">
        <f>VLOOKUP(表1_3[[#This Row],[名称]],[1]!表1[#Data],3,FALSE)</f>
        <v>9055</v>
      </c>
      <c r="C178" s="5">
        <f>VLOOKUP(表1_3[[#This Row],[名称]],[1]!表1[#Data],4,FALSE)</f>
        <v>9476</v>
      </c>
      <c r="D178" s="5" t="str">
        <f>"gift_"&amp;表1_3[[#This Row],[价格]]</f>
        <v>gift_1</v>
      </c>
      <c r="E178" s="5" t="str">
        <f>"gift_"&amp;表1_3[[#This Row],[价格]]</f>
        <v>gift_1</v>
      </c>
      <c r="F178" s="3" t="s">
        <v>40</v>
      </c>
      <c r="G178" s="3" t="str">
        <f>"[[""r002"","&amp;表1_3[[#This Row],[价格]]&amp;"]]"</f>
        <v>[["r002",1]]</v>
      </c>
      <c r="H178" s="13">
        <f>INT(VLOOKUP(表1_3[[#This Row],[名称]],[1]!表1[#Data],5,FALSE)/6)</f>
        <v>1</v>
      </c>
      <c r="I178" s="5" t="str">
        <f>VLOOKUP(表1_3[[#This Row],[名称]],[1]!表1[#Data],19,FALSE)</f>
        <v>[["i011",50],["i001",100000],["i004",1],["i015",1]]</v>
      </c>
      <c r="J178" s="3">
        <v>1</v>
      </c>
      <c r="K178" s="3">
        <v>1</v>
      </c>
      <c r="L178" s="3" t="str">
        <f t="shared" si="4"/>
        <v>2018/08/20&amp;00:00:00</v>
      </c>
      <c r="M178" s="13" t="str">
        <f t="shared" si="5"/>
        <v>2018/08/20&amp;23:59:59</v>
      </c>
      <c r="N178" s="3">
        <v>1</v>
      </c>
      <c r="O178" s="3">
        <v>1</v>
      </c>
      <c r="P178" s="3">
        <v>0</v>
      </c>
      <c r="Q178" s="5">
        <f>VLOOKUP(表1_3[[#This Row],[名称]],[1]!表1[#Data],18,FALSE)*10</f>
        <v>2.4</v>
      </c>
      <c r="R178" s="11" t="s">
        <v>60</v>
      </c>
      <c r="S178" s="15" t="s">
        <v>68</v>
      </c>
    </row>
    <row r="179" spans="1:19" x14ac:dyDescent="0.15">
      <c r="A179" s="3">
        <v>10174</v>
      </c>
      <c r="B179" s="5">
        <f>VLOOKUP(表1_3[[#This Row],[名称]],[1]!表1[#Data],3,FALSE)</f>
        <v>9055</v>
      </c>
      <c r="C179" s="5">
        <f>VLOOKUP(表1_3[[#This Row],[名称]],[1]!表1[#Data],4,FALSE)</f>
        <v>9476</v>
      </c>
      <c r="D179" s="5" t="str">
        <f>"gift_"&amp;表1_3[[#This Row],[价格]]</f>
        <v>gift_1</v>
      </c>
      <c r="E179" s="5" t="str">
        <f>"gift_"&amp;表1_3[[#This Row],[价格]]</f>
        <v>gift_1</v>
      </c>
      <c r="F179" s="3" t="s">
        <v>40</v>
      </c>
      <c r="G179" s="3" t="str">
        <f>"[[""r002"","&amp;表1_3[[#This Row],[价格]]&amp;"]]"</f>
        <v>[["r002",1]]</v>
      </c>
      <c r="H179" s="13">
        <f>INT(VLOOKUP(表1_3[[#This Row],[名称]],[1]!表1[#Data],5,FALSE)/6)</f>
        <v>1</v>
      </c>
      <c r="I179" s="5" t="str">
        <f>VLOOKUP(表1_3[[#This Row],[名称]],[1]!表1[#Data],19,FALSE)</f>
        <v>[["i006",25],["i001",50000],["i004",1],["i015",1]]</v>
      </c>
      <c r="J179" s="3">
        <v>1</v>
      </c>
      <c r="K179" s="3">
        <v>1</v>
      </c>
      <c r="L179" s="3" t="str">
        <f t="shared" si="4"/>
        <v>2018/08/21&amp;00:00:00</v>
      </c>
      <c r="M179" s="13" t="str">
        <f t="shared" si="5"/>
        <v>2018/08/21&amp;23:59:59</v>
      </c>
      <c r="N179" s="3">
        <v>1</v>
      </c>
      <c r="O179" s="3">
        <v>1</v>
      </c>
      <c r="P179" s="3">
        <v>0</v>
      </c>
      <c r="Q179" s="5">
        <f>VLOOKUP(表1_3[[#This Row],[名称]],[1]!表1[#Data],18,FALSE)*10</f>
        <v>1.9</v>
      </c>
      <c r="R179" s="11" t="s">
        <v>59</v>
      </c>
      <c r="S179" s="15" t="s">
        <v>69</v>
      </c>
    </row>
    <row r="180" spans="1:19" x14ac:dyDescent="0.15">
      <c r="A180" s="3">
        <v>10175</v>
      </c>
      <c r="B180" s="5">
        <f>VLOOKUP(表1_3[[#This Row],[名称]],[1]!表1[#Data],3,FALSE)</f>
        <v>9056</v>
      </c>
      <c r="C180" s="5">
        <f>VLOOKUP(表1_3[[#This Row],[名称]],[1]!表1[#Data],4,FALSE)</f>
        <v>9477</v>
      </c>
      <c r="D180" s="5" t="str">
        <f>"gift_"&amp;表1_3[[#This Row],[价格]]</f>
        <v>gift_2</v>
      </c>
      <c r="E180" s="5" t="str">
        <f>"gift_"&amp;表1_3[[#This Row],[价格]]</f>
        <v>gift_2</v>
      </c>
      <c r="F180" s="3" t="s">
        <v>40</v>
      </c>
      <c r="G180" s="3" t="str">
        <f>"[[""r002"","&amp;表1_3[[#This Row],[价格]]&amp;"]]"</f>
        <v>[["r002",2]]</v>
      </c>
      <c r="H180" s="14">
        <f>INT(VLOOKUP(表1_3[[#This Row],[名称]],[1]!表1[#Data],5,FALSE)/6)</f>
        <v>2</v>
      </c>
      <c r="I180" s="5" t="str">
        <f>VLOOKUP(表1_3[[#This Row],[名称]],[1]!表1[#Data],19,FALSE)</f>
        <v>[["i240",180],["i002",150],["i001",50000],["i220",5]]</v>
      </c>
      <c r="J180" s="3">
        <v>1</v>
      </c>
      <c r="K180" s="3">
        <v>1</v>
      </c>
      <c r="L180" s="3" t="str">
        <f t="shared" si="4"/>
        <v>2018/08/22&amp;00:00:00</v>
      </c>
      <c r="M180" s="13" t="str">
        <f t="shared" si="5"/>
        <v>2018/08/22&amp;23:59:59</v>
      </c>
      <c r="N180" s="3">
        <v>1</v>
      </c>
      <c r="O180" s="3">
        <v>1</v>
      </c>
      <c r="P180" s="3">
        <v>0</v>
      </c>
      <c r="Q180" s="5">
        <f>VLOOKUP(表1_3[[#This Row],[名称]],[1]!表1[#Data],18,FALSE)*10</f>
        <v>2.5</v>
      </c>
      <c r="R180" s="11" t="s">
        <v>56</v>
      </c>
      <c r="S180" s="15" t="s">
        <v>70</v>
      </c>
    </row>
    <row r="181" spans="1:19" x14ac:dyDescent="0.15">
      <c r="A181" s="3">
        <v>10176</v>
      </c>
      <c r="B181" s="5">
        <f>VLOOKUP(表1_3[[#This Row],[名称]],[1]!表1[#Data],3,FALSE)</f>
        <v>9072</v>
      </c>
      <c r="C181" s="5">
        <f>VLOOKUP(表1_3[[#This Row],[名称]],[1]!表1[#Data],4,FALSE)</f>
        <v>9493</v>
      </c>
      <c r="D181" s="5" t="str">
        <f>"gift_"&amp;表1_3[[#This Row],[价格]]</f>
        <v>gift_3</v>
      </c>
      <c r="E181" s="5" t="str">
        <f>"gift_"&amp;表1_3[[#This Row],[价格]]</f>
        <v>gift_3</v>
      </c>
      <c r="F181" s="3" t="s">
        <v>40</v>
      </c>
      <c r="G181" s="3" t="str">
        <f>"[[""r002"","&amp;表1_3[[#This Row],[价格]]&amp;"]]"</f>
        <v>[["r002",3]]</v>
      </c>
      <c r="H181" s="14">
        <f>INT(VLOOKUP(表1_3[[#This Row],[名称]],[1]!表1[#Data],5,FALSE)/6)</f>
        <v>3</v>
      </c>
      <c r="I181" s="5" t="str">
        <f>VLOOKUP(表1_3[[#This Row],[名称]],[1]!表1[#Data],19,FALSE)</f>
        <v>[["i001",300000],["i002",300],["i015",1],["i400",2]]</v>
      </c>
      <c r="J181" s="3">
        <v>1</v>
      </c>
      <c r="K181" s="3">
        <v>1</v>
      </c>
      <c r="L181" s="3" t="str">
        <f t="shared" si="4"/>
        <v>2018/08/23&amp;00:00:00</v>
      </c>
      <c r="M181" s="13" t="str">
        <f t="shared" si="5"/>
        <v>2018/08/23&amp;23:59:59</v>
      </c>
      <c r="N181" s="3">
        <v>1</v>
      </c>
      <c r="O181" s="3">
        <v>1</v>
      </c>
      <c r="P181" s="3">
        <v>0</v>
      </c>
      <c r="Q181" s="5">
        <f>VLOOKUP(表1_3[[#This Row],[名称]],[1]!表1[#Data],18,FALSE)*10</f>
        <v>4</v>
      </c>
      <c r="R181" s="3" t="s">
        <v>42</v>
      </c>
      <c r="S181" s="15" t="s">
        <v>71</v>
      </c>
    </row>
    <row r="182" spans="1:19" x14ac:dyDescent="0.15">
      <c r="A182" s="3">
        <v>10177</v>
      </c>
      <c r="B182" s="5">
        <f>VLOOKUP(表1_3[[#This Row],[名称]],[1]!表1[#Data],3,FALSE)</f>
        <v>9055</v>
      </c>
      <c r="C182" s="5">
        <f>VLOOKUP(表1_3[[#This Row],[名称]],[1]!表1[#Data],4,FALSE)</f>
        <v>9476</v>
      </c>
      <c r="D182" s="5" t="str">
        <f>"gift_"&amp;表1_3[[#This Row],[价格]]</f>
        <v>gift_1</v>
      </c>
      <c r="E182" s="5" t="str">
        <f>"gift_"&amp;表1_3[[#This Row],[价格]]</f>
        <v>gift_1</v>
      </c>
      <c r="F182" s="3" t="s">
        <v>40</v>
      </c>
      <c r="G182" s="3" t="str">
        <f>"[[""r002"","&amp;表1_3[[#This Row],[价格]]&amp;"]]"</f>
        <v>[["r002",1]]</v>
      </c>
      <c r="H182" s="14">
        <f>INT(VLOOKUP(表1_3[[#This Row],[名称]],[1]!表1[#Data],5,FALSE)/6)</f>
        <v>1</v>
      </c>
      <c r="I182" s="5" t="str">
        <f>VLOOKUP(表1_3[[#This Row],[名称]],[1]!表1[#Data],19,FALSE)</f>
        <v>[["i400",20],["i002",50],["i015",1],["i220",2]]</v>
      </c>
      <c r="J182" s="3">
        <v>1</v>
      </c>
      <c r="K182" s="3">
        <v>1</v>
      </c>
      <c r="L182" s="3" t="str">
        <f t="shared" si="4"/>
        <v>2018/08/24&amp;00:00:00</v>
      </c>
      <c r="M182" s="13" t="str">
        <f t="shared" si="5"/>
        <v>2018/08/24&amp;23:59:59</v>
      </c>
      <c r="N182" s="3">
        <v>1</v>
      </c>
      <c r="O182" s="3">
        <v>1</v>
      </c>
      <c r="P182" s="3">
        <v>0</v>
      </c>
      <c r="Q182" s="5">
        <f>VLOOKUP(表1_3[[#This Row],[名称]],[1]!表1[#Data],18,FALSE)*10</f>
        <v>1.9</v>
      </c>
      <c r="R182" s="11" t="s">
        <v>57</v>
      </c>
      <c r="S182" s="15" t="s">
        <v>72</v>
      </c>
    </row>
    <row r="183" spans="1:19" x14ac:dyDescent="0.15">
      <c r="A183" s="3">
        <v>10178</v>
      </c>
      <c r="B183" s="5">
        <f>VLOOKUP(表1_3[[#This Row],[名称]],[1]!表1[#Data],3,FALSE)</f>
        <v>9067</v>
      </c>
      <c r="C183" s="5">
        <f>VLOOKUP(表1_3[[#This Row],[名称]],[1]!表1[#Data],4,FALSE)</f>
        <v>9488</v>
      </c>
      <c r="D183" s="5" t="str">
        <f>"gift_"&amp;表1_3[[#This Row],[价格]]</f>
        <v>gift_5</v>
      </c>
      <c r="E183" s="5" t="str">
        <f>"gift_"&amp;表1_3[[#This Row],[价格]]</f>
        <v>gift_5</v>
      </c>
      <c r="F183" s="3" t="s">
        <v>40</v>
      </c>
      <c r="G183" s="3" t="str">
        <f>"[[""r002"","&amp;表1_3[[#This Row],[价格]]&amp;"]]"</f>
        <v>[["r002",5]]</v>
      </c>
      <c r="H183" s="14">
        <f>INT(VLOOKUP(表1_3[[#This Row],[名称]],[1]!表1[#Data],5,FALSE)/6)</f>
        <v>5</v>
      </c>
      <c r="I183" s="5" t="str">
        <f>VLOOKUP(表1_3[[#This Row],[名称]],[1]!表1[#Data],19,FALSE)</f>
        <v>[["i001",400000],["i002",400],["i015",1],["i006",5]]</v>
      </c>
      <c r="J183" s="3">
        <v>1</v>
      </c>
      <c r="K183" s="3">
        <v>1</v>
      </c>
      <c r="L183" s="3" t="str">
        <f t="shared" si="4"/>
        <v>2018/08/25&amp;00:00:00</v>
      </c>
      <c r="M183" s="13" t="str">
        <f t="shared" si="5"/>
        <v>2018/08/25&amp;23:59:59</v>
      </c>
      <c r="N183" s="3">
        <v>1</v>
      </c>
      <c r="O183" s="3">
        <v>1</v>
      </c>
      <c r="P183" s="3">
        <v>0</v>
      </c>
      <c r="Q183" s="5">
        <f>VLOOKUP(表1_3[[#This Row],[名称]],[1]!表1[#Data],18,FALSE)*10</f>
        <v>3.8</v>
      </c>
      <c r="R183" s="3" t="s">
        <v>43</v>
      </c>
      <c r="S183" s="15" t="s">
        <v>73</v>
      </c>
    </row>
    <row r="184" spans="1:19" x14ac:dyDescent="0.15">
      <c r="A184" s="3">
        <v>10179</v>
      </c>
      <c r="B184" s="5">
        <f>VLOOKUP(表1_3[[#This Row],[名称]],[1]!表1[#Data],3,FALSE)</f>
        <v>9075</v>
      </c>
      <c r="C184" s="5">
        <f>VLOOKUP(表1_3[[#This Row],[名称]],[1]!表1[#Data],4,FALSE)</f>
        <v>9496</v>
      </c>
      <c r="D184" s="5" t="str">
        <f>"gift_"&amp;表1_3[[#This Row],[价格]]</f>
        <v>gift_7</v>
      </c>
      <c r="E184" s="5" t="str">
        <f>"gift_"&amp;表1_3[[#This Row],[价格]]</f>
        <v>gift_7</v>
      </c>
      <c r="F184" s="3" t="s">
        <v>40</v>
      </c>
      <c r="G184" s="3" t="str">
        <f>"[[""r002"","&amp;表1_3[[#This Row],[价格]]&amp;"]]"</f>
        <v>[["r002",7]]</v>
      </c>
      <c r="H184" s="14">
        <f>INT(VLOOKUP(表1_3[[#This Row],[名称]],[1]!表1[#Data],5,FALSE)/6)</f>
        <v>7</v>
      </c>
      <c r="I184" s="5" t="str">
        <f>VLOOKUP(表1_3[[#This Row],[名称]],[1]!表1[#Data],19,FALSE)</f>
        <v>[["i017",8],["i002",100],["i004",10],["i006",10]]</v>
      </c>
      <c r="J184" s="3">
        <v>1</v>
      </c>
      <c r="K184" s="3">
        <v>1</v>
      </c>
      <c r="L184" s="3" t="str">
        <f t="shared" si="4"/>
        <v>2018/08/26&amp;00:00:00</v>
      </c>
      <c r="M184" s="13" t="str">
        <f t="shared" si="5"/>
        <v>2018/08/26&amp;23:59:59</v>
      </c>
      <c r="N184" s="3">
        <v>1</v>
      </c>
      <c r="O184" s="3">
        <v>1</v>
      </c>
      <c r="P184" s="3">
        <v>0</v>
      </c>
      <c r="Q184" s="5">
        <f>VLOOKUP(表1_3[[#This Row],[名称]],[1]!表1[#Data],18,FALSE)*10</f>
        <v>1</v>
      </c>
      <c r="R184" s="11" t="s">
        <v>62</v>
      </c>
      <c r="S184" s="15" t="s">
        <v>74</v>
      </c>
    </row>
    <row r="185" spans="1:19" x14ac:dyDescent="0.15">
      <c r="A185" s="3">
        <v>10180</v>
      </c>
      <c r="B185" s="5">
        <f>VLOOKUP(表1_3[[#This Row],[名称]],[1]!表1[#Data],3,FALSE)</f>
        <v>9055</v>
      </c>
      <c r="C185" s="5">
        <f>VLOOKUP(表1_3[[#This Row],[名称]],[1]!表1[#Data],4,FALSE)</f>
        <v>9476</v>
      </c>
      <c r="D185" s="5" t="str">
        <f>"gift_"&amp;表1_3[[#This Row],[价格]]</f>
        <v>gift_1</v>
      </c>
      <c r="E185" s="5" t="str">
        <f>"gift_"&amp;表1_3[[#This Row],[价格]]</f>
        <v>gift_1</v>
      </c>
      <c r="F185" s="3" t="s">
        <v>40</v>
      </c>
      <c r="G185" s="3" t="str">
        <f>"[[""r002"","&amp;表1_3[[#This Row],[价格]]&amp;"]]"</f>
        <v>[["r002",1]]</v>
      </c>
      <c r="H185" s="14">
        <f>INT(VLOOKUP(表1_3[[#This Row],[名称]],[1]!表1[#Data],5,FALSE)/6)</f>
        <v>1</v>
      </c>
      <c r="I185" s="5" t="str">
        <f>VLOOKUP(表1_3[[#This Row],[名称]],[1]!表1[#Data],19,FALSE)</f>
        <v>[["i215",10],["i002",50],["i004",1],["i240",20]]</v>
      </c>
      <c r="J185" s="3">
        <v>1</v>
      </c>
      <c r="K185" s="3">
        <v>1</v>
      </c>
      <c r="L185" s="3" t="str">
        <f t="shared" si="4"/>
        <v>2018/08/27&amp;00:00:00</v>
      </c>
      <c r="M185" s="13" t="str">
        <f t="shared" si="5"/>
        <v>2018/08/27&amp;23:59:59</v>
      </c>
      <c r="N185" s="3">
        <v>1</v>
      </c>
      <c r="O185" s="3">
        <v>1</v>
      </c>
      <c r="P185" s="3">
        <v>0</v>
      </c>
      <c r="Q185" s="5">
        <f>VLOOKUP(表1_3[[#This Row],[名称]],[1]!表1[#Data],18,FALSE)*10</f>
        <v>2.7</v>
      </c>
      <c r="R185" s="11" t="s">
        <v>58</v>
      </c>
      <c r="S185" s="15" t="s">
        <v>65</v>
      </c>
    </row>
    <row r="186" spans="1:19" x14ac:dyDescent="0.15">
      <c r="A186" s="3">
        <v>10181</v>
      </c>
      <c r="B186" s="5">
        <f>VLOOKUP(表1_3[[#This Row],[名称]],[1]!表1[#Data],3,FALSE)</f>
        <v>9075</v>
      </c>
      <c r="C186" s="5">
        <f>VLOOKUP(表1_3[[#This Row],[名称]],[1]!表1[#Data],4,FALSE)</f>
        <v>9496</v>
      </c>
      <c r="D186" s="5" t="str">
        <f>"gift_"&amp;表1_3[[#This Row],[价格]]</f>
        <v>gift_7</v>
      </c>
      <c r="E186" s="5" t="str">
        <f>"gift_"&amp;表1_3[[#This Row],[价格]]</f>
        <v>gift_7</v>
      </c>
      <c r="F186" s="3" t="s">
        <v>40</v>
      </c>
      <c r="G186" s="3" t="str">
        <f>"[[""r002"","&amp;表1_3[[#This Row],[价格]]&amp;"]]"</f>
        <v>[["r002",7]]</v>
      </c>
      <c r="H186" s="12">
        <f>INT(VLOOKUP(表1_3[[#This Row],[名称]],[1]!表1[#Data],5,FALSE)/6)</f>
        <v>7</v>
      </c>
      <c r="I186" s="5" t="str">
        <f>VLOOKUP(表1_3[[#This Row],[名称]],[1]!表1[#Data],19,FALSE)</f>
        <v>[["i001",500000],["i002",500],["i015",1],["i004",4]]</v>
      </c>
      <c r="J186" s="3">
        <v>1</v>
      </c>
      <c r="K186" s="3">
        <v>1</v>
      </c>
      <c r="L186" s="3" t="str">
        <f t="shared" si="4"/>
        <v>2018/08/28&amp;00:00:00</v>
      </c>
      <c r="M186" s="13" t="str">
        <f t="shared" si="5"/>
        <v>2018/08/28&amp;23:59:59</v>
      </c>
      <c r="N186" s="3">
        <v>1</v>
      </c>
      <c r="O186" s="3">
        <v>1</v>
      </c>
      <c r="P186" s="3">
        <v>0</v>
      </c>
      <c r="Q186" s="5">
        <f>VLOOKUP(表1_3[[#This Row],[名称]],[1]!表1[#Data],18,FALSE)*10</f>
        <v>3.8</v>
      </c>
      <c r="R186" s="3" t="s">
        <v>44</v>
      </c>
      <c r="S186" s="15" t="s">
        <v>75</v>
      </c>
    </row>
    <row r="187" spans="1:19" x14ac:dyDescent="0.15">
      <c r="A187" s="3">
        <v>10182</v>
      </c>
      <c r="B187" s="5">
        <f>VLOOKUP(表1_3[[#This Row],[名称]],[1]!表1[#Data],3,FALSE)</f>
        <v>9055</v>
      </c>
      <c r="C187" s="5">
        <f>VLOOKUP(表1_3[[#This Row],[名称]],[1]!表1[#Data],4,FALSE)</f>
        <v>9476</v>
      </c>
      <c r="D187" s="5" t="str">
        <f>"gift_"&amp;表1_3[[#This Row],[价格]]</f>
        <v>gift_1</v>
      </c>
      <c r="E187" s="5" t="str">
        <f>"gift_"&amp;表1_3[[#This Row],[价格]]</f>
        <v>gift_1</v>
      </c>
      <c r="F187" s="3" t="s">
        <v>40</v>
      </c>
      <c r="G187" s="3" t="str">
        <f>"[[""r002"","&amp;表1_3[[#This Row],[价格]]&amp;"]]"</f>
        <v>[["r002",1]]</v>
      </c>
      <c r="H187" s="12">
        <f>INT(VLOOKUP(表1_3[[#This Row],[名称]],[1]!表1[#Data],5,FALSE)/6)</f>
        <v>1</v>
      </c>
      <c r="I187" s="5" t="str">
        <f>VLOOKUP(表1_3[[#This Row],[名称]],[1]!表1[#Data],19,FALSE)</f>
        <v>[["i001",100000],["i002",100],["i400",1],["i220",5]]</v>
      </c>
      <c r="J187" s="3">
        <v>1</v>
      </c>
      <c r="K187" s="3">
        <v>1</v>
      </c>
      <c r="L187" s="3" t="str">
        <f t="shared" si="4"/>
        <v>2018/08/29&amp;00:00:00</v>
      </c>
      <c r="M187" s="13" t="str">
        <f t="shared" si="5"/>
        <v>2018/08/29&amp;23:59:59</v>
      </c>
      <c r="N187" s="3">
        <v>1</v>
      </c>
      <c r="O187" s="3">
        <v>1</v>
      </c>
      <c r="P187" s="3">
        <v>0</v>
      </c>
      <c r="Q187" s="5">
        <f>VLOOKUP(表1_3[[#This Row],[名称]],[1]!表1[#Data],18,FALSE)*10</f>
        <v>3.5999999999999996</v>
      </c>
      <c r="R187" s="3" t="s">
        <v>39</v>
      </c>
      <c r="S187" s="15" t="s">
        <v>63</v>
      </c>
    </row>
    <row r="188" spans="1:19" x14ac:dyDescent="0.15">
      <c r="A188" s="3">
        <v>10183</v>
      </c>
      <c r="B188" s="5">
        <f>VLOOKUP(表1_3[[#This Row],[名称]],[1]!表1[#Data],3,FALSE)</f>
        <v>9056</v>
      </c>
      <c r="C188" s="5">
        <f>VLOOKUP(表1_3[[#This Row],[名称]],[1]!表1[#Data],4,FALSE)</f>
        <v>9477</v>
      </c>
      <c r="D188" s="5" t="str">
        <f>"gift_"&amp;表1_3[[#This Row],[价格]]</f>
        <v>gift_2</v>
      </c>
      <c r="E188" s="5" t="str">
        <f>"gift_"&amp;表1_3[[#This Row],[价格]]</f>
        <v>gift_2</v>
      </c>
      <c r="F188" s="3" t="s">
        <v>40</v>
      </c>
      <c r="G188" s="3" t="str">
        <f>"[[""r002"","&amp;表1_3[[#This Row],[价格]]&amp;"]]"</f>
        <v>[["r002",2]]</v>
      </c>
      <c r="H188" s="12">
        <f>INT(VLOOKUP(表1_3[[#This Row],[名称]],[1]!表1[#Data],5,FALSE)/6)</f>
        <v>2</v>
      </c>
      <c r="I188" s="5" t="str">
        <f>VLOOKUP(表1_3[[#This Row],[名称]],[1]!表1[#Data],19,FALSE)</f>
        <v>[["i015",8],["i002",100],["i400",2],["i220",2]]</v>
      </c>
      <c r="J188" s="3">
        <v>1</v>
      </c>
      <c r="K188" s="3">
        <v>1</v>
      </c>
      <c r="L188" s="3" t="str">
        <f t="shared" si="4"/>
        <v>2018/08/30&amp;00:00:00</v>
      </c>
      <c r="M188" s="13" t="str">
        <f t="shared" si="5"/>
        <v>2018/08/30&amp;23:59:59</v>
      </c>
      <c r="N188" s="3">
        <v>1</v>
      </c>
      <c r="O188" s="3">
        <v>1</v>
      </c>
      <c r="P188" s="3">
        <v>0</v>
      </c>
      <c r="Q188" s="5">
        <f>VLOOKUP(表1_3[[#This Row],[名称]],[1]!表1[#Data],18,FALSE)*10</f>
        <v>3</v>
      </c>
      <c r="R188" s="11" t="s">
        <v>55</v>
      </c>
      <c r="S188" s="15" t="s">
        <v>64</v>
      </c>
    </row>
    <row r="189" spans="1:19" x14ac:dyDescent="0.15">
      <c r="A189" s="3">
        <v>10184</v>
      </c>
      <c r="B189" s="5">
        <f>VLOOKUP(表1_3[[#This Row],[名称]],[1]!表1[#Data],3,FALSE)</f>
        <v>9055</v>
      </c>
      <c r="C189" s="5">
        <f>VLOOKUP(表1_3[[#This Row],[名称]],[1]!表1[#Data],4,FALSE)</f>
        <v>9476</v>
      </c>
      <c r="D189" s="5" t="str">
        <f>"gift_"&amp;表1_3[[#This Row],[价格]]</f>
        <v>gift_1</v>
      </c>
      <c r="E189" s="5" t="str">
        <f>"gift_"&amp;表1_3[[#This Row],[价格]]</f>
        <v>gift_1</v>
      </c>
      <c r="F189" s="3" t="s">
        <v>40</v>
      </c>
      <c r="G189" s="3" t="str">
        <f>"[[""r002"","&amp;表1_3[[#This Row],[价格]]&amp;"]]"</f>
        <v>[["r002",1]]</v>
      </c>
      <c r="H189" s="12">
        <f>INT(VLOOKUP(表1_3[[#This Row],[名称]],[1]!表1[#Data],5,FALSE)/6)</f>
        <v>1</v>
      </c>
      <c r="I189" s="5" t="str">
        <f>VLOOKUP(表1_3[[#This Row],[名称]],[1]!表1[#Data],19,FALSE)</f>
        <v>[["i215",10],["i002",50],["i004",1],["i240",20]]</v>
      </c>
      <c r="J189" s="3">
        <v>1</v>
      </c>
      <c r="K189" s="3">
        <v>1</v>
      </c>
      <c r="L189" s="3" t="str">
        <f t="shared" si="4"/>
        <v>2018/08/31&amp;00:00:00</v>
      </c>
      <c r="M189" s="13" t="str">
        <f t="shared" si="5"/>
        <v>2018/08/31&amp;23:59:59</v>
      </c>
      <c r="N189" s="3">
        <v>1</v>
      </c>
      <c r="O189" s="3">
        <v>1</v>
      </c>
      <c r="P189" s="3">
        <v>0</v>
      </c>
      <c r="Q189" s="5">
        <f>VLOOKUP(表1_3[[#This Row],[名称]],[1]!表1[#Data],18,FALSE)*10</f>
        <v>2.7</v>
      </c>
      <c r="R189" s="11" t="s">
        <v>58</v>
      </c>
      <c r="S189" s="15" t="s">
        <v>65</v>
      </c>
    </row>
    <row r="190" spans="1:19" x14ac:dyDescent="0.15">
      <c r="A190" s="3">
        <v>10185</v>
      </c>
      <c r="B190" s="5">
        <f>VLOOKUP(表1_3[[#This Row],[名称]],[1]!表1[#Data],3,FALSE)</f>
        <v>9056</v>
      </c>
      <c r="C190" s="5">
        <f>VLOOKUP(表1_3[[#This Row],[名称]],[1]!表1[#Data],4,FALSE)</f>
        <v>9477</v>
      </c>
      <c r="D190" s="5" t="str">
        <f>"gift_"&amp;表1_3[[#This Row],[价格]]</f>
        <v>gift_2</v>
      </c>
      <c r="E190" s="5" t="str">
        <f>"gift_"&amp;表1_3[[#This Row],[价格]]</f>
        <v>gift_2</v>
      </c>
      <c r="F190" s="3" t="s">
        <v>40</v>
      </c>
      <c r="G190" s="3" t="str">
        <f>"[[""r002"","&amp;表1_3[[#This Row],[价格]]&amp;"]]"</f>
        <v>[["r002",2]]</v>
      </c>
      <c r="H190" s="12">
        <f>INT(VLOOKUP(表1_3[[#This Row],[名称]],[1]!表1[#Data],5,FALSE)/6)</f>
        <v>2</v>
      </c>
      <c r="I190" s="5" t="str">
        <f>VLOOKUP(表1_3[[#This Row],[名称]],[1]!表1[#Data],19,FALSE)</f>
        <v>[["i001",200000],["i002",200],["i400",2],["i220",10]]</v>
      </c>
      <c r="J190" s="3">
        <v>1</v>
      </c>
      <c r="K190" s="3">
        <v>1</v>
      </c>
      <c r="L190" s="3" t="str">
        <f t="shared" si="4"/>
        <v>2018/09/01&amp;00:00:00</v>
      </c>
      <c r="M190" s="13" t="str">
        <f t="shared" si="5"/>
        <v>2018/09/01&amp;23:59:59</v>
      </c>
      <c r="N190" s="3">
        <v>1</v>
      </c>
      <c r="O190" s="3">
        <v>1</v>
      </c>
      <c r="P190" s="3">
        <v>0</v>
      </c>
      <c r="Q190" s="5">
        <f>VLOOKUP(表1_3[[#This Row],[名称]],[1]!表1[#Data],18,FALSE)*10</f>
        <v>3.8</v>
      </c>
      <c r="R190" s="3" t="s">
        <v>41</v>
      </c>
      <c r="S190" s="15" t="s">
        <v>66</v>
      </c>
    </row>
    <row r="191" spans="1:19" x14ac:dyDescent="0.15">
      <c r="A191" s="3">
        <v>10186</v>
      </c>
      <c r="B191" s="5">
        <f>VLOOKUP(表1_3[[#This Row],[名称]],[1]!表1[#Data],3,FALSE)</f>
        <v>9072</v>
      </c>
      <c r="C191" s="5">
        <f>VLOOKUP(表1_3[[#This Row],[名称]],[1]!表1[#Data],4,FALSE)</f>
        <v>9493</v>
      </c>
      <c r="D191" s="5" t="str">
        <f>"gift_"&amp;表1_3[[#This Row],[价格]]</f>
        <v>gift_3</v>
      </c>
      <c r="E191" s="5" t="str">
        <f>"gift_"&amp;表1_3[[#This Row],[价格]]</f>
        <v>gift_3</v>
      </c>
      <c r="F191" s="3" t="s">
        <v>40</v>
      </c>
      <c r="G191" s="3" t="str">
        <f>"[[""r002"","&amp;表1_3[[#This Row],[价格]]&amp;"]]"</f>
        <v>[["r002",3]]</v>
      </c>
      <c r="H191" s="12">
        <f>INT(VLOOKUP(表1_3[[#This Row],[名称]],[1]!表1[#Data],5,FALSE)/6)</f>
        <v>3</v>
      </c>
      <c r="I191" s="5" t="str">
        <f>VLOOKUP(表1_3[[#This Row],[名称]],[1]!表1[#Data],19,FALSE)</f>
        <v>[["i016",10],["i001",50000],["i400",5],["i004",5]]</v>
      </c>
      <c r="J191" s="3">
        <v>1</v>
      </c>
      <c r="K191" s="3">
        <v>1</v>
      </c>
      <c r="L191" s="3" t="str">
        <f t="shared" si="4"/>
        <v>2018/09/02&amp;00:00:00</v>
      </c>
      <c r="M191" s="13" t="str">
        <f t="shared" si="5"/>
        <v>2018/09/02&amp;23:59:59</v>
      </c>
      <c r="N191" s="3">
        <v>1</v>
      </c>
      <c r="O191" s="3">
        <v>1</v>
      </c>
      <c r="P191" s="3">
        <v>0</v>
      </c>
      <c r="Q191" s="5">
        <f>VLOOKUP(表1_3[[#This Row],[名称]],[1]!表1[#Data],18,FALSE)*10</f>
        <v>1.5</v>
      </c>
      <c r="R191" s="11" t="s">
        <v>61</v>
      </c>
      <c r="S191" s="15" t="s">
        <v>67</v>
      </c>
    </row>
    <row r="192" spans="1:19" x14ac:dyDescent="0.15">
      <c r="A192" s="3">
        <v>10187</v>
      </c>
      <c r="B192" s="5">
        <f>VLOOKUP(表1_3[[#This Row],[名称]],[1]!表1[#Data],3,FALSE)</f>
        <v>9055</v>
      </c>
      <c r="C192" s="5">
        <f>VLOOKUP(表1_3[[#This Row],[名称]],[1]!表1[#Data],4,FALSE)</f>
        <v>9476</v>
      </c>
      <c r="D192" s="5" t="str">
        <f>"gift_"&amp;表1_3[[#This Row],[价格]]</f>
        <v>gift_1</v>
      </c>
      <c r="E192" s="5" t="str">
        <f>"gift_"&amp;表1_3[[#This Row],[价格]]</f>
        <v>gift_1</v>
      </c>
      <c r="F192" s="3" t="s">
        <v>40</v>
      </c>
      <c r="G192" s="3" t="str">
        <f>"[[""r002"","&amp;表1_3[[#This Row],[价格]]&amp;"]]"</f>
        <v>[["r002",1]]</v>
      </c>
      <c r="H192" s="12">
        <f>INT(VLOOKUP(表1_3[[#This Row],[名称]],[1]!表1[#Data],5,FALSE)/6)</f>
        <v>1</v>
      </c>
      <c r="I192" s="5" t="str">
        <f>VLOOKUP(表1_3[[#This Row],[名称]],[1]!表1[#Data],19,FALSE)</f>
        <v>[["i011",50],["i001",100000],["i004",1],["i015",1]]</v>
      </c>
      <c r="J192" s="3">
        <v>1</v>
      </c>
      <c r="K192" s="3">
        <v>1</v>
      </c>
      <c r="L192" s="3" t="str">
        <f t="shared" si="4"/>
        <v>2018/09/03&amp;00:00:00</v>
      </c>
      <c r="M192" s="13" t="str">
        <f t="shared" si="5"/>
        <v>2018/09/03&amp;23:59:59</v>
      </c>
      <c r="N192" s="3">
        <v>1</v>
      </c>
      <c r="O192" s="3">
        <v>1</v>
      </c>
      <c r="P192" s="3">
        <v>0</v>
      </c>
      <c r="Q192" s="5">
        <f>VLOOKUP(表1_3[[#This Row],[名称]],[1]!表1[#Data],18,FALSE)*10</f>
        <v>2.4</v>
      </c>
      <c r="R192" s="11" t="s">
        <v>60</v>
      </c>
      <c r="S192" s="15" t="s">
        <v>68</v>
      </c>
    </row>
    <row r="193" spans="1:19" x14ac:dyDescent="0.15">
      <c r="A193" s="3">
        <v>10188</v>
      </c>
      <c r="B193" s="5">
        <f>VLOOKUP(表1_3[[#This Row],[名称]],[1]!表1[#Data],3,FALSE)</f>
        <v>9055</v>
      </c>
      <c r="C193" s="5">
        <f>VLOOKUP(表1_3[[#This Row],[名称]],[1]!表1[#Data],4,FALSE)</f>
        <v>9476</v>
      </c>
      <c r="D193" s="5" t="str">
        <f>"gift_"&amp;表1_3[[#This Row],[价格]]</f>
        <v>gift_1</v>
      </c>
      <c r="E193" s="5" t="str">
        <f>"gift_"&amp;表1_3[[#This Row],[价格]]</f>
        <v>gift_1</v>
      </c>
      <c r="F193" s="3" t="s">
        <v>40</v>
      </c>
      <c r="G193" s="3" t="str">
        <f>"[[""r002"","&amp;表1_3[[#This Row],[价格]]&amp;"]]"</f>
        <v>[["r002",1]]</v>
      </c>
      <c r="H193" s="12">
        <f>INT(VLOOKUP(表1_3[[#This Row],[名称]],[1]!表1[#Data],5,FALSE)/6)</f>
        <v>1</v>
      </c>
      <c r="I193" s="5" t="str">
        <f>VLOOKUP(表1_3[[#This Row],[名称]],[1]!表1[#Data],19,FALSE)</f>
        <v>[["i006",25],["i001",50000],["i004",1],["i015",1]]</v>
      </c>
      <c r="J193" s="3">
        <v>1</v>
      </c>
      <c r="K193" s="3">
        <v>1</v>
      </c>
      <c r="L193" s="3" t="str">
        <f t="shared" si="4"/>
        <v>2018/09/04&amp;00:00:00</v>
      </c>
      <c r="M193" s="13" t="str">
        <f t="shared" si="5"/>
        <v>2018/09/04&amp;23:59:59</v>
      </c>
      <c r="N193" s="3">
        <v>1</v>
      </c>
      <c r="O193" s="3">
        <v>1</v>
      </c>
      <c r="P193" s="3">
        <v>0</v>
      </c>
      <c r="Q193" s="5">
        <f>VLOOKUP(表1_3[[#This Row],[名称]],[1]!表1[#Data],18,FALSE)*10</f>
        <v>1.9</v>
      </c>
      <c r="R193" s="11" t="s">
        <v>59</v>
      </c>
      <c r="S193" s="15" t="s">
        <v>69</v>
      </c>
    </row>
    <row r="194" spans="1:19" x14ac:dyDescent="0.15">
      <c r="A194" s="3">
        <v>10189</v>
      </c>
      <c r="B194" s="5">
        <f>VLOOKUP(表1_3[[#This Row],[名称]],[1]!表1[#Data],3,FALSE)</f>
        <v>9056</v>
      </c>
      <c r="C194" s="5">
        <f>VLOOKUP(表1_3[[#This Row],[名称]],[1]!表1[#Data],4,FALSE)</f>
        <v>9477</v>
      </c>
      <c r="D194" s="5" t="str">
        <f>"gift_"&amp;表1_3[[#This Row],[价格]]</f>
        <v>gift_2</v>
      </c>
      <c r="E194" s="5" t="str">
        <f>"gift_"&amp;表1_3[[#This Row],[价格]]</f>
        <v>gift_2</v>
      </c>
      <c r="F194" s="3" t="s">
        <v>40</v>
      </c>
      <c r="G194" s="3" t="str">
        <f>"[[""r002"","&amp;表1_3[[#This Row],[价格]]&amp;"]]"</f>
        <v>[["r002",2]]</v>
      </c>
      <c r="H194" s="12">
        <f>INT(VLOOKUP(表1_3[[#This Row],[名称]],[1]!表1[#Data],5,FALSE)/6)</f>
        <v>2</v>
      </c>
      <c r="I194" s="5" t="str">
        <f>VLOOKUP(表1_3[[#This Row],[名称]],[1]!表1[#Data],19,FALSE)</f>
        <v>[["i240",180],["i002",150],["i001",50000],["i220",5]]</v>
      </c>
      <c r="J194" s="3">
        <v>1</v>
      </c>
      <c r="K194" s="3">
        <v>1</v>
      </c>
      <c r="L194" s="3" t="str">
        <f t="shared" si="4"/>
        <v>2018/09/05&amp;00:00:00</v>
      </c>
      <c r="M194" s="13" t="str">
        <f t="shared" si="5"/>
        <v>2018/09/05&amp;23:59:59</v>
      </c>
      <c r="N194" s="3">
        <v>1</v>
      </c>
      <c r="O194" s="3">
        <v>1</v>
      </c>
      <c r="P194" s="3">
        <v>0</v>
      </c>
      <c r="Q194" s="5">
        <f>VLOOKUP(表1_3[[#This Row],[名称]],[1]!表1[#Data],18,FALSE)*10</f>
        <v>2.5</v>
      </c>
      <c r="R194" s="11" t="s">
        <v>56</v>
      </c>
      <c r="S194" s="15" t="s">
        <v>70</v>
      </c>
    </row>
    <row r="195" spans="1:19" x14ac:dyDescent="0.15">
      <c r="A195" s="3">
        <v>10190</v>
      </c>
      <c r="B195" s="5">
        <f>VLOOKUP(表1_3[[#This Row],[名称]],[1]!表1[#Data],3,FALSE)</f>
        <v>9072</v>
      </c>
      <c r="C195" s="5">
        <f>VLOOKUP(表1_3[[#This Row],[名称]],[1]!表1[#Data],4,FALSE)</f>
        <v>9493</v>
      </c>
      <c r="D195" s="5" t="str">
        <f>"gift_"&amp;表1_3[[#This Row],[价格]]</f>
        <v>gift_3</v>
      </c>
      <c r="E195" s="5" t="str">
        <f>"gift_"&amp;表1_3[[#This Row],[价格]]</f>
        <v>gift_3</v>
      </c>
      <c r="F195" s="3" t="s">
        <v>40</v>
      </c>
      <c r="G195" s="3" t="str">
        <f>"[[""r002"","&amp;表1_3[[#This Row],[价格]]&amp;"]]"</f>
        <v>[["r002",3]]</v>
      </c>
      <c r="H195" s="12">
        <f>INT(VLOOKUP(表1_3[[#This Row],[名称]],[1]!表1[#Data],5,FALSE)/6)</f>
        <v>3</v>
      </c>
      <c r="I195" s="5" t="str">
        <f>VLOOKUP(表1_3[[#This Row],[名称]],[1]!表1[#Data],19,FALSE)</f>
        <v>[["i001",300000],["i002",300],["i015",1],["i400",2]]</v>
      </c>
      <c r="J195" s="3">
        <v>1</v>
      </c>
      <c r="K195" s="3">
        <v>1</v>
      </c>
      <c r="L195" s="3" t="str">
        <f t="shared" si="4"/>
        <v>2018/09/06&amp;00:00:00</v>
      </c>
      <c r="M195" s="13" t="str">
        <f t="shared" si="5"/>
        <v>2018/09/06&amp;23:59:59</v>
      </c>
      <c r="N195" s="3">
        <v>1</v>
      </c>
      <c r="O195" s="3">
        <v>1</v>
      </c>
      <c r="P195" s="3">
        <v>0</v>
      </c>
      <c r="Q195" s="5">
        <f>VLOOKUP(表1_3[[#This Row],[名称]],[1]!表1[#Data],18,FALSE)*10</f>
        <v>4</v>
      </c>
      <c r="R195" s="3" t="s">
        <v>42</v>
      </c>
      <c r="S195" s="15" t="s">
        <v>71</v>
      </c>
    </row>
    <row r="196" spans="1:19" x14ac:dyDescent="0.15">
      <c r="A196" s="3">
        <v>10191</v>
      </c>
      <c r="B196" s="5">
        <f>VLOOKUP(表1_3[[#This Row],[名称]],[1]!表1[#Data],3,FALSE)</f>
        <v>9055</v>
      </c>
      <c r="C196" s="5">
        <f>VLOOKUP(表1_3[[#This Row],[名称]],[1]!表1[#Data],4,FALSE)</f>
        <v>9476</v>
      </c>
      <c r="D196" s="5" t="str">
        <f>"gift_"&amp;表1_3[[#This Row],[价格]]</f>
        <v>gift_1</v>
      </c>
      <c r="E196" s="5" t="str">
        <f>"gift_"&amp;表1_3[[#This Row],[价格]]</f>
        <v>gift_1</v>
      </c>
      <c r="F196" s="3" t="s">
        <v>40</v>
      </c>
      <c r="G196" s="3" t="str">
        <f>"[[""r002"","&amp;表1_3[[#This Row],[价格]]&amp;"]]"</f>
        <v>[["r002",1]]</v>
      </c>
      <c r="H196" s="12">
        <f>INT(VLOOKUP(表1_3[[#This Row],[名称]],[1]!表1[#Data],5,FALSE)/6)</f>
        <v>1</v>
      </c>
      <c r="I196" s="5" t="str">
        <f>VLOOKUP(表1_3[[#This Row],[名称]],[1]!表1[#Data],19,FALSE)</f>
        <v>[["i400",20],["i002",50],["i015",1],["i220",2]]</v>
      </c>
      <c r="J196" s="3">
        <v>1</v>
      </c>
      <c r="K196" s="3">
        <v>1</v>
      </c>
      <c r="L196" s="3" t="str">
        <f t="shared" si="4"/>
        <v>2018/09/07&amp;00:00:00</v>
      </c>
      <c r="M196" s="13" t="str">
        <f t="shared" si="5"/>
        <v>2018/09/07&amp;23:59:59</v>
      </c>
      <c r="N196" s="3">
        <v>1</v>
      </c>
      <c r="O196" s="3">
        <v>1</v>
      </c>
      <c r="P196" s="3">
        <v>0</v>
      </c>
      <c r="Q196" s="5">
        <f>VLOOKUP(表1_3[[#This Row],[名称]],[1]!表1[#Data],18,FALSE)*10</f>
        <v>1.9</v>
      </c>
      <c r="R196" s="11" t="s">
        <v>57</v>
      </c>
      <c r="S196" s="15" t="s">
        <v>72</v>
      </c>
    </row>
    <row r="197" spans="1:19" x14ac:dyDescent="0.15">
      <c r="A197" s="3">
        <v>10192</v>
      </c>
      <c r="B197" s="5">
        <f>VLOOKUP(表1_3[[#This Row],[名称]],[1]!表1[#Data],3,FALSE)</f>
        <v>9067</v>
      </c>
      <c r="C197" s="5">
        <f>VLOOKUP(表1_3[[#This Row],[名称]],[1]!表1[#Data],4,FALSE)</f>
        <v>9488</v>
      </c>
      <c r="D197" s="5" t="str">
        <f>"gift_"&amp;表1_3[[#This Row],[价格]]</f>
        <v>gift_5</v>
      </c>
      <c r="E197" s="5" t="str">
        <f>"gift_"&amp;表1_3[[#This Row],[价格]]</f>
        <v>gift_5</v>
      </c>
      <c r="F197" s="3" t="s">
        <v>40</v>
      </c>
      <c r="G197" s="3" t="str">
        <f>"[[""r002"","&amp;表1_3[[#This Row],[价格]]&amp;"]]"</f>
        <v>[["r002",5]]</v>
      </c>
      <c r="H197" s="12">
        <f>INT(VLOOKUP(表1_3[[#This Row],[名称]],[1]!表1[#Data],5,FALSE)/6)</f>
        <v>5</v>
      </c>
      <c r="I197" s="5" t="str">
        <f>VLOOKUP(表1_3[[#This Row],[名称]],[1]!表1[#Data],19,FALSE)</f>
        <v>[["i001",400000],["i002",400],["i015",1],["i006",5]]</v>
      </c>
      <c r="J197" s="3">
        <v>1</v>
      </c>
      <c r="K197" s="3">
        <v>1</v>
      </c>
      <c r="L197" s="3" t="str">
        <f t="shared" ref="L197:L228" si="6">YEAR(43159+ROW()-5)&amp;"/"&amp;IF(MONTH(43159+ROW()-5)&lt;10,"0","")&amp;MONTH(43159+ROW()-5)&amp;"/"&amp;IF(DAY(43159+ROW()-5)&lt;10,"0","")&amp;DAY(43159+ROW()-5)&amp;"&amp;00:00:00"</f>
        <v>2018/09/08&amp;00:00:00</v>
      </c>
      <c r="M197" s="13" t="str">
        <f t="shared" ref="M197:M228" si="7">YEAR(43159+ROW()-5)&amp;"/"&amp;IF(MONTH(43159+ROW()-5)&lt;10,"0","")&amp;MONTH(43159+ROW()-5)&amp;"/"&amp;IF(DAY(43159+ROW()-5)&lt;10,"0","")&amp;DAY(43159+ROW()-5)&amp;"&amp;23:59:59"</f>
        <v>2018/09/08&amp;23:59:59</v>
      </c>
      <c r="N197" s="3">
        <v>1</v>
      </c>
      <c r="O197" s="3">
        <v>1</v>
      </c>
      <c r="P197" s="3">
        <v>0</v>
      </c>
      <c r="Q197" s="5">
        <f>VLOOKUP(表1_3[[#This Row],[名称]],[1]!表1[#Data],18,FALSE)*10</f>
        <v>3.8</v>
      </c>
      <c r="R197" s="3" t="s">
        <v>43</v>
      </c>
      <c r="S197" s="15" t="s">
        <v>73</v>
      </c>
    </row>
    <row r="198" spans="1:19" x14ac:dyDescent="0.15">
      <c r="A198" s="3">
        <v>10193</v>
      </c>
      <c r="B198" s="5">
        <f>VLOOKUP(表1_3[[#This Row],[名称]],[1]!表1[#Data],3,FALSE)</f>
        <v>9075</v>
      </c>
      <c r="C198" s="5">
        <f>VLOOKUP(表1_3[[#This Row],[名称]],[1]!表1[#Data],4,FALSE)</f>
        <v>9496</v>
      </c>
      <c r="D198" s="5" t="str">
        <f>"gift_"&amp;表1_3[[#This Row],[价格]]</f>
        <v>gift_7</v>
      </c>
      <c r="E198" s="5" t="str">
        <f>"gift_"&amp;表1_3[[#This Row],[价格]]</f>
        <v>gift_7</v>
      </c>
      <c r="F198" s="3" t="s">
        <v>40</v>
      </c>
      <c r="G198" s="3" t="str">
        <f>"[[""r002"","&amp;表1_3[[#This Row],[价格]]&amp;"]]"</f>
        <v>[["r002",7]]</v>
      </c>
      <c r="H198" s="12">
        <f>INT(VLOOKUP(表1_3[[#This Row],[名称]],[1]!表1[#Data],5,FALSE)/6)</f>
        <v>7</v>
      </c>
      <c r="I198" s="5" t="str">
        <f>VLOOKUP(表1_3[[#This Row],[名称]],[1]!表1[#Data],19,FALSE)</f>
        <v>[["i017",8],["i002",100],["i004",10],["i006",10]]</v>
      </c>
      <c r="J198" s="3">
        <v>1</v>
      </c>
      <c r="K198" s="3">
        <v>1</v>
      </c>
      <c r="L198" s="3" t="str">
        <f t="shared" si="6"/>
        <v>2018/09/09&amp;00:00:00</v>
      </c>
      <c r="M198" s="13" t="str">
        <f t="shared" si="7"/>
        <v>2018/09/09&amp;23:59:59</v>
      </c>
      <c r="N198" s="3">
        <v>1</v>
      </c>
      <c r="O198" s="3">
        <v>1</v>
      </c>
      <c r="P198" s="3">
        <v>0</v>
      </c>
      <c r="Q198" s="5">
        <f>VLOOKUP(表1_3[[#This Row],[名称]],[1]!表1[#Data],18,FALSE)*10</f>
        <v>1</v>
      </c>
      <c r="R198" s="11" t="s">
        <v>62</v>
      </c>
      <c r="S198" s="15" t="s">
        <v>74</v>
      </c>
    </row>
    <row r="199" spans="1:19" x14ac:dyDescent="0.15">
      <c r="A199" s="3">
        <v>10194</v>
      </c>
      <c r="B199" s="5">
        <f>VLOOKUP(表1_3[[#This Row],[名称]],[1]!表1[#Data],3,FALSE)</f>
        <v>9055</v>
      </c>
      <c r="C199" s="5">
        <f>VLOOKUP(表1_3[[#This Row],[名称]],[1]!表1[#Data],4,FALSE)</f>
        <v>9476</v>
      </c>
      <c r="D199" s="5" t="str">
        <f>"gift_"&amp;表1_3[[#This Row],[价格]]</f>
        <v>gift_1</v>
      </c>
      <c r="E199" s="5" t="str">
        <f>"gift_"&amp;表1_3[[#This Row],[价格]]</f>
        <v>gift_1</v>
      </c>
      <c r="F199" s="3" t="s">
        <v>40</v>
      </c>
      <c r="G199" s="3" t="str">
        <f>"[[""r002"","&amp;表1_3[[#This Row],[价格]]&amp;"]]"</f>
        <v>[["r002",1]]</v>
      </c>
      <c r="H199" s="12">
        <f>INT(VLOOKUP(表1_3[[#This Row],[名称]],[1]!表1[#Data],5,FALSE)/6)</f>
        <v>1</v>
      </c>
      <c r="I199" s="5" t="str">
        <f>VLOOKUP(表1_3[[#This Row],[名称]],[1]!表1[#Data],19,FALSE)</f>
        <v>[["i215",10],["i002",50],["i004",1],["i240",20]]</v>
      </c>
      <c r="J199" s="3">
        <v>1</v>
      </c>
      <c r="K199" s="3">
        <v>1</v>
      </c>
      <c r="L199" s="3" t="str">
        <f t="shared" si="6"/>
        <v>2018/09/10&amp;00:00:00</v>
      </c>
      <c r="M199" s="13" t="str">
        <f t="shared" si="7"/>
        <v>2018/09/10&amp;23:59:59</v>
      </c>
      <c r="N199" s="3">
        <v>1</v>
      </c>
      <c r="O199" s="3">
        <v>1</v>
      </c>
      <c r="P199" s="3">
        <v>0</v>
      </c>
      <c r="Q199" s="5">
        <f>VLOOKUP(表1_3[[#This Row],[名称]],[1]!表1[#Data],18,FALSE)*10</f>
        <v>2.7</v>
      </c>
      <c r="R199" s="11" t="s">
        <v>58</v>
      </c>
      <c r="S199" s="15" t="s">
        <v>65</v>
      </c>
    </row>
    <row r="200" spans="1:19" x14ac:dyDescent="0.15">
      <c r="A200" s="3">
        <v>10195</v>
      </c>
      <c r="B200" s="5">
        <f>VLOOKUP(表1_3[[#This Row],[名称]],[1]!表1[#Data],3,FALSE)</f>
        <v>9055</v>
      </c>
      <c r="C200" s="5">
        <f>VLOOKUP(表1_3[[#This Row],[名称]],[1]!表1[#Data],4,FALSE)</f>
        <v>9476</v>
      </c>
      <c r="D200" s="5" t="str">
        <f>"gift_"&amp;表1_3[[#This Row],[价格]]</f>
        <v>gift_1</v>
      </c>
      <c r="E200" s="5" t="str">
        <f>"gift_"&amp;表1_3[[#This Row],[价格]]</f>
        <v>gift_1</v>
      </c>
      <c r="F200" s="3" t="s">
        <v>40</v>
      </c>
      <c r="G200" s="3" t="str">
        <f>"[[""r002"","&amp;表1_3[[#This Row],[价格]]&amp;"]]"</f>
        <v>[["r002",1]]</v>
      </c>
      <c r="H200" s="12">
        <f>INT(VLOOKUP(表1_3[[#This Row],[名称]],[1]!表1[#Data],5,FALSE)/6)</f>
        <v>1</v>
      </c>
      <c r="I200" s="5" t="str">
        <f>VLOOKUP(表1_3[[#This Row],[名称]],[1]!表1[#Data],19,FALSE)</f>
        <v>[["i006",25],["i001",50000],["i004",1],["i015",1]]</v>
      </c>
      <c r="J200" s="3">
        <v>1</v>
      </c>
      <c r="K200" s="3">
        <v>1</v>
      </c>
      <c r="L200" s="3" t="str">
        <f t="shared" si="6"/>
        <v>2018/09/11&amp;00:00:00</v>
      </c>
      <c r="M200" s="13" t="str">
        <f t="shared" si="7"/>
        <v>2018/09/11&amp;23:59:59</v>
      </c>
      <c r="N200" s="3">
        <v>1</v>
      </c>
      <c r="O200" s="3">
        <v>1</v>
      </c>
      <c r="P200" s="3">
        <v>0</v>
      </c>
      <c r="Q200" s="5">
        <f>VLOOKUP(表1_3[[#This Row],[名称]],[1]!表1[#Data],18,FALSE)*10</f>
        <v>1.9</v>
      </c>
      <c r="R200" s="11" t="s">
        <v>59</v>
      </c>
      <c r="S200" s="15" t="s">
        <v>69</v>
      </c>
    </row>
    <row r="201" spans="1:19" x14ac:dyDescent="0.15">
      <c r="A201" s="3">
        <v>10196</v>
      </c>
      <c r="B201" s="5">
        <f>VLOOKUP(表1_3[[#This Row],[名称]],[1]!表1[#Data],3,FALSE)</f>
        <v>9055</v>
      </c>
      <c r="C201" s="5">
        <f>VLOOKUP(表1_3[[#This Row],[名称]],[1]!表1[#Data],4,FALSE)</f>
        <v>9476</v>
      </c>
      <c r="D201" s="5" t="str">
        <f>"gift_"&amp;表1_3[[#This Row],[价格]]</f>
        <v>gift_1</v>
      </c>
      <c r="E201" s="5" t="str">
        <f>"gift_"&amp;表1_3[[#This Row],[价格]]</f>
        <v>gift_1</v>
      </c>
      <c r="F201" s="3" t="s">
        <v>40</v>
      </c>
      <c r="G201" s="3" t="str">
        <f>"[[""r002"","&amp;表1_3[[#This Row],[价格]]&amp;"]]"</f>
        <v>[["r002",1]]</v>
      </c>
      <c r="H201" s="12">
        <f>INT(VLOOKUP(表1_3[[#This Row],[名称]],[1]!表1[#Data],5,FALSE)/6)</f>
        <v>1</v>
      </c>
      <c r="I201" s="5" t="str">
        <f>VLOOKUP(表1_3[[#This Row],[名称]],[1]!表1[#Data],19,FALSE)</f>
        <v>[["i006",25],["i001",50000],["i004",1],["i015",1]]</v>
      </c>
      <c r="J201" s="3">
        <v>1</v>
      </c>
      <c r="K201" s="3">
        <v>1</v>
      </c>
      <c r="L201" s="3" t="str">
        <f t="shared" si="6"/>
        <v>2018/09/12&amp;00:00:00</v>
      </c>
      <c r="M201" s="13" t="str">
        <f t="shared" si="7"/>
        <v>2018/09/12&amp;23:59:59</v>
      </c>
      <c r="N201" s="3">
        <v>1</v>
      </c>
      <c r="O201" s="3">
        <v>1</v>
      </c>
      <c r="P201" s="3">
        <v>0</v>
      </c>
      <c r="Q201" s="5">
        <f>VLOOKUP(表1_3[[#This Row],[名称]],[1]!表1[#Data],18,FALSE)*10</f>
        <v>1.9</v>
      </c>
      <c r="R201" s="11" t="s">
        <v>59</v>
      </c>
      <c r="S201" s="15" t="s">
        <v>69</v>
      </c>
    </row>
    <row r="202" spans="1:19" x14ac:dyDescent="0.15">
      <c r="A202" s="3">
        <v>10197</v>
      </c>
      <c r="B202" s="5">
        <f>VLOOKUP(表1_3[[#This Row],[名称]],[1]!表1[#Data],3,FALSE)</f>
        <v>9055</v>
      </c>
      <c r="C202" s="5">
        <f>VLOOKUP(表1_3[[#This Row],[名称]],[1]!表1[#Data],4,FALSE)</f>
        <v>9476</v>
      </c>
      <c r="D202" s="5" t="str">
        <f>"gift_"&amp;表1_3[[#This Row],[价格]]</f>
        <v>gift_1</v>
      </c>
      <c r="E202" s="5" t="str">
        <f>"gift_"&amp;表1_3[[#This Row],[价格]]</f>
        <v>gift_1</v>
      </c>
      <c r="F202" s="3" t="s">
        <v>40</v>
      </c>
      <c r="G202" s="3" t="str">
        <f>"[[""r002"","&amp;表1_3[[#This Row],[价格]]&amp;"]]"</f>
        <v>[["r002",1]]</v>
      </c>
      <c r="H202" s="12">
        <f>INT(VLOOKUP(表1_3[[#This Row],[名称]],[1]!表1[#Data],5,FALSE)/6)</f>
        <v>1</v>
      </c>
      <c r="I202" s="5" t="str">
        <f>VLOOKUP(表1_3[[#This Row],[名称]],[1]!表1[#Data],19,FALSE)</f>
        <v>[["i215",10],["i002",50],["i004",1],["i240",20]]</v>
      </c>
      <c r="J202" s="3">
        <v>1</v>
      </c>
      <c r="K202" s="3">
        <v>1</v>
      </c>
      <c r="L202" s="3" t="str">
        <f t="shared" si="6"/>
        <v>2018/09/13&amp;00:00:00</v>
      </c>
      <c r="M202" s="13" t="str">
        <f t="shared" si="7"/>
        <v>2018/09/13&amp;23:59:59</v>
      </c>
      <c r="N202" s="3">
        <v>1</v>
      </c>
      <c r="O202" s="3">
        <v>1</v>
      </c>
      <c r="P202" s="3">
        <v>0</v>
      </c>
      <c r="Q202" s="5">
        <f>VLOOKUP(表1_3[[#This Row],[名称]],[1]!表1[#Data],18,FALSE)*10</f>
        <v>2.7</v>
      </c>
      <c r="R202" s="11" t="s">
        <v>58</v>
      </c>
      <c r="S202" s="15" t="s">
        <v>65</v>
      </c>
    </row>
    <row r="203" spans="1:19" x14ac:dyDescent="0.15">
      <c r="A203" s="3">
        <v>10198</v>
      </c>
      <c r="B203" s="5">
        <f>VLOOKUP(表1_3[[#This Row],[名称]],[1]!表1[#Data],3,FALSE)</f>
        <v>9075</v>
      </c>
      <c r="C203" s="5">
        <f>VLOOKUP(表1_3[[#This Row],[名称]],[1]!表1[#Data],4,FALSE)</f>
        <v>9496</v>
      </c>
      <c r="D203" s="5" t="str">
        <f>"gift_"&amp;表1_3[[#This Row],[价格]]</f>
        <v>gift_7</v>
      </c>
      <c r="E203" s="5" t="str">
        <f>"gift_"&amp;表1_3[[#This Row],[价格]]</f>
        <v>gift_7</v>
      </c>
      <c r="F203" s="3" t="s">
        <v>40</v>
      </c>
      <c r="G203" s="3" t="str">
        <f>"[[""r002"","&amp;表1_3[[#This Row],[价格]]&amp;"]]"</f>
        <v>[["r002",7]]</v>
      </c>
      <c r="H203" s="12">
        <f>INT(VLOOKUP(表1_3[[#This Row],[名称]],[1]!表1[#Data],5,FALSE)/6)</f>
        <v>7</v>
      </c>
      <c r="I203" s="5" t="str">
        <f>VLOOKUP(表1_3[[#This Row],[名称]],[1]!表1[#Data],19,FALSE)</f>
        <v>[["i017",8],["i002",100],["i004",10],["i006",10]]</v>
      </c>
      <c r="J203" s="3">
        <v>1</v>
      </c>
      <c r="K203" s="3">
        <v>1</v>
      </c>
      <c r="L203" s="3" t="str">
        <f t="shared" si="6"/>
        <v>2018/09/14&amp;00:00:00</v>
      </c>
      <c r="M203" s="13" t="str">
        <f t="shared" si="7"/>
        <v>2018/09/14&amp;23:59:59</v>
      </c>
      <c r="N203" s="3">
        <v>1</v>
      </c>
      <c r="O203" s="3">
        <v>1</v>
      </c>
      <c r="P203" s="3">
        <v>0</v>
      </c>
      <c r="Q203" s="5">
        <f>VLOOKUP(表1_3[[#This Row],[名称]],[1]!表1[#Data],18,FALSE)*10</f>
        <v>1</v>
      </c>
      <c r="R203" s="11" t="s">
        <v>62</v>
      </c>
      <c r="S203" s="15" t="s">
        <v>74</v>
      </c>
    </row>
    <row r="204" spans="1:19" x14ac:dyDescent="0.15">
      <c r="A204" s="3">
        <v>10199</v>
      </c>
      <c r="B204" s="5">
        <f>VLOOKUP(表1_3[[#This Row],[名称]],[1]!表1[#Data],3,FALSE)</f>
        <v>9067</v>
      </c>
      <c r="C204" s="5">
        <f>VLOOKUP(表1_3[[#This Row],[名称]],[1]!表1[#Data],4,FALSE)</f>
        <v>9488</v>
      </c>
      <c r="D204" s="5" t="str">
        <f>"gift_"&amp;表1_3[[#This Row],[价格]]</f>
        <v>gift_5</v>
      </c>
      <c r="E204" s="5" t="str">
        <f>"gift_"&amp;表1_3[[#This Row],[价格]]</f>
        <v>gift_5</v>
      </c>
      <c r="F204" s="3" t="s">
        <v>40</v>
      </c>
      <c r="G204" s="3" t="str">
        <f>"[[""r002"","&amp;表1_3[[#This Row],[价格]]&amp;"]]"</f>
        <v>[["r002",5]]</v>
      </c>
      <c r="H204" s="12">
        <f>INT(VLOOKUP(表1_3[[#This Row],[名称]],[1]!表1[#Data],5,FALSE)/6)</f>
        <v>5</v>
      </c>
      <c r="I204" s="5" t="str">
        <f>VLOOKUP(表1_3[[#This Row],[名称]],[1]!表1[#Data],19,FALSE)</f>
        <v>[["i001",400000],["i002",400],["i015",1],["i006",5]]</v>
      </c>
      <c r="J204" s="3">
        <v>1</v>
      </c>
      <c r="K204" s="3">
        <v>1</v>
      </c>
      <c r="L204" s="3" t="str">
        <f t="shared" si="6"/>
        <v>2018/09/15&amp;00:00:00</v>
      </c>
      <c r="M204" s="13" t="str">
        <f t="shared" si="7"/>
        <v>2018/09/15&amp;23:59:59</v>
      </c>
      <c r="N204" s="3">
        <v>1</v>
      </c>
      <c r="O204" s="3">
        <v>1</v>
      </c>
      <c r="P204" s="3">
        <v>0</v>
      </c>
      <c r="Q204" s="5">
        <f>VLOOKUP(表1_3[[#This Row],[名称]],[1]!表1[#Data],18,FALSE)*10</f>
        <v>3.8</v>
      </c>
      <c r="R204" s="3" t="s">
        <v>43</v>
      </c>
      <c r="S204" s="15" t="s">
        <v>73</v>
      </c>
    </row>
    <row r="205" spans="1:19" x14ac:dyDescent="0.15">
      <c r="A205" s="3">
        <v>10200</v>
      </c>
      <c r="B205" s="5">
        <f>VLOOKUP(表1_3[[#This Row],[名称]],[1]!表1[#Data],3,FALSE)</f>
        <v>9055</v>
      </c>
      <c r="C205" s="5">
        <f>VLOOKUP(表1_3[[#This Row],[名称]],[1]!表1[#Data],4,FALSE)</f>
        <v>9476</v>
      </c>
      <c r="D205" s="5" t="str">
        <f>"gift_"&amp;表1_3[[#This Row],[价格]]</f>
        <v>gift_1</v>
      </c>
      <c r="E205" s="5" t="str">
        <f>"gift_"&amp;表1_3[[#This Row],[价格]]</f>
        <v>gift_1</v>
      </c>
      <c r="F205" s="3" t="s">
        <v>40</v>
      </c>
      <c r="G205" s="3" t="str">
        <f>"[[""r002"","&amp;表1_3[[#This Row],[价格]]&amp;"]]"</f>
        <v>[["r002",1]]</v>
      </c>
      <c r="H205" s="12">
        <f>INT(VLOOKUP(表1_3[[#This Row],[名称]],[1]!表1[#Data],5,FALSE)/6)</f>
        <v>1</v>
      </c>
      <c r="I205" s="5" t="str">
        <f>VLOOKUP(表1_3[[#This Row],[名称]],[1]!表1[#Data],19,FALSE)</f>
        <v>[["i400",20],["i002",50],["i015",1],["i220",2]]</v>
      </c>
      <c r="J205" s="3">
        <v>1</v>
      </c>
      <c r="K205" s="3">
        <v>1</v>
      </c>
      <c r="L205" s="3" t="str">
        <f t="shared" si="6"/>
        <v>2018/09/16&amp;00:00:00</v>
      </c>
      <c r="M205" s="13" t="str">
        <f t="shared" si="7"/>
        <v>2018/09/16&amp;23:59:59</v>
      </c>
      <c r="N205" s="3">
        <v>1</v>
      </c>
      <c r="O205" s="3">
        <v>1</v>
      </c>
      <c r="P205" s="3">
        <v>0</v>
      </c>
      <c r="Q205" s="5">
        <f>VLOOKUP(表1_3[[#This Row],[名称]],[1]!表1[#Data],18,FALSE)*10</f>
        <v>1.9</v>
      </c>
      <c r="R205" s="11" t="s">
        <v>57</v>
      </c>
      <c r="S205" s="15" t="s">
        <v>72</v>
      </c>
    </row>
    <row r="206" spans="1:19" x14ac:dyDescent="0.15">
      <c r="A206" s="3">
        <v>10201</v>
      </c>
      <c r="B206" s="5">
        <f>VLOOKUP(表1_3[[#This Row],[名称]],[1]!表1[#Data],3,FALSE)</f>
        <v>9072</v>
      </c>
      <c r="C206" s="5">
        <f>VLOOKUP(表1_3[[#This Row],[名称]],[1]!表1[#Data],4,FALSE)</f>
        <v>9493</v>
      </c>
      <c r="D206" s="5" t="str">
        <f>"gift_"&amp;表1_3[[#This Row],[价格]]</f>
        <v>gift_3</v>
      </c>
      <c r="E206" s="5" t="str">
        <f>"gift_"&amp;表1_3[[#This Row],[价格]]</f>
        <v>gift_3</v>
      </c>
      <c r="F206" s="3" t="s">
        <v>40</v>
      </c>
      <c r="G206" s="3" t="str">
        <f>"[[""r002"","&amp;表1_3[[#This Row],[价格]]&amp;"]]"</f>
        <v>[["r002",3]]</v>
      </c>
      <c r="H206" s="12">
        <f>INT(VLOOKUP(表1_3[[#This Row],[名称]],[1]!表1[#Data],5,FALSE)/6)</f>
        <v>3</v>
      </c>
      <c r="I206" s="5" t="str">
        <f>VLOOKUP(表1_3[[#This Row],[名称]],[1]!表1[#Data],19,FALSE)</f>
        <v>[["i001",300000],["i002",300],["i015",1],["i400",2]]</v>
      </c>
      <c r="J206" s="3">
        <v>1</v>
      </c>
      <c r="K206" s="3">
        <v>1</v>
      </c>
      <c r="L206" s="3" t="str">
        <f t="shared" si="6"/>
        <v>2018/09/17&amp;00:00:00</v>
      </c>
      <c r="M206" s="13" t="str">
        <f t="shared" si="7"/>
        <v>2018/09/17&amp;23:59:59</v>
      </c>
      <c r="N206" s="3">
        <v>1</v>
      </c>
      <c r="O206" s="3">
        <v>1</v>
      </c>
      <c r="P206" s="3">
        <v>0</v>
      </c>
      <c r="Q206" s="5">
        <f>VLOOKUP(表1_3[[#This Row],[名称]],[1]!表1[#Data],18,FALSE)*10</f>
        <v>4</v>
      </c>
      <c r="R206" s="3" t="s">
        <v>42</v>
      </c>
      <c r="S206" s="15" t="s">
        <v>71</v>
      </c>
    </row>
    <row r="207" spans="1:19" x14ac:dyDescent="0.15">
      <c r="A207" s="3">
        <v>10202</v>
      </c>
      <c r="B207" s="5">
        <f>VLOOKUP(表1_3[[#This Row],[名称]],[1]!表1[#Data],3,FALSE)</f>
        <v>9056</v>
      </c>
      <c r="C207" s="5">
        <f>VLOOKUP(表1_3[[#This Row],[名称]],[1]!表1[#Data],4,FALSE)</f>
        <v>9477</v>
      </c>
      <c r="D207" s="5" t="str">
        <f>"gift_"&amp;表1_3[[#This Row],[价格]]</f>
        <v>gift_2</v>
      </c>
      <c r="E207" s="5" t="str">
        <f>"gift_"&amp;表1_3[[#This Row],[价格]]</f>
        <v>gift_2</v>
      </c>
      <c r="F207" s="3" t="s">
        <v>40</v>
      </c>
      <c r="G207" s="3" t="str">
        <f>"[[""r002"","&amp;表1_3[[#This Row],[价格]]&amp;"]]"</f>
        <v>[["r002",2]]</v>
      </c>
      <c r="H207" s="12">
        <f>INT(VLOOKUP(表1_3[[#This Row],[名称]],[1]!表1[#Data],5,FALSE)/6)</f>
        <v>2</v>
      </c>
      <c r="I207" s="5" t="str">
        <f>VLOOKUP(表1_3[[#This Row],[名称]],[1]!表1[#Data],19,FALSE)</f>
        <v>[["i240",180],["i002",150],["i001",50000],["i220",5]]</v>
      </c>
      <c r="J207" s="3">
        <v>1</v>
      </c>
      <c r="K207" s="3">
        <v>1</v>
      </c>
      <c r="L207" s="3" t="str">
        <f t="shared" si="6"/>
        <v>2018/09/18&amp;00:00:00</v>
      </c>
      <c r="M207" s="13" t="str">
        <f t="shared" si="7"/>
        <v>2018/09/18&amp;23:59:59</v>
      </c>
      <c r="N207" s="3">
        <v>1</v>
      </c>
      <c r="O207" s="3">
        <v>1</v>
      </c>
      <c r="P207" s="3">
        <v>0</v>
      </c>
      <c r="Q207" s="5">
        <f>VLOOKUP(表1_3[[#This Row],[名称]],[1]!表1[#Data],18,FALSE)*10</f>
        <v>2.5</v>
      </c>
      <c r="R207" s="11" t="s">
        <v>56</v>
      </c>
      <c r="S207" s="15" t="s">
        <v>70</v>
      </c>
    </row>
    <row r="208" spans="1:19" x14ac:dyDescent="0.15">
      <c r="A208" s="3">
        <v>10203</v>
      </c>
      <c r="B208" s="5">
        <f>VLOOKUP(表1_3[[#This Row],[名称]],[1]!表1[#Data],3,FALSE)</f>
        <v>9055</v>
      </c>
      <c r="C208" s="5">
        <f>VLOOKUP(表1_3[[#This Row],[名称]],[1]!表1[#Data],4,FALSE)</f>
        <v>9476</v>
      </c>
      <c r="D208" s="5" t="str">
        <f>"gift_"&amp;表1_3[[#This Row],[价格]]</f>
        <v>gift_1</v>
      </c>
      <c r="E208" s="5" t="str">
        <f>"gift_"&amp;表1_3[[#This Row],[价格]]</f>
        <v>gift_1</v>
      </c>
      <c r="F208" s="3" t="s">
        <v>40</v>
      </c>
      <c r="G208" s="3" t="str">
        <f>"[[""r002"","&amp;表1_3[[#This Row],[价格]]&amp;"]]"</f>
        <v>[["r002",1]]</v>
      </c>
      <c r="H208" s="12">
        <f>INT(VLOOKUP(表1_3[[#This Row],[名称]],[1]!表1[#Data],5,FALSE)/6)</f>
        <v>1</v>
      </c>
      <c r="I208" s="5" t="str">
        <f>VLOOKUP(表1_3[[#This Row],[名称]],[1]!表1[#Data],19,FALSE)</f>
        <v>[["i006",25],["i001",50000],["i004",1],["i015",1]]</v>
      </c>
      <c r="J208" s="3">
        <v>1</v>
      </c>
      <c r="K208" s="3">
        <v>1</v>
      </c>
      <c r="L208" s="3" t="str">
        <f t="shared" si="6"/>
        <v>2018/09/19&amp;00:00:00</v>
      </c>
      <c r="M208" s="13" t="str">
        <f t="shared" si="7"/>
        <v>2018/09/19&amp;23:59:59</v>
      </c>
      <c r="N208" s="3">
        <v>1</v>
      </c>
      <c r="O208" s="3">
        <v>1</v>
      </c>
      <c r="P208" s="3">
        <v>0</v>
      </c>
      <c r="Q208" s="5">
        <f>VLOOKUP(表1_3[[#This Row],[名称]],[1]!表1[#Data],18,FALSE)*10</f>
        <v>1.9</v>
      </c>
      <c r="R208" s="11" t="s">
        <v>59</v>
      </c>
      <c r="S208" s="15" t="s">
        <v>69</v>
      </c>
    </row>
    <row r="209" spans="1:19" x14ac:dyDescent="0.15">
      <c r="A209" s="3">
        <v>10204</v>
      </c>
      <c r="B209" s="5">
        <f>VLOOKUP(表1_3[[#This Row],[名称]],[1]!表1[#Data],3,FALSE)</f>
        <v>9055</v>
      </c>
      <c r="C209" s="5">
        <f>VLOOKUP(表1_3[[#This Row],[名称]],[1]!表1[#Data],4,FALSE)</f>
        <v>9476</v>
      </c>
      <c r="D209" s="5" t="str">
        <f>"gift_"&amp;表1_3[[#This Row],[价格]]</f>
        <v>gift_1</v>
      </c>
      <c r="E209" s="5" t="str">
        <f>"gift_"&amp;表1_3[[#This Row],[价格]]</f>
        <v>gift_1</v>
      </c>
      <c r="F209" s="3" t="s">
        <v>40</v>
      </c>
      <c r="G209" s="3" t="str">
        <f>"[[""r002"","&amp;表1_3[[#This Row],[价格]]&amp;"]]"</f>
        <v>[["r002",1]]</v>
      </c>
      <c r="H209" s="12">
        <f>INT(VLOOKUP(表1_3[[#This Row],[名称]],[1]!表1[#Data],5,FALSE)/6)</f>
        <v>1</v>
      </c>
      <c r="I209" s="5" t="str">
        <f>VLOOKUP(表1_3[[#This Row],[名称]],[1]!表1[#Data],19,FALSE)</f>
        <v>[["i011",50],["i001",100000],["i004",1],["i015",1]]</v>
      </c>
      <c r="J209" s="3">
        <v>1</v>
      </c>
      <c r="K209" s="3">
        <v>1</v>
      </c>
      <c r="L209" s="3" t="str">
        <f t="shared" si="6"/>
        <v>2018/09/20&amp;00:00:00</v>
      </c>
      <c r="M209" s="13" t="str">
        <f t="shared" si="7"/>
        <v>2018/09/20&amp;23:59:59</v>
      </c>
      <c r="N209" s="3">
        <v>1</v>
      </c>
      <c r="O209" s="3">
        <v>1</v>
      </c>
      <c r="P209" s="3">
        <v>0</v>
      </c>
      <c r="Q209" s="5">
        <f>VLOOKUP(表1_3[[#This Row],[名称]],[1]!表1[#Data],18,FALSE)*10</f>
        <v>2.4</v>
      </c>
      <c r="R209" s="11" t="s">
        <v>60</v>
      </c>
      <c r="S209" s="15" t="s">
        <v>68</v>
      </c>
    </row>
    <row r="210" spans="1:19" x14ac:dyDescent="0.15">
      <c r="A210" s="3">
        <v>10205</v>
      </c>
      <c r="B210" s="5">
        <f>VLOOKUP(表1_3[[#This Row],[名称]],[1]!表1[#Data],3,FALSE)</f>
        <v>9072</v>
      </c>
      <c r="C210" s="5">
        <f>VLOOKUP(表1_3[[#This Row],[名称]],[1]!表1[#Data],4,FALSE)</f>
        <v>9493</v>
      </c>
      <c r="D210" s="5" t="str">
        <f>"gift_"&amp;表1_3[[#This Row],[价格]]</f>
        <v>gift_3</v>
      </c>
      <c r="E210" s="5" t="str">
        <f>"gift_"&amp;表1_3[[#This Row],[价格]]</f>
        <v>gift_3</v>
      </c>
      <c r="F210" s="3" t="s">
        <v>40</v>
      </c>
      <c r="G210" s="3" t="str">
        <f>"[[""r002"","&amp;表1_3[[#This Row],[价格]]&amp;"]]"</f>
        <v>[["r002",3]]</v>
      </c>
      <c r="H210" s="12">
        <f>INT(VLOOKUP(表1_3[[#This Row],[名称]],[1]!表1[#Data],5,FALSE)/6)</f>
        <v>3</v>
      </c>
      <c r="I210" s="5" t="str">
        <f>VLOOKUP(表1_3[[#This Row],[名称]],[1]!表1[#Data],19,FALSE)</f>
        <v>[["i016",10],["i001",50000],["i400",5],["i004",5]]</v>
      </c>
      <c r="J210" s="3">
        <v>1</v>
      </c>
      <c r="K210" s="3">
        <v>1</v>
      </c>
      <c r="L210" s="3" t="str">
        <f t="shared" si="6"/>
        <v>2018/09/21&amp;00:00:00</v>
      </c>
      <c r="M210" s="13" t="str">
        <f t="shared" si="7"/>
        <v>2018/09/21&amp;23:59:59</v>
      </c>
      <c r="N210" s="3">
        <v>1</v>
      </c>
      <c r="O210" s="3">
        <v>1</v>
      </c>
      <c r="P210" s="3">
        <v>0</v>
      </c>
      <c r="Q210" s="5">
        <f>VLOOKUP(表1_3[[#This Row],[名称]],[1]!表1[#Data],18,FALSE)*10</f>
        <v>1.5</v>
      </c>
      <c r="R210" s="11" t="s">
        <v>61</v>
      </c>
      <c r="S210" s="15" t="s">
        <v>67</v>
      </c>
    </row>
    <row r="211" spans="1:19" x14ac:dyDescent="0.15">
      <c r="A211" s="3">
        <v>10206</v>
      </c>
      <c r="B211" s="5">
        <f>VLOOKUP(表1_3[[#This Row],[名称]],[1]!表1[#Data],3,FALSE)</f>
        <v>9056</v>
      </c>
      <c r="C211" s="5">
        <f>VLOOKUP(表1_3[[#This Row],[名称]],[1]!表1[#Data],4,FALSE)</f>
        <v>9477</v>
      </c>
      <c r="D211" s="5" t="str">
        <f>"gift_"&amp;表1_3[[#This Row],[价格]]</f>
        <v>gift_2</v>
      </c>
      <c r="E211" s="5" t="str">
        <f>"gift_"&amp;表1_3[[#This Row],[价格]]</f>
        <v>gift_2</v>
      </c>
      <c r="F211" s="3" t="s">
        <v>40</v>
      </c>
      <c r="G211" s="3" t="str">
        <f>"[[""r002"","&amp;表1_3[[#This Row],[价格]]&amp;"]]"</f>
        <v>[["r002",2]]</v>
      </c>
      <c r="H211" s="12">
        <f>INT(VLOOKUP(表1_3[[#This Row],[名称]],[1]!表1[#Data],5,FALSE)/6)</f>
        <v>2</v>
      </c>
      <c r="I211" s="5" t="str">
        <f>VLOOKUP(表1_3[[#This Row],[名称]],[1]!表1[#Data],19,FALSE)</f>
        <v>[["i001",200000],["i002",200],["i400",2],["i220",10]]</v>
      </c>
      <c r="J211" s="3">
        <v>1</v>
      </c>
      <c r="K211" s="3">
        <v>1</v>
      </c>
      <c r="L211" s="3" t="str">
        <f t="shared" si="6"/>
        <v>2018/09/22&amp;00:00:00</v>
      </c>
      <c r="M211" s="13" t="str">
        <f t="shared" si="7"/>
        <v>2018/09/22&amp;23:59:59</v>
      </c>
      <c r="N211" s="3">
        <v>1</v>
      </c>
      <c r="O211" s="3">
        <v>1</v>
      </c>
      <c r="P211" s="3">
        <v>0</v>
      </c>
      <c r="Q211" s="5">
        <f>VLOOKUP(表1_3[[#This Row],[名称]],[1]!表1[#Data],18,FALSE)*10</f>
        <v>3.8</v>
      </c>
      <c r="R211" s="3" t="s">
        <v>41</v>
      </c>
      <c r="S211" s="15" t="s">
        <v>66</v>
      </c>
    </row>
    <row r="212" spans="1:19" x14ac:dyDescent="0.15">
      <c r="A212" s="3">
        <v>10207</v>
      </c>
      <c r="B212" s="5">
        <f>VLOOKUP(表1_3[[#This Row],[名称]],[1]!表1[#Data],3,FALSE)</f>
        <v>9055</v>
      </c>
      <c r="C212" s="5">
        <f>VLOOKUP(表1_3[[#This Row],[名称]],[1]!表1[#Data],4,FALSE)</f>
        <v>9476</v>
      </c>
      <c r="D212" s="5" t="str">
        <f>"gift_"&amp;表1_3[[#This Row],[价格]]</f>
        <v>gift_1</v>
      </c>
      <c r="E212" s="5" t="str">
        <f>"gift_"&amp;表1_3[[#This Row],[价格]]</f>
        <v>gift_1</v>
      </c>
      <c r="F212" s="3" t="s">
        <v>40</v>
      </c>
      <c r="G212" s="3" t="str">
        <f>"[[""r002"","&amp;表1_3[[#This Row],[价格]]&amp;"]]"</f>
        <v>[["r002",1]]</v>
      </c>
      <c r="H212" s="12">
        <f>INT(VLOOKUP(表1_3[[#This Row],[名称]],[1]!表1[#Data],5,FALSE)/6)</f>
        <v>1</v>
      </c>
      <c r="I212" s="5" t="str">
        <f>VLOOKUP(表1_3[[#This Row],[名称]],[1]!表1[#Data],19,FALSE)</f>
        <v>[["i215",10],["i002",50],["i004",1],["i240",20]]</v>
      </c>
      <c r="J212" s="3">
        <v>1</v>
      </c>
      <c r="K212" s="3">
        <v>1</v>
      </c>
      <c r="L212" s="3" t="str">
        <f t="shared" si="6"/>
        <v>2018/09/23&amp;00:00:00</v>
      </c>
      <c r="M212" s="13" t="str">
        <f t="shared" si="7"/>
        <v>2018/09/23&amp;23:59:59</v>
      </c>
      <c r="N212" s="3">
        <v>1</v>
      </c>
      <c r="O212" s="3">
        <v>1</v>
      </c>
      <c r="P212" s="3">
        <v>0</v>
      </c>
      <c r="Q212" s="5">
        <f>VLOOKUP(表1_3[[#This Row],[名称]],[1]!表1[#Data],18,FALSE)*10</f>
        <v>2.7</v>
      </c>
      <c r="R212" s="11" t="s">
        <v>58</v>
      </c>
      <c r="S212" s="15" t="s">
        <v>65</v>
      </c>
    </row>
    <row r="213" spans="1:19" x14ac:dyDescent="0.15">
      <c r="A213" s="3">
        <v>10208</v>
      </c>
      <c r="B213" s="5">
        <f>VLOOKUP(表1_3[[#This Row],[名称]],[1]!表1[#Data],3,FALSE)</f>
        <v>9056</v>
      </c>
      <c r="C213" s="5">
        <f>VLOOKUP(表1_3[[#This Row],[名称]],[1]!表1[#Data],4,FALSE)</f>
        <v>9477</v>
      </c>
      <c r="D213" s="5" t="str">
        <f>"gift_"&amp;表1_3[[#This Row],[价格]]</f>
        <v>gift_2</v>
      </c>
      <c r="E213" s="5" t="str">
        <f>"gift_"&amp;表1_3[[#This Row],[价格]]</f>
        <v>gift_2</v>
      </c>
      <c r="F213" s="3" t="s">
        <v>40</v>
      </c>
      <c r="G213" s="3" t="str">
        <f>"[[""r002"","&amp;表1_3[[#This Row],[价格]]&amp;"]]"</f>
        <v>[["r002",2]]</v>
      </c>
      <c r="H213" s="12">
        <f>INT(VLOOKUP(表1_3[[#This Row],[名称]],[1]!表1[#Data],5,FALSE)/6)</f>
        <v>2</v>
      </c>
      <c r="I213" s="5" t="str">
        <f>VLOOKUP(表1_3[[#This Row],[名称]],[1]!表1[#Data],19,FALSE)</f>
        <v>[["i015",8],["i002",100],["i400",2],["i220",2]]</v>
      </c>
      <c r="J213" s="3">
        <v>1</v>
      </c>
      <c r="K213" s="3">
        <v>1</v>
      </c>
      <c r="L213" s="3" t="str">
        <f t="shared" si="6"/>
        <v>2018/09/24&amp;00:00:00</v>
      </c>
      <c r="M213" s="13" t="str">
        <f t="shared" si="7"/>
        <v>2018/09/24&amp;23:59:59</v>
      </c>
      <c r="N213" s="3">
        <v>1</v>
      </c>
      <c r="O213" s="3">
        <v>1</v>
      </c>
      <c r="P213" s="3">
        <v>0</v>
      </c>
      <c r="Q213" s="5">
        <f>VLOOKUP(表1_3[[#This Row],[名称]],[1]!表1[#Data],18,FALSE)*10</f>
        <v>3</v>
      </c>
      <c r="R213" s="11" t="s">
        <v>55</v>
      </c>
      <c r="S213" s="15" t="s">
        <v>64</v>
      </c>
    </row>
    <row r="214" spans="1:19" x14ac:dyDescent="0.15">
      <c r="A214" s="3">
        <v>10209</v>
      </c>
      <c r="B214" s="5">
        <f>VLOOKUP(表1_3[[#This Row],[名称]],[1]!表1[#Data],3,FALSE)</f>
        <v>9055</v>
      </c>
      <c r="C214" s="5">
        <f>VLOOKUP(表1_3[[#This Row],[名称]],[1]!表1[#Data],4,FALSE)</f>
        <v>9476</v>
      </c>
      <c r="D214" s="5" t="str">
        <f>"gift_"&amp;表1_3[[#This Row],[价格]]</f>
        <v>gift_1</v>
      </c>
      <c r="E214" s="5" t="str">
        <f>"gift_"&amp;表1_3[[#This Row],[价格]]</f>
        <v>gift_1</v>
      </c>
      <c r="F214" s="3" t="s">
        <v>40</v>
      </c>
      <c r="G214" s="3" t="str">
        <f>"[[""r002"","&amp;表1_3[[#This Row],[价格]]&amp;"]]"</f>
        <v>[["r002",1]]</v>
      </c>
      <c r="H214" s="12">
        <f>INT(VLOOKUP(表1_3[[#This Row],[名称]],[1]!表1[#Data],5,FALSE)/6)</f>
        <v>1</v>
      </c>
      <c r="I214" s="5" t="str">
        <f>VLOOKUP(表1_3[[#This Row],[名称]],[1]!表1[#Data],19,FALSE)</f>
        <v>[["i001",100000],["i002",100],["i400",1],["i220",5]]</v>
      </c>
      <c r="J214" s="3">
        <v>1</v>
      </c>
      <c r="K214" s="3">
        <v>1</v>
      </c>
      <c r="L214" s="3" t="str">
        <f t="shared" si="6"/>
        <v>2018/09/25&amp;00:00:00</v>
      </c>
      <c r="M214" s="13" t="str">
        <f t="shared" si="7"/>
        <v>2018/09/25&amp;23:59:59</v>
      </c>
      <c r="N214" s="3">
        <v>1</v>
      </c>
      <c r="O214" s="3">
        <v>1</v>
      </c>
      <c r="P214" s="3">
        <v>0</v>
      </c>
      <c r="Q214" s="5">
        <f>VLOOKUP(表1_3[[#This Row],[名称]],[1]!表1[#Data],18,FALSE)*10</f>
        <v>3.5999999999999996</v>
      </c>
      <c r="R214" s="3" t="s">
        <v>39</v>
      </c>
      <c r="S214" s="15" t="s">
        <v>63</v>
      </c>
    </row>
    <row r="215" spans="1:19" x14ac:dyDescent="0.15">
      <c r="A215" s="3">
        <v>10210</v>
      </c>
      <c r="B215" s="5">
        <f>VLOOKUP(表1_3[[#This Row],[名称]],[1]!表1[#Data],3,FALSE)</f>
        <v>9075</v>
      </c>
      <c r="C215" s="5">
        <f>VLOOKUP(表1_3[[#This Row],[名称]],[1]!表1[#Data],4,FALSE)</f>
        <v>9496</v>
      </c>
      <c r="D215" s="5" t="str">
        <f>"gift_"&amp;表1_3[[#This Row],[价格]]</f>
        <v>gift_7</v>
      </c>
      <c r="E215" s="5" t="str">
        <f>"gift_"&amp;表1_3[[#This Row],[价格]]</f>
        <v>gift_7</v>
      </c>
      <c r="F215" s="3" t="s">
        <v>40</v>
      </c>
      <c r="G215" s="3" t="str">
        <f>"[[""r002"","&amp;表1_3[[#This Row],[价格]]&amp;"]]"</f>
        <v>[["r002",7]]</v>
      </c>
      <c r="H215" s="12">
        <f>INT(VLOOKUP(表1_3[[#This Row],[名称]],[1]!表1[#Data],5,FALSE)/6)</f>
        <v>7</v>
      </c>
      <c r="I215" s="5" t="str">
        <f>VLOOKUP(表1_3[[#This Row],[名称]],[1]!表1[#Data],19,FALSE)</f>
        <v>[["i001",500000],["i002",500],["i015",1],["i004",4]]</v>
      </c>
      <c r="J215" s="3">
        <v>1</v>
      </c>
      <c r="K215" s="3">
        <v>1</v>
      </c>
      <c r="L215" s="3" t="str">
        <f t="shared" si="6"/>
        <v>2018/09/26&amp;00:00:00</v>
      </c>
      <c r="M215" s="13" t="str">
        <f t="shared" si="7"/>
        <v>2018/09/26&amp;23:59:59</v>
      </c>
      <c r="N215" s="3">
        <v>1</v>
      </c>
      <c r="O215" s="3">
        <v>1</v>
      </c>
      <c r="P215" s="3">
        <v>0</v>
      </c>
      <c r="Q215" s="5">
        <f>VLOOKUP(表1_3[[#This Row],[名称]],[1]!表1[#Data],18,FALSE)*10</f>
        <v>3.8</v>
      </c>
      <c r="R215" s="3" t="s">
        <v>44</v>
      </c>
      <c r="S215" s="15" t="s">
        <v>75</v>
      </c>
    </row>
    <row r="216" spans="1:19" x14ac:dyDescent="0.15">
      <c r="A216" s="3">
        <v>10211</v>
      </c>
      <c r="B216" s="5">
        <f>VLOOKUP(表1_3[[#This Row],[名称]],[1]!表1[#Data],3,FALSE)</f>
        <v>9055</v>
      </c>
      <c r="C216" s="5">
        <f>VLOOKUP(表1_3[[#This Row],[名称]],[1]!表1[#Data],4,FALSE)</f>
        <v>9476</v>
      </c>
      <c r="D216" s="5" t="str">
        <f>"gift_"&amp;表1_3[[#This Row],[价格]]</f>
        <v>gift_1</v>
      </c>
      <c r="E216" s="5" t="str">
        <f>"gift_"&amp;表1_3[[#This Row],[价格]]</f>
        <v>gift_1</v>
      </c>
      <c r="F216" s="3" t="s">
        <v>40</v>
      </c>
      <c r="G216" s="3" t="str">
        <f>"[[""r002"","&amp;表1_3[[#This Row],[价格]]&amp;"]]"</f>
        <v>[["r002",1]]</v>
      </c>
      <c r="H216" s="14">
        <f>INT(VLOOKUP(表1_3[[#This Row],[名称]],[1]!表1[#Data],5,FALSE)/6)</f>
        <v>1</v>
      </c>
      <c r="I216" s="5" t="str">
        <f>VLOOKUP(表1_3[[#This Row],[名称]],[1]!表1[#Data],19,FALSE)</f>
        <v>[["i215",10],["i002",50],["i004",1],["i240",20]]</v>
      </c>
      <c r="J216" s="3">
        <v>1</v>
      </c>
      <c r="K216" s="3">
        <v>1</v>
      </c>
      <c r="L216" s="3" t="str">
        <f t="shared" si="6"/>
        <v>2018/09/27&amp;00:00:00</v>
      </c>
      <c r="M216" s="13" t="str">
        <f t="shared" si="7"/>
        <v>2018/09/27&amp;23:59:59</v>
      </c>
      <c r="N216" s="3">
        <v>1</v>
      </c>
      <c r="O216" s="3">
        <v>1</v>
      </c>
      <c r="P216" s="3">
        <v>0</v>
      </c>
      <c r="Q216" s="5">
        <f>VLOOKUP(表1_3[[#This Row],[名称]],[1]!表1[#Data],18,FALSE)*10</f>
        <v>2.7</v>
      </c>
      <c r="R216" s="11" t="s">
        <v>58</v>
      </c>
      <c r="S216" s="15" t="s">
        <v>65</v>
      </c>
    </row>
    <row r="217" spans="1:19" x14ac:dyDescent="0.15">
      <c r="A217" s="3">
        <v>10212</v>
      </c>
      <c r="B217" s="5">
        <f>VLOOKUP(表1_3[[#This Row],[名称]],[1]!表1[#Data],3,FALSE)</f>
        <v>9075</v>
      </c>
      <c r="C217" s="5">
        <f>VLOOKUP(表1_3[[#This Row],[名称]],[1]!表1[#Data],4,FALSE)</f>
        <v>9496</v>
      </c>
      <c r="D217" s="5" t="str">
        <f>"gift_"&amp;表1_3[[#This Row],[价格]]</f>
        <v>gift_7</v>
      </c>
      <c r="E217" s="5" t="str">
        <f>"gift_"&amp;表1_3[[#This Row],[价格]]</f>
        <v>gift_7</v>
      </c>
      <c r="F217" s="3" t="s">
        <v>40</v>
      </c>
      <c r="G217" s="3" t="str">
        <f>"[[""r002"","&amp;表1_3[[#This Row],[价格]]&amp;"]]"</f>
        <v>[["r002",7]]</v>
      </c>
      <c r="H217" s="14">
        <f>INT(VLOOKUP(表1_3[[#This Row],[名称]],[1]!表1[#Data],5,FALSE)/6)</f>
        <v>7</v>
      </c>
      <c r="I217" s="5" t="str">
        <f>VLOOKUP(表1_3[[#This Row],[名称]],[1]!表1[#Data],19,FALSE)</f>
        <v>[["i017",8],["i002",100],["i004",10],["i006",10]]</v>
      </c>
      <c r="J217" s="3">
        <v>1</v>
      </c>
      <c r="K217" s="3">
        <v>1</v>
      </c>
      <c r="L217" s="3" t="str">
        <f t="shared" si="6"/>
        <v>2018/09/28&amp;00:00:00</v>
      </c>
      <c r="M217" s="13" t="str">
        <f t="shared" si="7"/>
        <v>2018/09/28&amp;23:59:59</v>
      </c>
      <c r="N217" s="3">
        <v>1</v>
      </c>
      <c r="O217" s="3">
        <v>1</v>
      </c>
      <c r="P217" s="3">
        <v>0</v>
      </c>
      <c r="Q217" s="5">
        <f>VLOOKUP(表1_3[[#This Row],[名称]],[1]!表1[#Data],18,FALSE)*10</f>
        <v>1</v>
      </c>
      <c r="R217" s="11" t="s">
        <v>62</v>
      </c>
      <c r="S217" s="15" t="s">
        <v>74</v>
      </c>
    </row>
    <row r="218" spans="1:19" x14ac:dyDescent="0.15">
      <c r="A218" s="3">
        <v>10213</v>
      </c>
      <c r="B218" s="5">
        <f>VLOOKUP(表1_3[[#This Row],[名称]],[1]!表1[#Data],3,FALSE)</f>
        <v>9067</v>
      </c>
      <c r="C218" s="5">
        <f>VLOOKUP(表1_3[[#This Row],[名称]],[1]!表1[#Data],4,FALSE)</f>
        <v>9488</v>
      </c>
      <c r="D218" s="5" t="str">
        <f>"gift_"&amp;表1_3[[#This Row],[价格]]</f>
        <v>gift_5</v>
      </c>
      <c r="E218" s="5" t="str">
        <f>"gift_"&amp;表1_3[[#This Row],[价格]]</f>
        <v>gift_5</v>
      </c>
      <c r="F218" s="3" t="s">
        <v>40</v>
      </c>
      <c r="G218" s="3" t="str">
        <f>"[[""r002"","&amp;表1_3[[#This Row],[价格]]&amp;"]]"</f>
        <v>[["r002",5]]</v>
      </c>
      <c r="H218" s="14">
        <f>INT(VLOOKUP(表1_3[[#This Row],[名称]],[1]!表1[#Data],5,FALSE)/6)</f>
        <v>5</v>
      </c>
      <c r="I218" s="5" t="str">
        <f>VLOOKUP(表1_3[[#This Row],[名称]],[1]!表1[#Data],19,FALSE)</f>
        <v>[["i001",400000],["i002",400],["i015",1],["i006",5]]</v>
      </c>
      <c r="J218" s="3">
        <v>1</v>
      </c>
      <c r="K218" s="3">
        <v>1</v>
      </c>
      <c r="L218" s="3" t="str">
        <f t="shared" si="6"/>
        <v>2018/09/29&amp;00:00:00</v>
      </c>
      <c r="M218" s="13" t="str">
        <f t="shared" si="7"/>
        <v>2018/09/29&amp;23:59:59</v>
      </c>
      <c r="N218" s="3">
        <v>1</v>
      </c>
      <c r="O218" s="3">
        <v>1</v>
      </c>
      <c r="P218" s="3">
        <v>0</v>
      </c>
      <c r="Q218" s="5">
        <f>VLOOKUP(表1_3[[#This Row],[名称]],[1]!表1[#Data],18,FALSE)*10</f>
        <v>3.8</v>
      </c>
      <c r="R218" s="3" t="s">
        <v>43</v>
      </c>
      <c r="S218" s="15" t="s">
        <v>73</v>
      </c>
    </row>
    <row r="219" spans="1:19" x14ac:dyDescent="0.15">
      <c r="A219" s="3">
        <v>10214</v>
      </c>
      <c r="B219" s="5">
        <f>VLOOKUP(表1_3[[#This Row],[名称]],[1]!表1[#Data],3,FALSE)</f>
        <v>9055</v>
      </c>
      <c r="C219" s="5">
        <f>VLOOKUP(表1_3[[#This Row],[名称]],[1]!表1[#Data],4,FALSE)</f>
        <v>9476</v>
      </c>
      <c r="D219" s="5" t="str">
        <f>"gift_"&amp;表1_3[[#This Row],[价格]]</f>
        <v>gift_1</v>
      </c>
      <c r="E219" s="5" t="str">
        <f>"gift_"&amp;表1_3[[#This Row],[价格]]</f>
        <v>gift_1</v>
      </c>
      <c r="F219" s="3" t="s">
        <v>40</v>
      </c>
      <c r="G219" s="3" t="str">
        <f>"[[""r002"","&amp;表1_3[[#This Row],[价格]]&amp;"]]"</f>
        <v>[["r002",1]]</v>
      </c>
      <c r="H219" s="14">
        <f>INT(VLOOKUP(表1_3[[#This Row],[名称]],[1]!表1[#Data],5,FALSE)/6)</f>
        <v>1</v>
      </c>
      <c r="I219" s="5" t="str">
        <f>VLOOKUP(表1_3[[#This Row],[名称]],[1]!表1[#Data],19,FALSE)</f>
        <v>[["i400",20],["i002",50],["i015",1],["i220",2]]</v>
      </c>
      <c r="J219" s="3">
        <v>1</v>
      </c>
      <c r="K219" s="3">
        <v>1</v>
      </c>
      <c r="L219" s="3" t="str">
        <f t="shared" si="6"/>
        <v>2018/09/30&amp;00:00:00</v>
      </c>
      <c r="M219" s="13" t="str">
        <f t="shared" si="7"/>
        <v>2018/09/30&amp;23:59:59</v>
      </c>
      <c r="N219" s="3">
        <v>1</v>
      </c>
      <c r="O219" s="3">
        <v>1</v>
      </c>
      <c r="P219" s="3">
        <v>0</v>
      </c>
      <c r="Q219" s="5">
        <f>VLOOKUP(表1_3[[#This Row],[名称]],[1]!表1[#Data],18,FALSE)*10</f>
        <v>1.9</v>
      </c>
      <c r="R219" s="11" t="s">
        <v>57</v>
      </c>
      <c r="S219" s="15" t="s">
        <v>72</v>
      </c>
    </row>
    <row r="220" spans="1:19" x14ac:dyDescent="0.15">
      <c r="A220" s="3">
        <v>10215</v>
      </c>
      <c r="B220" s="5">
        <f>VLOOKUP(表1_3[[#This Row],[名称]],[1]!表1[#Data],3,FALSE)</f>
        <v>9072</v>
      </c>
      <c r="C220" s="5">
        <f>VLOOKUP(表1_3[[#This Row],[名称]],[1]!表1[#Data],4,FALSE)</f>
        <v>9493</v>
      </c>
      <c r="D220" s="5" t="str">
        <f>"gift_"&amp;表1_3[[#This Row],[价格]]</f>
        <v>gift_3</v>
      </c>
      <c r="E220" s="5" t="str">
        <f>"gift_"&amp;表1_3[[#This Row],[价格]]</f>
        <v>gift_3</v>
      </c>
      <c r="F220" s="3" t="s">
        <v>40</v>
      </c>
      <c r="G220" s="3" t="str">
        <f>"[[""r002"","&amp;表1_3[[#This Row],[价格]]&amp;"]]"</f>
        <v>[["r002",3]]</v>
      </c>
      <c r="H220" s="14">
        <f>INT(VLOOKUP(表1_3[[#This Row],[名称]],[1]!表1[#Data],5,FALSE)/6)</f>
        <v>3</v>
      </c>
      <c r="I220" s="5" t="str">
        <f>VLOOKUP(表1_3[[#This Row],[名称]],[1]!表1[#Data],19,FALSE)</f>
        <v>[["i001",300000],["i002",300],["i015",1],["i400",2]]</v>
      </c>
      <c r="J220" s="3">
        <v>1</v>
      </c>
      <c r="K220" s="3">
        <v>1</v>
      </c>
      <c r="L220" s="3" t="str">
        <f t="shared" si="6"/>
        <v>2018/10/01&amp;00:00:00</v>
      </c>
      <c r="M220" s="13" t="str">
        <f t="shared" si="7"/>
        <v>2018/10/01&amp;23:59:59</v>
      </c>
      <c r="N220" s="3">
        <v>1</v>
      </c>
      <c r="O220" s="3">
        <v>1</v>
      </c>
      <c r="P220" s="3">
        <v>0</v>
      </c>
      <c r="Q220" s="5">
        <f>VLOOKUP(表1_3[[#This Row],[名称]],[1]!表1[#Data],18,FALSE)*10</f>
        <v>4</v>
      </c>
      <c r="R220" s="3" t="s">
        <v>42</v>
      </c>
      <c r="S220" s="15" t="s">
        <v>71</v>
      </c>
    </row>
    <row r="221" spans="1:19" x14ac:dyDescent="0.15">
      <c r="A221" s="3">
        <v>10216</v>
      </c>
      <c r="B221" s="5">
        <f>VLOOKUP(表1_3[[#This Row],[名称]],[1]!表1[#Data],3,FALSE)</f>
        <v>9056</v>
      </c>
      <c r="C221" s="5">
        <f>VLOOKUP(表1_3[[#This Row],[名称]],[1]!表1[#Data],4,FALSE)</f>
        <v>9477</v>
      </c>
      <c r="D221" s="5" t="str">
        <f>"gift_"&amp;表1_3[[#This Row],[价格]]</f>
        <v>gift_2</v>
      </c>
      <c r="E221" s="5" t="str">
        <f>"gift_"&amp;表1_3[[#This Row],[价格]]</f>
        <v>gift_2</v>
      </c>
      <c r="F221" s="3" t="s">
        <v>40</v>
      </c>
      <c r="G221" s="3" t="str">
        <f>"[[""r002"","&amp;表1_3[[#This Row],[价格]]&amp;"]]"</f>
        <v>[["r002",2]]</v>
      </c>
      <c r="H221" s="14">
        <f>INT(VLOOKUP(表1_3[[#This Row],[名称]],[1]!表1[#Data],5,FALSE)/6)</f>
        <v>2</v>
      </c>
      <c r="I221" s="5" t="str">
        <f>VLOOKUP(表1_3[[#This Row],[名称]],[1]!表1[#Data],19,FALSE)</f>
        <v>[["i240",180],["i002",150],["i001",50000],["i220",5]]</v>
      </c>
      <c r="J221" s="3">
        <v>1</v>
      </c>
      <c r="K221" s="3">
        <v>1</v>
      </c>
      <c r="L221" s="3" t="str">
        <f t="shared" si="6"/>
        <v>2018/10/02&amp;00:00:00</v>
      </c>
      <c r="M221" s="13" t="str">
        <f t="shared" si="7"/>
        <v>2018/10/02&amp;23:59:59</v>
      </c>
      <c r="N221" s="3">
        <v>1</v>
      </c>
      <c r="O221" s="3">
        <v>1</v>
      </c>
      <c r="P221" s="3">
        <v>0</v>
      </c>
      <c r="Q221" s="5">
        <f>VLOOKUP(表1_3[[#This Row],[名称]],[1]!表1[#Data],18,FALSE)*10</f>
        <v>2.5</v>
      </c>
      <c r="R221" s="11" t="s">
        <v>56</v>
      </c>
      <c r="S221" s="15" t="s">
        <v>70</v>
      </c>
    </row>
    <row r="222" spans="1:19" x14ac:dyDescent="0.15">
      <c r="A222" s="3">
        <v>10217</v>
      </c>
      <c r="B222" s="5">
        <f>VLOOKUP(表1_3[[#This Row],[名称]],[1]!表1[#Data],3,FALSE)</f>
        <v>9055</v>
      </c>
      <c r="C222" s="5">
        <f>VLOOKUP(表1_3[[#This Row],[名称]],[1]!表1[#Data],4,FALSE)</f>
        <v>9476</v>
      </c>
      <c r="D222" s="5" t="str">
        <f>"gift_"&amp;表1_3[[#This Row],[价格]]</f>
        <v>gift_1</v>
      </c>
      <c r="E222" s="5" t="str">
        <f>"gift_"&amp;表1_3[[#This Row],[价格]]</f>
        <v>gift_1</v>
      </c>
      <c r="F222" s="3" t="s">
        <v>40</v>
      </c>
      <c r="G222" s="3" t="str">
        <f>"[[""r002"","&amp;表1_3[[#This Row],[价格]]&amp;"]]"</f>
        <v>[["r002",1]]</v>
      </c>
      <c r="H222" s="13">
        <f>INT(VLOOKUP(表1_3[[#This Row],[名称]],[1]!表1[#Data],5,FALSE)/6)</f>
        <v>1</v>
      </c>
      <c r="I222" s="5" t="str">
        <f>VLOOKUP(表1_3[[#This Row],[名称]],[1]!表1[#Data],19,FALSE)</f>
        <v>[["i006",25],["i001",50000],["i004",1],["i015",1]]</v>
      </c>
      <c r="J222" s="3">
        <v>1</v>
      </c>
      <c r="K222" s="3">
        <v>1</v>
      </c>
      <c r="L222" s="3" t="str">
        <f t="shared" si="6"/>
        <v>2018/10/03&amp;00:00:00</v>
      </c>
      <c r="M222" s="13" t="str">
        <f t="shared" si="7"/>
        <v>2018/10/03&amp;23:59:59</v>
      </c>
      <c r="N222" s="3">
        <v>1</v>
      </c>
      <c r="O222" s="3">
        <v>1</v>
      </c>
      <c r="P222" s="3">
        <v>0</v>
      </c>
      <c r="Q222" s="5">
        <f>VLOOKUP(表1_3[[#This Row],[名称]],[1]!表1[#Data],18,FALSE)*10</f>
        <v>1.9</v>
      </c>
      <c r="R222" s="11" t="s">
        <v>59</v>
      </c>
      <c r="S222" s="15" t="s">
        <v>69</v>
      </c>
    </row>
    <row r="223" spans="1:19" x14ac:dyDescent="0.15">
      <c r="A223" s="3">
        <v>10218</v>
      </c>
      <c r="B223" s="5">
        <f>VLOOKUP(表1_3[[#This Row],[名称]],[1]!表1[#Data],3,FALSE)</f>
        <v>9055</v>
      </c>
      <c r="C223" s="5">
        <f>VLOOKUP(表1_3[[#This Row],[名称]],[1]!表1[#Data],4,FALSE)</f>
        <v>9476</v>
      </c>
      <c r="D223" s="5" t="str">
        <f>"gift_"&amp;表1_3[[#This Row],[价格]]</f>
        <v>gift_1</v>
      </c>
      <c r="E223" s="5" t="str">
        <f>"gift_"&amp;表1_3[[#This Row],[价格]]</f>
        <v>gift_1</v>
      </c>
      <c r="F223" s="3" t="s">
        <v>40</v>
      </c>
      <c r="G223" s="3" t="str">
        <f>"[[""r002"","&amp;表1_3[[#This Row],[价格]]&amp;"]]"</f>
        <v>[["r002",1]]</v>
      </c>
      <c r="H223" s="13">
        <f>INT(VLOOKUP(表1_3[[#This Row],[名称]],[1]!表1[#Data],5,FALSE)/6)</f>
        <v>1</v>
      </c>
      <c r="I223" s="5" t="str">
        <f>VLOOKUP(表1_3[[#This Row],[名称]],[1]!表1[#Data],19,FALSE)</f>
        <v>[["i011",50],["i001",100000],["i004",1],["i015",1]]</v>
      </c>
      <c r="J223" s="3">
        <v>1</v>
      </c>
      <c r="K223" s="3">
        <v>1</v>
      </c>
      <c r="L223" s="3" t="str">
        <f t="shared" si="6"/>
        <v>2018/10/04&amp;00:00:00</v>
      </c>
      <c r="M223" s="13" t="str">
        <f t="shared" si="7"/>
        <v>2018/10/04&amp;23:59:59</v>
      </c>
      <c r="N223" s="3">
        <v>1</v>
      </c>
      <c r="O223" s="3">
        <v>1</v>
      </c>
      <c r="P223" s="3">
        <v>0</v>
      </c>
      <c r="Q223" s="5">
        <f>VLOOKUP(表1_3[[#This Row],[名称]],[1]!表1[#Data],18,FALSE)*10</f>
        <v>2.4</v>
      </c>
      <c r="R223" s="11" t="s">
        <v>60</v>
      </c>
      <c r="S223" s="15" t="s">
        <v>68</v>
      </c>
    </row>
    <row r="224" spans="1:19" x14ac:dyDescent="0.15">
      <c r="A224" s="3">
        <v>10219</v>
      </c>
      <c r="B224" s="5">
        <f>VLOOKUP(表1_3[[#This Row],[名称]],[1]!表1[#Data],3,FALSE)</f>
        <v>9072</v>
      </c>
      <c r="C224" s="5">
        <f>VLOOKUP(表1_3[[#This Row],[名称]],[1]!表1[#Data],4,FALSE)</f>
        <v>9493</v>
      </c>
      <c r="D224" s="5" t="str">
        <f>"gift_"&amp;表1_3[[#This Row],[价格]]</f>
        <v>gift_3</v>
      </c>
      <c r="E224" s="5" t="str">
        <f>"gift_"&amp;表1_3[[#This Row],[价格]]</f>
        <v>gift_3</v>
      </c>
      <c r="F224" s="3" t="s">
        <v>40</v>
      </c>
      <c r="G224" s="3" t="str">
        <f>"[[""r002"","&amp;表1_3[[#This Row],[价格]]&amp;"]]"</f>
        <v>[["r002",3]]</v>
      </c>
      <c r="H224" s="13">
        <f>INT(VLOOKUP(表1_3[[#This Row],[名称]],[1]!表1[#Data],5,FALSE)/6)</f>
        <v>3</v>
      </c>
      <c r="I224" s="5" t="str">
        <f>VLOOKUP(表1_3[[#This Row],[名称]],[1]!表1[#Data],19,FALSE)</f>
        <v>[["i016",10],["i001",50000],["i400",5],["i004",5]]</v>
      </c>
      <c r="J224" s="3">
        <v>1</v>
      </c>
      <c r="K224" s="3">
        <v>1</v>
      </c>
      <c r="L224" s="3" t="str">
        <f t="shared" si="6"/>
        <v>2018/10/05&amp;00:00:00</v>
      </c>
      <c r="M224" s="13" t="str">
        <f t="shared" si="7"/>
        <v>2018/10/05&amp;23:59:59</v>
      </c>
      <c r="N224" s="3">
        <v>1</v>
      </c>
      <c r="O224" s="3">
        <v>1</v>
      </c>
      <c r="P224" s="3">
        <v>0</v>
      </c>
      <c r="Q224" s="5">
        <f>VLOOKUP(表1_3[[#This Row],[名称]],[1]!表1[#Data],18,FALSE)*10</f>
        <v>1.5</v>
      </c>
      <c r="R224" s="11" t="s">
        <v>61</v>
      </c>
      <c r="S224" s="15" t="s">
        <v>67</v>
      </c>
    </row>
    <row r="225" spans="1:19" x14ac:dyDescent="0.15">
      <c r="A225" s="3">
        <v>10220</v>
      </c>
      <c r="B225" s="5">
        <f>VLOOKUP(表1_3[[#This Row],[名称]],[1]!表1[#Data],3,FALSE)</f>
        <v>9056</v>
      </c>
      <c r="C225" s="5">
        <f>VLOOKUP(表1_3[[#This Row],[名称]],[1]!表1[#Data],4,FALSE)</f>
        <v>9477</v>
      </c>
      <c r="D225" s="5" t="str">
        <f>"gift_"&amp;表1_3[[#This Row],[价格]]</f>
        <v>gift_2</v>
      </c>
      <c r="E225" s="5" t="str">
        <f>"gift_"&amp;表1_3[[#This Row],[价格]]</f>
        <v>gift_2</v>
      </c>
      <c r="F225" s="3" t="s">
        <v>40</v>
      </c>
      <c r="G225" s="3" t="str">
        <f>"[[""r002"","&amp;表1_3[[#This Row],[价格]]&amp;"]]"</f>
        <v>[["r002",2]]</v>
      </c>
      <c r="H225" s="13">
        <f>INT(VLOOKUP(表1_3[[#This Row],[名称]],[1]!表1[#Data],5,FALSE)/6)</f>
        <v>2</v>
      </c>
      <c r="I225" s="5" t="str">
        <f>VLOOKUP(表1_3[[#This Row],[名称]],[1]!表1[#Data],19,FALSE)</f>
        <v>[["i001",200000],["i002",200],["i400",2],["i220",10]]</v>
      </c>
      <c r="J225" s="3">
        <v>1</v>
      </c>
      <c r="K225" s="3">
        <v>1</v>
      </c>
      <c r="L225" s="3" t="str">
        <f t="shared" si="6"/>
        <v>2018/10/06&amp;00:00:00</v>
      </c>
      <c r="M225" s="13" t="str">
        <f t="shared" si="7"/>
        <v>2018/10/06&amp;23:59:59</v>
      </c>
      <c r="N225" s="3">
        <v>1</v>
      </c>
      <c r="O225" s="3">
        <v>1</v>
      </c>
      <c r="P225" s="3">
        <v>0</v>
      </c>
      <c r="Q225" s="5">
        <f>VLOOKUP(表1_3[[#This Row],[名称]],[1]!表1[#Data],18,FALSE)*10</f>
        <v>3.8</v>
      </c>
      <c r="R225" s="3" t="s">
        <v>41</v>
      </c>
      <c r="S225" s="15" t="s">
        <v>66</v>
      </c>
    </row>
    <row r="226" spans="1:19" x14ac:dyDescent="0.15">
      <c r="A226" s="3">
        <v>10221</v>
      </c>
      <c r="B226" s="5">
        <f>VLOOKUP(表1_3[[#This Row],[名称]],[1]!表1[#Data],3,FALSE)</f>
        <v>9055</v>
      </c>
      <c r="C226" s="5">
        <f>VLOOKUP(表1_3[[#This Row],[名称]],[1]!表1[#Data],4,FALSE)</f>
        <v>9476</v>
      </c>
      <c r="D226" s="5" t="str">
        <f>"gift_"&amp;表1_3[[#This Row],[价格]]</f>
        <v>gift_1</v>
      </c>
      <c r="E226" s="5" t="str">
        <f>"gift_"&amp;表1_3[[#This Row],[价格]]</f>
        <v>gift_1</v>
      </c>
      <c r="F226" s="3" t="s">
        <v>40</v>
      </c>
      <c r="G226" s="3" t="str">
        <f>"[[""r002"","&amp;表1_3[[#This Row],[价格]]&amp;"]]"</f>
        <v>[["r002",1]]</v>
      </c>
      <c r="H226" s="13">
        <f>INT(VLOOKUP(表1_3[[#This Row],[名称]],[1]!表1[#Data],5,FALSE)/6)</f>
        <v>1</v>
      </c>
      <c r="I226" s="5" t="str">
        <f>VLOOKUP(表1_3[[#This Row],[名称]],[1]!表1[#Data],19,FALSE)</f>
        <v>[["i215",10],["i002",50],["i004",1],["i240",20]]</v>
      </c>
      <c r="J226" s="3">
        <v>1</v>
      </c>
      <c r="K226" s="3">
        <v>1</v>
      </c>
      <c r="L226" s="3" t="str">
        <f t="shared" si="6"/>
        <v>2018/10/07&amp;00:00:00</v>
      </c>
      <c r="M226" s="13" t="str">
        <f t="shared" si="7"/>
        <v>2018/10/07&amp;23:59:59</v>
      </c>
      <c r="N226" s="3">
        <v>1</v>
      </c>
      <c r="O226" s="3">
        <v>1</v>
      </c>
      <c r="P226" s="3">
        <v>0</v>
      </c>
      <c r="Q226" s="5">
        <f>VLOOKUP(表1_3[[#This Row],[名称]],[1]!表1[#Data],18,FALSE)*10</f>
        <v>2.7</v>
      </c>
      <c r="R226" s="11" t="s">
        <v>58</v>
      </c>
      <c r="S226" s="15" t="s">
        <v>65</v>
      </c>
    </row>
    <row r="227" spans="1:19" x14ac:dyDescent="0.15">
      <c r="A227" s="3">
        <v>10222</v>
      </c>
      <c r="B227" s="5">
        <f>VLOOKUP(表1_3[[#This Row],[名称]],[1]!表1[#Data],3,FALSE)</f>
        <v>9056</v>
      </c>
      <c r="C227" s="5">
        <f>VLOOKUP(表1_3[[#This Row],[名称]],[1]!表1[#Data],4,FALSE)</f>
        <v>9477</v>
      </c>
      <c r="D227" s="5" t="str">
        <f>"gift_"&amp;表1_3[[#This Row],[价格]]</f>
        <v>gift_2</v>
      </c>
      <c r="E227" s="5" t="str">
        <f>"gift_"&amp;表1_3[[#This Row],[价格]]</f>
        <v>gift_2</v>
      </c>
      <c r="F227" s="3" t="s">
        <v>40</v>
      </c>
      <c r="G227" s="3" t="str">
        <f>"[[""r002"","&amp;表1_3[[#This Row],[价格]]&amp;"]]"</f>
        <v>[["r002",2]]</v>
      </c>
      <c r="H227" s="13">
        <f>INT(VLOOKUP(表1_3[[#This Row],[名称]],[1]!表1[#Data],5,FALSE)/6)</f>
        <v>2</v>
      </c>
      <c r="I227" s="5" t="str">
        <f>VLOOKUP(表1_3[[#This Row],[名称]],[1]!表1[#Data],19,FALSE)</f>
        <v>[["i015",8],["i002",100],["i400",2],["i220",2]]</v>
      </c>
      <c r="J227" s="3">
        <v>1</v>
      </c>
      <c r="K227" s="3">
        <v>1</v>
      </c>
      <c r="L227" s="3" t="str">
        <f t="shared" si="6"/>
        <v>2018/10/08&amp;00:00:00</v>
      </c>
      <c r="M227" s="13" t="str">
        <f t="shared" si="7"/>
        <v>2018/10/08&amp;23:59:59</v>
      </c>
      <c r="N227" s="3">
        <v>1</v>
      </c>
      <c r="O227" s="3">
        <v>1</v>
      </c>
      <c r="P227" s="3">
        <v>0</v>
      </c>
      <c r="Q227" s="5">
        <f>VLOOKUP(表1_3[[#This Row],[名称]],[1]!表1[#Data],18,FALSE)*10</f>
        <v>3</v>
      </c>
      <c r="R227" s="11" t="s">
        <v>55</v>
      </c>
      <c r="S227" s="15" t="s">
        <v>64</v>
      </c>
    </row>
    <row r="228" spans="1:19" x14ac:dyDescent="0.15">
      <c r="A228" s="3">
        <v>10223</v>
      </c>
      <c r="B228" s="5">
        <f>VLOOKUP(表1_3[[#This Row],[名称]],[1]!表1[#Data],3,FALSE)</f>
        <v>9055</v>
      </c>
      <c r="C228" s="5">
        <f>VLOOKUP(表1_3[[#This Row],[名称]],[1]!表1[#Data],4,FALSE)</f>
        <v>9476</v>
      </c>
      <c r="D228" s="5" t="str">
        <f>"gift_"&amp;表1_3[[#This Row],[价格]]</f>
        <v>gift_1</v>
      </c>
      <c r="E228" s="5" t="str">
        <f>"gift_"&amp;表1_3[[#This Row],[价格]]</f>
        <v>gift_1</v>
      </c>
      <c r="F228" s="3" t="s">
        <v>40</v>
      </c>
      <c r="G228" s="3" t="str">
        <f>"[[""r002"","&amp;表1_3[[#This Row],[价格]]&amp;"]]"</f>
        <v>[["r002",1]]</v>
      </c>
      <c r="H228" s="13">
        <f>INT(VLOOKUP(表1_3[[#This Row],[名称]],[1]!表1[#Data],5,FALSE)/6)</f>
        <v>1</v>
      </c>
      <c r="I228" s="5" t="str">
        <f>VLOOKUP(表1_3[[#This Row],[名称]],[1]!表1[#Data],19,FALSE)</f>
        <v>[["i001",100000],["i002",100],["i400",1],["i220",5]]</v>
      </c>
      <c r="J228" s="3">
        <v>1</v>
      </c>
      <c r="K228" s="3">
        <v>1</v>
      </c>
      <c r="L228" s="3" t="str">
        <f t="shared" si="6"/>
        <v>2018/10/09&amp;00:00:00</v>
      </c>
      <c r="M228" s="13" t="str">
        <f t="shared" si="7"/>
        <v>2018/10/09&amp;23:59:59</v>
      </c>
      <c r="N228" s="3">
        <v>1</v>
      </c>
      <c r="O228" s="3">
        <v>1</v>
      </c>
      <c r="P228" s="3">
        <v>0</v>
      </c>
      <c r="Q228" s="5">
        <f>VLOOKUP(表1_3[[#This Row],[名称]],[1]!表1[#Data],18,FALSE)*10</f>
        <v>3.5999999999999996</v>
      </c>
      <c r="R228" s="3" t="s">
        <v>39</v>
      </c>
      <c r="S228" s="15" t="s">
        <v>63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BF182B1B-6BCE-43F6-A85A-38E8BBF10AE7}"/>
  </dataValidations>
  <pageMargins left="0.69930555555555596" right="0.69930555555555596" top="0.75" bottom="0.75" header="0.3" footer="0.3"/>
  <pageSetup paperSize="9" orientation="portrait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2018-04-26T06:09:03Z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