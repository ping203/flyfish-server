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3AE72627-96F0-4BE5-A6D8-EECFEB6095D3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6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L5" i="6" l="1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</calcChain>
</file>

<file path=xl/sharedStrings.xml><?xml version="1.0" encoding="utf-8"?>
<sst xmlns="http://schemas.openxmlformats.org/spreadsheetml/2006/main" count="189" uniqueCount="183">
  <si>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</si>
  <si>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</si>
  <si>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</si>
  <si>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</si>
  <si>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</si>
  <si>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</si>
  <si>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</si>
  <si>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</si>
  <si>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</si>
  <si>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</si>
  <si>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</si>
  <si>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</si>
  <si>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  <phoneticPr fontId="3" type="noConversion"/>
  </si>
  <si>
    <t>图片</t>
    <phoneticPr fontId="3" type="noConversion"/>
  </si>
  <si>
    <t>pic</t>
    <phoneticPr fontId="3" type="noConversion"/>
  </si>
  <si>
    <t>int</t>
    <phoneticPr fontId="3" type="noConversion"/>
  </si>
  <si>
    <t>protime</t>
    <phoneticPr fontId="3" type="noConversion"/>
  </si>
  <si>
    <t>产出间隔</t>
    <phoneticPr fontId="3" type="noConversion"/>
  </si>
  <si>
    <t>chip</t>
    <phoneticPr fontId="3" type="noConversion"/>
  </si>
  <si>
    <t>probase</t>
    <phoneticPr fontId="3" type="noConversion"/>
  </si>
  <si>
    <t>string</t>
    <phoneticPr fontId="3" type="noConversion"/>
  </si>
  <si>
    <t>对应碎片ID</t>
    <phoneticPr fontId="3" type="noConversion"/>
  </si>
  <si>
    <t>name</t>
    <phoneticPr fontId="3" type="noConversion"/>
  </si>
  <si>
    <t>description</t>
    <phoneticPr fontId="3" type="noConversion"/>
  </si>
  <si>
    <t>名称</t>
    <phoneticPr fontId="3" type="noConversion"/>
  </si>
  <si>
    <t>描述</t>
    <phoneticPr fontId="3" type="noConversion"/>
  </si>
  <si>
    <t>阵营</t>
    <phoneticPr fontId="3" type="noConversion"/>
  </si>
  <si>
    <r>
      <t>宝箱I</t>
    </r>
    <r>
      <rPr>
        <sz val="11"/>
        <color indexed="8"/>
        <rFont val="宋体"/>
        <family val="3"/>
        <charset val="134"/>
      </rPr>
      <t>D</t>
    </r>
    <phoneticPr fontId="3" type="noConversion"/>
  </si>
  <si>
    <t>int</t>
    <phoneticPr fontId="3" type="noConversion"/>
  </si>
  <si>
    <t>treasureid</t>
    <phoneticPr fontId="3" type="noConversion"/>
  </si>
  <si>
    <t>缩放大小</t>
    <phoneticPr fontId="3" type="noConversion"/>
  </si>
  <si>
    <t>scale</t>
    <phoneticPr fontId="3" type="noConversion"/>
  </si>
  <si>
    <t>对应fish</t>
    <phoneticPr fontId="3" type="noConversion"/>
  </si>
  <si>
    <t>fishid</t>
    <phoneticPr fontId="3" type="noConversion"/>
  </si>
  <si>
    <t>string</t>
    <phoneticPr fontId="3" type="noConversion"/>
  </si>
  <si>
    <t>shuijingyumove_01</t>
  </si>
  <si>
    <t>dabaishamove_01</t>
  </si>
  <si>
    <t>xiaochouyumove_01</t>
  </si>
  <si>
    <t>hujingmove_01</t>
  </si>
  <si>
    <t>hetunmove_01</t>
  </si>
  <si>
    <t>jiaodiemove_01</t>
  </si>
  <si>
    <t>moguiyumove_01</t>
  </si>
  <si>
    <t>chuitoushamove_01</t>
  </si>
  <si>
    <t>caomeiyumove_01</t>
  </si>
  <si>
    <t>shuimumove_01</t>
  </si>
  <si>
    <t>haiguimove_01</t>
  </si>
  <si>
    <t>lanbaoshiyumove_01</t>
  </si>
  <si>
    <t>duanhuibiyumove_01</t>
  </si>
  <si>
    <t>baofangfumove_01</t>
  </si>
  <si>
    <t>jinqiangyumove_01</t>
  </si>
  <si>
    <t>yinlongyumove_01</t>
  </si>
  <si>
    <t>haitunmove_01</t>
  </si>
  <si>
    <t>jinsehaiguimove_01</t>
  </si>
  <si>
    <t>bossbaozhayumove_01</t>
  </si>
  <si>
    <t>mingyunyu03</t>
  </si>
  <si>
    <t>lansedinianyumove_01</t>
  </si>
  <si>
    <t>pipashuyumove_01</t>
  </si>
  <si>
    <t>diaoyumove_01</t>
  </si>
  <si>
    <t>cheqiyumove_01</t>
  </si>
  <si>
    <t>jianyumove_01</t>
  </si>
  <si>
    <t>fish_name_sjy</t>
  </si>
  <si>
    <t>fish_name_dbs</t>
  </si>
  <si>
    <t>fish_name_hj</t>
  </si>
  <si>
    <t>fish_name_cts</t>
  </si>
  <si>
    <t>fish_name_cmy</t>
  </si>
  <si>
    <t>fish_name_sm</t>
  </si>
  <si>
    <t>fish_name_hg</t>
  </si>
  <si>
    <t>fish_name_jqy</t>
  </si>
  <si>
    <t>fish_name_dm</t>
  </si>
  <si>
    <t>fish_name_ht</t>
  </si>
  <si>
    <t>fish_name_jjhg</t>
  </si>
  <si>
    <t>fish_name_dly</t>
  </si>
  <si>
    <t>fish_name_mry</t>
  </si>
  <si>
    <t>fish_name_ppsy</t>
  </si>
  <si>
    <t>fish_name_dy</t>
  </si>
  <si>
    <t>fish_name_cqy</t>
  </si>
  <si>
    <t>fish_name_jy</t>
  </si>
  <si>
    <t>fish_desc_sjy</t>
  </si>
  <si>
    <t>fish_desc_dbs</t>
  </si>
  <si>
    <t>fish_desc_hj</t>
  </si>
  <si>
    <t>fish_desc_cts</t>
  </si>
  <si>
    <t>fish_desc_cmy</t>
  </si>
  <si>
    <t>fish_desc_sm</t>
  </si>
  <si>
    <t>fish_desc_hg</t>
  </si>
  <si>
    <t>fish_desc_jqy</t>
  </si>
  <si>
    <t>fish_desc_dm</t>
  </si>
  <si>
    <t>fish_desc_ht</t>
  </si>
  <si>
    <t>fish_desc_jjhg</t>
  </si>
  <si>
    <t>fish_desc_dly</t>
  </si>
  <si>
    <t>fish_desc_mry</t>
  </si>
  <si>
    <t>fish_desc_ppsy</t>
  </si>
  <si>
    <t>fish_desc_dy</t>
  </si>
  <si>
    <t>fish_desc_cqy</t>
  </si>
  <si>
    <t>fish_desc_jy</t>
  </si>
  <si>
    <t>camp</t>
    <phoneticPr fontId="3" type="noConversion"/>
  </si>
  <si>
    <t>i603</t>
  </si>
  <si>
    <t>i604</t>
  </si>
  <si>
    <t>i605</t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</si>
  <si>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</si>
  <si>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</si>
  <si>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</si>
  <si>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</si>
  <si>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</si>
  <si>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</si>
  <si>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</si>
  <si>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</si>
  <si>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</si>
  <si>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</si>
  <si>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</si>
  <si>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i620</t>
  </si>
  <si>
    <t>i621</t>
  </si>
  <si>
    <t>i622</t>
  </si>
  <si>
    <t>i623</t>
  </si>
  <si>
    <t>i624</t>
  </si>
  <si>
    <t>i626</t>
  </si>
  <si>
    <t>i632</t>
  </si>
  <si>
    <t>i639</t>
  </si>
  <si>
    <t>bosszhangyumove_01</t>
  </si>
  <si>
    <t>i601</t>
    <phoneticPr fontId="6" type="noConversion"/>
  </si>
  <si>
    <t>i602</t>
    <phoneticPr fontId="6" type="noConversion"/>
  </si>
  <si>
    <t>i649</t>
    <phoneticPr fontId="3" type="noConversion"/>
  </si>
  <si>
    <t>fish_name_zy</t>
  </si>
  <si>
    <t>fish_desc_zy</t>
  </si>
  <si>
    <t>基础产出次数</t>
    <phoneticPr fontId="3" type="noConversion"/>
  </si>
  <si>
    <t>i607</t>
    <phoneticPr fontId="3" type="noConversion"/>
  </si>
  <si>
    <t>string</t>
    <phoneticPr fontId="3" type="noConversion"/>
  </si>
  <si>
    <t>unexport</t>
  </si>
  <si>
    <t>名称2</t>
  </si>
  <si>
    <t>shuijingyu_10</t>
  </si>
  <si>
    <t>dabaisha_10</t>
  </si>
  <si>
    <t>xiaochouyu_huang_10</t>
  </si>
  <si>
    <t>jiaodie_huang_10</t>
  </si>
  <si>
    <t>moguiyu_lan_10</t>
  </si>
  <si>
    <t>shuimu_10</t>
  </si>
  <si>
    <t>haigui_10</t>
  </si>
  <si>
    <t>baoshiyu_lan_10</t>
  </si>
  <si>
    <t>duanhuibiyu_huang_10</t>
  </si>
  <si>
    <t>jinqiangyu_10</t>
  </si>
  <si>
    <t>haitun_10</t>
  </si>
  <si>
    <t>denglongyu_boss_10</t>
  </si>
  <si>
    <t>jianyu_10</t>
  </si>
  <si>
    <t>hetun_huang_10</t>
  </si>
  <si>
    <t>chuitousha_10</t>
  </si>
  <si>
    <t>caomeiyu_10</t>
  </si>
  <si>
    <t>baofangfu_lan_10</t>
  </si>
  <si>
    <t>dianman_10</t>
  </si>
  <si>
    <t>haigui_jj_10</t>
  </si>
  <si>
    <t>meirenyu_boss_10</t>
  </si>
  <si>
    <t>diaoyu_10</t>
  </si>
  <si>
    <t>hujing_10</t>
  </si>
  <si>
    <t>pipashuyu_10</t>
  </si>
  <si>
    <t>cheqiyu_10</t>
  </si>
  <si>
    <t>zhangyu_boss_10</t>
  </si>
  <si>
    <t>dinianyu_lan_10</t>
  </si>
  <si>
    <t>haima_boss_10</t>
  </si>
  <si>
    <t>fish_name_hm</t>
  </si>
  <si>
    <t>fish_desc_hm</t>
  </si>
  <si>
    <t>i657</t>
    <phoneticPr fontId="3" type="noConversion"/>
  </si>
  <si>
    <t>bosshaimamove_01</t>
  </si>
  <si>
    <t>longgui_boss_10</t>
  </si>
  <si>
    <t>fish_name_lg</t>
  </si>
  <si>
    <t>fish_desc_lg</t>
  </si>
  <si>
    <t>i651</t>
    <phoneticPr fontId="3" type="noConversion"/>
  </si>
  <si>
    <t>bosssjlgmove_01</t>
  </si>
  <si>
    <t>fish_name_xcy</t>
    <phoneticPr fontId="3" type="noConversion"/>
  </si>
  <si>
    <t>fish_name_mgy</t>
    <phoneticPr fontId="3" type="noConversion"/>
  </si>
  <si>
    <t>fish_name_bsy</t>
    <phoneticPr fontId="3" type="noConversion"/>
  </si>
  <si>
    <t>fish_name_bff</t>
    <phoneticPr fontId="3" type="noConversion"/>
  </si>
  <si>
    <t>fish_name_dhby</t>
    <phoneticPr fontId="3" type="noConversion"/>
  </si>
  <si>
    <t>fish_name_dny</t>
    <phoneticPr fontId="3" type="noConversion"/>
  </si>
  <si>
    <t>fish_desc_xcy</t>
    <phoneticPr fontId="3" type="noConversion"/>
  </si>
  <si>
    <t>fish_name_jd</t>
    <phoneticPr fontId="3" type="noConversion"/>
  </si>
  <si>
    <t>fish_desc_jd</t>
    <phoneticPr fontId="3" type="noConversion"/>
  </si>
  <si>
    <t>fish_desc_mgy</t>
    <phoneticPr fontId="3" type="noConversion"/>
  </si>
  <si>
    <t>fish_desc_bsy</t>
    <phoneticPr fontId="3" type="noConversion"/>
  </si>
  <si>
    <t>fish_desc_dhby</t>
    <phoneticPr fontId="3" type="noConversion"/>
  </si>
  <si>
    <t>fish_desc_bff</t>
    <phoneticPr fontId="3" type="noConversion"/>
  </si>
  <si>
    <t>fish_desc_dny</t>
    <phoneticPr fontId="3" type="noConversion"/>
  </si>
  <si>
    <t>fish_name_het</t>
    <phoneticPr fontId="3" type="noConversion"/>
  </si>
  <si>
    <t>fish_desc_het</t>
    <phoneticPr fontId="3" type="noConversion"/>
  </si>
  <si>
    <t>float</t>
    <phoneticPr fontId="3" type="noConversion"/>
  </si>
  <si>
    <t>ALL</t>
    <phoneticPr fontId="6" type="noConversion"/>
  </si>
  <si>
    <t>int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</si>
</sst>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1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0" borderId="0" xfId="0" applyFont="1" applyAlignment="1"/>
    <xf numFmtId="0" fontId="4" fillId="0" borderId="0" xfId="0" applyFont="1" applyAlignment="1"/>
    <xf numFmtId="0" fontId="2" fillId="0" borderId="0" xfId="0" applyNumberFormat="1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EDFC7A2D-5A20-4BFA-A574-08313F1D9F3E}"/>
  </cellStyles>
  <dxfs count="6"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931F76B3-60B1-4B15-83F4-77E12B92E245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3_2" displayName="表3_2" ref="A4:L32" totalsRowShown="0" headerRowDxfId="5" tableBorderDxfId="4">
  <autoFilter ref="A4:L32" xr:uid="{00000000-0009-0000-0100-000001000000}"/>
  <tableColumns count="12">
    <tableColumn id="1" xr3:uid="{00000000-0010-0000-0000-000001000000}" name="id"/>
    <tableColumn id="2" xr3:uid="{00000000-0010-0000-0000-000002000000}" name="图片"/>
    <tableColumn id="3" xr3:uid="{00000000-0010-0000-0000-000003000000}" name="阵营"/>
    <tableColumn id="11" xr3:uid="{00000000-0010-0000-0000-00000B000000}" name="对应fish"/>
    <tableColumn id="10" xr3:uid="{00000000-0010-0000-0000-00000A000000}" name="缩放大小"/>
    <tableColumn id="4" xr3:uid="{00000000-0010-0000-0000-000004000000}" name="产出间隔"/>
    <tableColumn id="5" xr3:uid="{00000000-0010-0000-0000-000005000000}" name="基础产出次数"/>
    <tableColumn id="6" xr3:uid="{00000000-0010-0000-0000-000006000000}" name="对应碎片ID" dataDxfId="3"/>
    <tableColumn id="7" xr3:uid="{00000000-0010-0000-0000-000007000000}" name="名称" dataDxfId="2"/>
    <tableColumn id="8" xr3:uid="{00000000-0010-0000-0000-000008000000}" name="描述" dataDxfId="1"/>
    <tableColumn id="9" xr3:uid="{00000000-0010-0000-0000-000009000000}" name="宝箱ID"/>
    <tableColumn id="12" xr3:uid="{00000000-0010-0000-0000-00000C000000}" name="名称2" dataDxfId="0">
      <calculatedColumnFormula>VLOOKUP(表3_2[[#This Row],[名称]],[1]!表1_8[#Data],2,FALSE)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0" t="s">
        <v>8</v>
      </c>
      <c r="B6" s="11"/>
    </row>
    <row r="7" spans="1:2" x14ac:dyDescent="0.15">
      <c r="A7" s="11"/>
      <c r="B7" s="11"/>
    </row>
    <row r="8" spans="1:2" x14ac:dyDescent="0.15">
      <c r="A8" s="11"/>
      <c r="B8" s="11"/>
    </row>
    <row r="9" spans="1:2" x14ac:dyDescent="0.15">
      <c r="A9" s="11"/>
      <c r="B9" s="11"/>
    </row>
    <row r="10" spans="1:2" x14ac:dyDescent="0.15">
      <c r="A10" s="11"/>
      <c r="B10" s="11"/>
    </row>
    <row r="11" spans="1:2" x14ac:dyDescent="0.15">
      <c r="A11" s="11"/>
      <c r="B11" s="11"/>
    </row>
    <row r="12" spans="1:2" x14ac:dyDescent="0.15">
      <c r="A12" s="11"/>
      <c r="B12" s="11"/>
    </row>
    <row r="13" spans="1:2" x14ac:dyDescent="0.15">
      <c r="A13" s="11"/>
      <c r="B13" s="11"/>
    </row>
    <row r="14" spans="1:2" x14ac:dyDescent="0.15">
      <c r="A14" s="11"/>
      <c r="B14" s="11"/>
    </row>
    <row r="15" spans="1:2" x14ac:dyDescent="0.15">
      <c r="A15" s="11"/>
      <c r="B15" s="11"/>
    </row>
    <row r="16" spans="1:2" ht="13.15" customHeight="1" x14ac:dyDescent="0.15">
      <c r="A16" s="11"/>
      <c r="B16" s="11"/>
    </row>
    <row r="17" spans="1:2" ht="4.1500000000000004" customHeight="1" x14ac:dyDescent="0.15">
      <c r="A17" s="11"/>
      <c r="B17" s="11"/>
    </row>
    <row r="18" spans="1:2" hidden="1" x14ac:dyDescent="0.15">
      <c r="A18" s="11"/>
      <c r="B18" s="11"/>
    </row>
    <row r="19" spans="1:2" hidden="1" x14ac:dyDescent="0.15">
      <c r="A19" s="11"/>
      <c r="B19" s="11"/>
    </row>
    <row r="20" spans="1:2" hidden="1" x14ac:dyDescent="0.15">
      <c r="A20" s="11"/>
      <c r="B20" s="11"/>
    </row>
    <row r="21" spans="1:2" ht="22.9" customHeight="1" x14ac:dyDescent="0.15">
      <c r="A21" s="11"/>
      <c r="B21" s="11"/>
    </row>
    <row r="22" spans="1:2" ht="45" customHeight="1" x14ac:dyDescent="0.15">
      <c r="A22" s="11"/>
      <c r="B22" s="11"/>
    </row>
    <row r="23" spans="1:2" ht="51" hidden="1" customHeight="1" x14ac:dyDescent="0.15">
      <c r="A23" s="11"/>
      <c r="B23" s="11"/>
    </row>
    <row r="24" spans="1:2" x14ac:dyDescent="0.15">
      <c r="A24" s="9" t="s">
        <v>9</v>
      </c>
      <c r="B24" s="9"/>
    </row>
    <row r="25" spans="1:2" x14ac:dyDescent="0.15">
      <c r="A25" s="9" t="s">
        <v>10</v>
      </c>
      <c r="B25" s="9"/>
    </row>
    <row r="26" spans="1:2" x14ac:dyDescent="0.15">
      <c r="A26" s="9" t="s">
        <v>11</v>
      </c>
      <c r="B26" s="9"/>
    </row>
    <row r="27" spans="1:2" x14ac:dyDescent="0.15">
      <c r="A27" s="9"/>
      <c r="B27" s="9"/>
    </row>
    <row r="28" spans="1:2" x14ac:dyDescent="0.15">
      <c r="A28" s="9"/>
      <c r="B28" s="9"/>
    </row>
    <row r="29" spans="1:2" x14ac:dyDescent="0.15">
      <c r="A29" s="9"/>
      <c r="B29" s="9"/>
    </row>
    <row r="30" spans="1:2" x14ac:dyDescent="0.15">
      <c r="A30" s="9"/>
      <c r="B30" s="9"/>
    </row>
    <row r="31" spans="1:2" x14ac:dyDescent="0.15">
      <c r="A31" s="9"/>
      <c r="B31" s="9"/>
    </row>
    <row r="32" spans="1:2" x14ac:dyDescent="0.15">
      <c r="A32" s="9"/>
      <c r="B32" s="9"/>
    </row>
    <row r="33" spans="1:2" x14ac:dyDescent="0.15">
      <c r="A33" s="9"/>
      <c r="B33" s="9"/>
    </row>
    <row r="34" spans="1:2" x14ac:dyDescent="0.15">
      <c r="A34" s="9"/>
      <c r="B34" s="9"/>
    </row>
    <row r="35" spans="1:2" x14ac:dyDescent="0.15">
      <c r="A35" s="9"/>
      <c r="B35" s="9"/>
    </row>
    <row r="36" spans="1:2" x14ac:dyDescent="0.15">
      <c r="A36" s="9"/>
      <c r="B36" s="9"/>
    </row>
    <row r="37" spans="1:2" x14ac:dyDescent="0.15">
      <c r="A37" s="9"/>
      <c r="B37" s="9"/>
    </row>
    <row r="38" spans="1:2" x14ac:dyDescent="0.15">
      <c r="A38" s="9"/>
      <c r="B38" s="9"/>
    </row>
    <row r="39" spans="1:2" x14ac:dyDescent="0.15">
      <c r="A39" s="9"/>
      <c r="B39" s="9"/>
    </row>
    <row r="40" spans="1:2" x14ac:dyDescent="0.15">
      <c r="A40" s="9"/>
      <c r="B40" s="9"/>
    </row>
    <row r="41" spans="1:2" x14ac:dyDescent="0.15">
      <c r="A41" s="9"/>
      <c r="B41" s="9"/>
    </row>
    <row r="42" spans="1:2" x14ac:dyDescent="0.15">
      <c r="A42" s="9"/>
      <c r="B42" s="9"/>
    </row>
    <row r="43" spans="1:2" x14ac:dyDescent="0.15">
      <c r="A43" s="9"/>
      <c r="B43" s="9"/>
    </row>
    <row r="44" spans="1:2" x14ac:dyDescent="0.15">
      <c r="A44" s="9"/>
      <c r="B44" s="9"/>
    </row>
    <row r="45" spans="1:2" x14ac:dyDescent="0.15">
      <c r="A45" s="9"/>
      <c r="B45" s="9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2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B7" sqref="B7"/>
    </sheetView>
  </sheetViews>
  <sheetFormatPr defaultRowHeight="13.5" x14ac:dyDescent="0.15"/>
  <cols>
    <col min="1" max="1" width="9" customWidth="1"/>
    <col min="2" max="2" width="25" bestFit="1" customWidth="1"/>
    <col min="3" max="3" width="10.5" customWidth="1"/>
    <col min="4" max="4" width="21.625" bestFit="1" customWidth="1"/>
    <col min="5" max="6" width="10.5" customWidth="1"/>
    <col min="7" max="7" width="14.25" bestFit="1" customWidth="1"/>
    <col min="8" max="8" width="12.5" bestFit="1" customWidth="1"/>
    <col min="9" max="10" width="15.125" bestFit="1" customWidth="1"/>
    <col min="11" max="11" width="11.125" bestFit="1" customWidth="1"/>
    <col min="12" max="12" width="11.375" bestFit="1" customWidth="1"/>
  </cols>
  <sheetData>
    <row r="1" spans="1:27" s="13" customFormat="1" ht="12" customHeight="1" x14ac:dyDescent="0.15">
      <c r="A1" s="12"/>
      <c r="B1" s="13" t="s">
        <v>181</v>
      </c>
      <c r="C1" s="12"/>
      <c r="X1" s="14"/>
    </row>
    <row r="2" spans="1:27" s="17" customFormat="1" ht="12" customHeight="1" x14ac:dyDescent="0.15">
      <c r="A2" s="15" t="s">
        <v>12</v>
      </c>
      <c r="B2" s="16" t="s">
        <v>14</v>
      </c>
      <c r="C2" s="16" t="s">
        <v>94</v>
      </c>
      <c r="D2" s="16" t="s">
        <v>33</v>
      </c>
      <c r="E2" s="16" t="s">
        <v>31</v>
      </c>
      <c r="F2" s="16" t="s">
        <v>16</v>
      </c>
      <c r="G2" s="16" t="s">
        <v>19</v>
      </c>
      <c r="H2" s="16" t="s">
        <v>18</v>
      </c>
      <c r="I2" s="16" t="s">
        <v>22</v>
      </c>
      <c r="J2" s="16" t="s">
        <v>23</v>
      </c>
      <c r="K2" s="16" t="s">
        <v>29</v>
      </c>
      <c r="L2" s="16" t="s">
        <v>126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182</v>
      </c>
      <c r="B3" s="19" t="s">
        <v>20</v>
      </c>
      <c r="C3" s="19" t="s">
        <v>15</v>
      </c>
      <c r="D3" s="19" t="s">
        <v>34</v>
      </c>
      <c r="E3" s="19" t="s">
        <v>180</v>
      </c>
      <c r="F3" s="19" t="s">
        <v>15</v>
      </c>
      <c r="G3" s="19" t="s">
        <v>15</v>
      </c>
      <c r="H3" s="19" t="s">
        <v>125</v>
      </c>
      <c r="I3" s="19" t="s">
        <v>20</v>
      </c>
      <c r="J3" s="19" t="s">
        <v>20</v>
      </c>
      <c r="K3" s="19" t="s">
        <v>28</v>
      </c>
      <c r="L3" s="19" t="s">
        <v>126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15">
      <c r="A4" s="3" t="s">
        <v>12</v>
      </c>
      <c r="B4" s="3" t="s">
        <v>13</v>
      </c>
      <c r="C4" s="3" t="s">
        <v>26</v>
      </c>
      <c r="D4" s="3" t="s">
        <v>32</v>
      </c>
      <c r="E4" s="3" t="s">
        <v>30</v>
      </c>
      <c r="F4" s="3" t="s">
        <v>17</v>
      </c>
      <c r="G4" s="3" t="s">
        <v>123</v>
      </c>
      <c r="H4" s="3" t="s">
        <v>21</v>
      </c>
      <c r="I4" s="3" t="s">
        <v>24</v>
      </c>
      <c r="J4" s="3" t="s">
        <v>25</v>
      </c>
      <c r="K4" s="3" t="s">
        <v>27</v>
      </c>
      <c r="L4" t="s">
        <v>127</v>
      </c>
    </row>
    <row r="5" spans="1:27" x14ac:dyDescent="0.15">
      <c r="A5">
        <v>1</v>
      </c>
      <c r="B5" t="s">
        <v>35</v>
      </c>
      <c r="C5">
        <v>1</v>
      </c>
      <c r="D5" t="s">
        <v>128</v>
      </c>
      <c r="E5">
        <v>1.1000000000000001</v>
      </c>
      <c r="F5">
        <v>1800</v>
      </c>
      <c r="G5">
        <v>1</v>
      </c>
      <c r="H5" s="6" t="s">
        <v>118</v>
      </c>
      <c r="I5" s="3" t="s">
        <v>60</v>
      </c>
      <c r="J5" s="3" t="s">
        <v>77</v>
      </c>
      <c r="K5">
        <v>101</v>
      </c>
      <c r="L5" s="3" t="str">
        <f>VLOOKUP(表3_2[[#This Row],[名称]],[1]!表1_8[#Data],2,FALSE)</f>
        <v>水晶鱼</v>
      </c>
    </row>
    <row r="6" spans="1:27" x14ac:dyDescent="0.15">
      <c r="A6">
        <v>2</v>
      </c>
      <c r="B6" t="s">
        <v>36</v>
      </c>
      <c r="C6">
        <v>4</v>
      </c>
      <c r="D6" t="s">
        <v>129</v>
      </c>
      <c r="E6">
        <v>0.5</v>
      </c>
      <c r="F6">
        <v>21600</v>
      </c>
      <c r="G6">
        <v>1</v>
      </c>
      <c r="H6" s="6" t="s">
        <v>119</v>
      </c>
      <c r="I6" s="3" t="s">
        <v>61</v>
      </c>
      <c r="J6" s="3" t="s">
        <v>78</v>
      </c>
      <c r="K6">
        <v>105</v>
      </c>
      <c r="L6" s="3" t="str">
        <f>VLOOKUP(表3_2[[#This Row],[名称]],[1]!表1_8[#Data],2,FALSE)</f>
        <v>大白鲨</v>
      </c>
    </row>
    <row r="7" spans="1:27" x14ac:dyDescent="0.15">
      <c r="A7">
        <v>3</v>
      </c>
      <c r="B7" t="s">
        <v>37</v>
      </c>
      <c r="C7">
        <v>1</v>
      </c>
      <c r="D7" t="s">
        <v>130</v>
      </c>
      <c r="E7">
        <v>1.3</v>
      </c>
      <c r="F7">
        <v>1800</v>
      </c>
      <c r="G7">
        <v>1</v>
      </c>
      <c r="H7" s="6" t="s">
        <v>95</v>
      </c>
      <c r="I7" s="3" t="s">
        <v>164</v>
      </c>
      <c r="J7" s="3" t="s">
        <v>170</v>
      </c>
      <c r="K7">
        <v>101</v>
      </c>
      <c r="L7" s="3" t="str">
        <f>VLOOKUP(表3_2[[#This Row],[名称]],[1]!表1_8[#Data],2,FALSE)</f>
        <v>小丑鱼</v>
      </c>
    </row>
    <row r="8" spans="1:27" x14ac:dyDescent="0.15">
      <c r="A8">
        <v>4</v>
      </c>
      <c r="B8" t="s">
        <v>38</v>
      </c>
      <c r="C8">
        <v>4</v>
      </c>
      <c r="D8" t="s">
        <v>149</v>
      </c>
      <c r="E8">
        <v>0.4</v>
      </c>
      <c r="F8">
        <v>21600</v>
      </c>
      <c r="G8">
        <v>1</v>
      </c>
      <c r="H8" s="6" t="s">
        <v>96</v>
      </c>
      <c r="I8" s="3" t="s">
        <v>62</v>
      </c>
      <c r="J8" s="3" t="s">
        <v>79</v>
      </c>
      <c r="K8">
        <v>105</v>
      </c>
      <c r="L8" s="3" t="str">
        <f>VLOOKUP(表3_2[[#This Row],[名称]],[1]!表1_8[#Data],2,FALSE)</f>
        <v>虎鲸</v>
      </c>
    </row>
    <row r="9" spans="1:27" x14ac:dyDescent="0.15">
      <c r="A9">
        <v>5</v>
      </c>
      <c r="B9" t="s">
        <v>39</v>
      </c>
      <c r="C9">
        <v>2</v>
      </c>
      <c r="D9" t="s">
        <v>141</v>
      </c>
      <c r="E9">
        <v>1.3</v>
      </c>
      <c r="F9">
        <v>3600</v>
      </c>
      <c r="G9">
        <v>1</v>
      </c>
      <c r="H9" s="6" t="s">
        <v>97</v>
      </c>
      <c r="I9" s="3" t="s">
        <v>178</v>
      </c>
      <c r="J9" s="3" t="s">
        <v>179</v>
      </c>
      <c r="K9">
        <v>102</v>
      </c>
      <c r="L9" s="3" t="str">
        <f>VLOOKUP(表3_2[[#This Row],[名称]],[1]!表1_8[#Data],2,FALSE)</f>
        <v>河豚</v>
      </c>
    </row>
    <row r="10" spans="1:27" x14ac:dyDescent="0.15">
      <c r="A10">
        <v>7</v>
      </c>
      <c r="B10" t="s">
        <v>40</v>
      </c>
      <c r="C10">
        <v>2</v>
      </c>
      <c r="D10" t="s">
        <v>131</v>
      </c>
      <c r="E10">
        <v>1.3</v>
      </c>
      <c r="F10">
        <v>3600</v>
      </c>
      <c r="G10">
        <v>1</v>
      </c>
      <c r="H10" s="6" t="s">
        <v>124</v>
      </c>
      <c r="I10" s="3" t="s">
        <v>171</v>
      </c>
      <c r="J10" s="3" t="s">
        <v>172</v>
      </c>
      <c r="K10">
        <v>102</v>
      </c>
      <c r="L10" s="3" t="str">
        <f>VLOOKUP(表3_2[[#This Row],[名称]],[1]!表1_8[#Data],2,FALSE)</f>
        <v>角碟</v>
      </c>
    </row>
    <row r="11" spans="1:27" x14ac:dyDescent="0.15">
      <c r="A11">
        <v>8</v>
      </c>
      <c r="B11" t="s">
        <v>41</v>
      </c>
      <c r="C11">
        <v>4</v>
      </c>
      <c r="D11" t="s">
        <v>132</v>
      </c>
      <c r="E11">
        <v>0.5</v>
      </c>
      <c r="F11">
        <v>21600</v>
      </c>
      <c r="G11">
        <v>1</v>
      </c>
      <c r="H11" s="6" t="s">
        <v>98</v>
      </c>
      <c r="I11" s="3" t="s">
        <v>165</v>
      </c>
      <c r="J11" s="3" t="s">
        <v>173</v>
      </c>
      <c r="K11">
        <v>105</v>
      </c>
      <c r="L11" s="3" t="str">
        <f>VLOOKUP(表3_2[[#This Row],[名称]],[1]!表1_8[#Data],2,FALSE)</f>
        <v>魔鬼鱼</v>
      </c>
    </row>
    <row r="12" spans="1:27" x14ac:dyDescent="0.15">
      <c r="A12">
        <v>9</v>
      </c>
      <c r="B12" t="s">
        <v>42</v>
      </c>
      <c r="C12">
        <v>4</v>
      </c>
      <c r="D12" t="s">
        <v>142</v>
      </c>
      <c r="E12">
        <v>0.4</v>
      </c>
      <c r="F12">
        <v>21600</v>
      </c>
      <c r="G12">
        <v>1</v>
      </c>
      <c r="H12" s="6" t="s">
        <v>99</v>
      </c>
      <c r="I12" s="3" t="s">
        <v>63</v>
      </c>
      <c r="J12" s="3" t="s">
        <v>80</v>
      </c>
      <c r="K12">
        <v>105</v>
      </c>
      <c r="L12" s="3" t="str">
        <f>VLOOKUP(表3_2[[#This Row],[名称]],[1]!表1_8[#Data],2,FALSE)</f>
        <v>锤头鲨</v>
      </c>
    </row>
    <row r="13" spans="1:27" x14ac:dyDescent="0.15">
      <c r="A13">
        <v>10</v>
      </c>
      <c r="B13" t="s">
        <v>43</v>
      </c>
      <c r="C13">
        <v>1</v>
      </c>
      <c r="D13" t="s">
        <v>143</v>
      </c>
      <c r="E13">
        <v>2</v>
      </c>
      <c r="F13">
        <v>1800</v>
      </c>
      <c r="G13">
        <v>1</v>
      </c>
      <c r="H13" s="6" t="s">
        <v>100</v>
      </c>
      <c r="I13" s="3" t="s">
        <v>64</v>
      </c>
      <c r="J13" s="3" t="s">
        <v>81</v>
      </c>
      <c r="K13">
        <v>101</v>
      </c>
      <c r="L13" s="3" t="str">
        <f>VLOOKUP(表3_2[[#This Row],[名称]],[1]!表1_8[#Data],2,FALSE)</f>
        <v>草莓鱼</v>
      </c>
    </row>
    <row r="14" spans="1:27" x14ac:dyDescent="0.15">
      <c r="A14">
        <v>11</v>
      </c>
      <c r="B14" t="s">
        <v>44</v>
      </c>
      <c r="C14">
        <v>4</v>
      </c>
      <c r="D14" t="s">
        <v>133</v>
      </c>
      <c r="E14">
        <v>0.8</v>
      </c>
      <c r="F14">
        <v>10800</v>
      </c>
      <c r="G14">
        <v>1</v>
      </c>
      <c r="H14" s="6" t="s">
        <v>101</v>
      </c>
      <c r="I14" s="3" t="s">
        <v>65</v>
      </c>
      <c r="J14" s="3" t="s">
        <v>82</v>
      </c>
      <c r="K14">
        <v>104</v>
      </c>
      <c r="L14" s="3" t="str">
        <f>VLOOKUP(表3_2[[#This Row],[名称]],[1]!表1_8[#Data],2,FALSE)</f>
        <v>水母</v>
      </c>
    </row>
    <row r="15" spans="1:27" x14ac:dyDescent="0.15">
      <c r="A15">
        <v>12</v>
      </c>
      <c r="B15" t="s">
        <v>45</v>
      </c>
      <c r="C15">
        <v>3</v>
      </c>
      <c r="D15" t="s">
        <v>134</v>
      </c>
      <c r="E15">
        <v>0.9</v>
      </c>
      <c r="F15">
        <v>7200</v>
      </c>
      <c r="G15">
        <v>1</v>
      </c>
      <c r="H15" s="6" t="s">
        <v>102</v>
      </c>
      <c r="I15" s="3" t="s">
        <v>66</v>
      </c>
      <c r="J15" s="3" t="s">
        <v>83</v>
      </c>
      <c r="K15">
        <v>103</v>
      </c>
      <c r="L15" s="3" t="str">
        <f>VLOOKUP(表3_2[[#This Row],[名称]],[1]!表1_8[#Data],2,FALSE)</f>
        <v>海龟</v>
      </c>
    </row>
    <row r="16" spans="1:27" x14ac:dyDescent="0.15">
      <c r="A16">
        <v>13</v>
      </c>
      <c r="B16" t="s">
        <v>46</v>
      </c>
      <c r="C16">
        <v>2</v>
      </c>
      <c r="D16" t="s">
        <v>135</v>
      </c>
      <c r="E16">
        <v>1.1000000000000001</v>
      </c>
      <c r="F16">
        <v>3600</v>
      </c>
      <c r="G16">
        <v>1</v>
      </c>
      <c r="H16" s="6" t="s">
        <v>103</v>
      </c>
      <c r="I16" s="3" t="s">
        <v>166</v>
      </c>
      <c r="J16" s="3" t="s">
        <v>174</v>
      </c>
      <c r="K16">
        <v>102</v>
      </c>
      <c r="L16" s="3" t="str">
        <f>VLOOKUP(表3_2[[#This Row],[名称]],[1]!表1_8[#Data],2,FALSE)</f>
        <v>宝石鱼</v>
      </c>
    </row>
    <row r="17" spans="1:12" x14ac:dyDescent="0.15">
      <c r="A17">
        <v>14</v>
      </c>
      <c r="B17" t="s">
        <v>47</v>
      </c>
      <c r="C17">
        <v>2</v>
      </c>
      <c r="D17" t="s">
        <v>136</v>
      </c>
      <c r="E17">
        <v>1.4</v>
      </c>
      <c r="F17">
        <v>3600</v>
      </c>
      <c r="G17">
        <v>1</v>
      </c>
      <c r="H17" s="6" t="s">
        <v>104</v>
      </c>
      <c r="I17" s="3" t="s">
        <v>168</v>
      </c>
      <c r="J17" s="3" t="s">
        <v>175</v>
      </c>
      <c r="K17">
        <v>102</v>
      </c>
      <c r="L17" s="3" t="str">
        <f>VLOOKUP(表3_2[[#This Row],[名称]],[1]!表1_8[#Data],2,FALSE)</f>
        <v>短喙鼻鱼</v>
      </c>
    </row>
    <row r="18" spans="1:12" x14ac:dyDescent="0.15">
      <c r="A18">
        <v>15</v>
      </c>
      <c r="B18" t="s">
        <v>48</v>
      </c>
      <c r="C18">
        <v>4</v>
      </c>
      <c r="D18" t="s">
        <v>144</v>
      </c>
      <c r="E18">
        <v>0.8</v>
      </c>
      <c r="F18">
        <v>10800</v>
      </c>
      <c r="G18">
        <v>1</v>
      </c>
      <c r="H18" s="6" t="s">
        <v>105</v>
      </c>
      <c r="I18" s="3" t="s">
        <v>167</v>
      </c>
      <c r="J18" s="3" t="s">
        <v>176</v>
      </c>
      <c r="K18">
        <v>104</v>
      </c>
      <c r="L18" s="3" t="str">
        <f>VLOOKUP(表3_2[[#This Row],[名称]],[1]!表1_8[#Data],2,FALSE)</f>
        <v>豹鲂鮄</v>
      </c>
    </row>
    <row r="19" spans="1:12" x14ac:dyDescent="0.15">
      <c r="A19">
        <v>16</v>
      </c>
      <c r="B19" t="s">
        <v>49</v>
      </c>
      <c r="C19">
        <v>1</v>
      </c>
      <c r="D19" t="s">
        <v>137</v>
      </c>
      <c r="E19">
        <v>1.6</v>
      </c>
      <c r="F19">
        <v>1800</v>
      </c>
      <c r="G19">
        <v>1</v>
      </c>
      <c r="H19" s="6" t="s">
        <v>106</v>
      </c>
      <c r="I19" s="3" t="s">
        <v>67</v>
      </c>
      <c r="J19" s="3" t="s">
        <v>84</v>
      </c>
      <c r="K19">
        <v>101</v>
      </c>
      <c r="L19" s="3" t="str">
        <f>VLOOKUP(表3_2[[#This Row],[名称]],[1]!表1_8[#Data],2,FALSE)</f>
        <v>金枪鱼</v>
      </c>
    </row>
    <row r="20" spans="1:12" x14ac:dyDescent="0.15">
      <c r="A20">
        <v>17</v>
      </c>
      <c r="B20" t="s">
        <v>50</v>
      </c>
      <c r="C20">
        <v>2</v>
      </c>
      <c r="D20" t="s">
        <v>145</v>
      </c>
      <c r="E20">
        <v>0.4</v>
      </c>
      <c r="F20">
        <v>3600</v>
      </c>
      <c r="G20">
        <v>1</v>
      </c>
      <c r="H20" s="6" t="s">
        <v>107</v>
      </c>
      <c r="I20" s="3" t="s">
        <v>68</v>
      </c>
      <c r="J20" s="3" t="s">
        <v>85</v>
      </c>
      <c r="K20">
        <v>102</v>
      </c>
      <c r="L20" s="3" t="str">
        <f>VLOOKUP(表3_2[[#This Row],[名称]],[1]!表1_8[#Data],2,FALSE)</f>
        <v>银龙鱼</v>
      </c>
    </row>
    <row r="21" spans="1:12" x14ac:dyDescent="0.15">
      <c r="A21">
        <v>18</v>
      </c>
      <c r="B21" t="s">
        <v>51</v>
      </c>
      <c r="C21">
        <v>4</v>
      </c>
      <c r="D21" t="s">
        <v>138</v>
      </c>
      <c r="E21">
        <v>0.7</v>
      </c>
      <c r="F21">
        <v>10800</v>
      </c>
      <c r="G21">
        <v>1</v>
      </c>
      <c r="H21" s="6" t="s">
        <v>108</v>
      </c>
      <c r="I21" s="3" t="s">
        <v>69</v>
      </c>
      <c r="J21" s="3" t="s">
        <v>86</v>
      </c>
      <c r="K21">
        <v>104</v>
      </c>
      <c r="L21" s="3" t="str">
        <f>VLOOKUP(表3_2[[#This Row],[名称]],[1]!表1_8[#Data],2,FALSE)</f>
        <v>海豚</v>
      </c>
    </row>
    <row r="22" spans="1:12" x14ac:dyDescent="0.15">
      <c r="A22">
        <v>20</v>
      </c>
      <c r="B22" t="s">
        <v>52</v>
      </c>
      <c r="C22">
        <v>4</v>
      </c>
      <c r="D22" t="s">
        <v>146</v>
      </c>
      <c r="E22">
        <v>0.4</v>
      </c>
      <c r="F22">
        <v>21600</v>
      </c>
      <c r="G22">
        <v>1</v>
      </c>
      <c r="H22" s="6" t="s">
        <v>109</v>
      </c>
      <c r="I22" s="3" t="s">
        <v>70</v>
      </c>
      <c r="J22" s="3" t="s">
        <v>87</v>
      </c>
      <c r="K22">
        <v>105</v>
      </c>
      <c r="L22" s="3" t="str">
        <f>VLOOKUP(表3_2[[#This Row],[名称]],[1]!表1_8[#Data],2,FALSE)</f>
        <v>奖金海龟</v>
      </c>
    </row>
    <row r="23" spans="1:12" x14ac:dyDescent="0.15">
      <c r="A23">
        <v>21</v>
      </c>
      <c r="B23" t="s">
        <v>53</v>
      </c>
      <c r="C23">
        <v>4</v>
      </c>
      <c r="D23" t="s">
        <v>139</v>
      </c>
      <c r="E23">
        <v>0.25</v>
      </c>
      <c r="F23">
        <v>43200</v>
      </c>
      <c r="G23">
        <v>1</v>
      </c>
      <c r="H23" s="6" t="s">
        <v>110</v>
      </c>
      <c r="I23" s="3" t="s">
        <v>71</v>
      </c>
      <c r="J23" s="3" t="s">
        <v>88</v>
      </c>
      <c r="K23">
        <v>106</v>
      </c>
      <c r="L23" s="3" t="str">
        <f>VLOOKUP(表3_2[[#This Row],[名称]],[1]!表1_8[#Data],2,FALSE)</f>
        <v>灯笼鱼</v>
      </c>
    </row>
    <row r="24" spans="1:12" x14ac:dyDescent="0.15">
      <c r="A24">
        <v>22</v>
      </c>
      <c r="B24" t="s">
        <v>54</v>
      </c>
      <c r="C24">
        <v>4</v>
      </c>
      <c r="D24" t="s">
        <v>147</v>
      </c>
      <c r="E24">
        <v>0.3</v>
      </c>
      <c r="F24">
        <v>43200</v>
      </c>
      <c r="G24">
        <v>1</v>
      </c>
      <c r="H24" s="6" t="s">
        <v>111</v>
      </c>
      <c r="I24" s="3" t="s">
        <v>72</v>
      </c>
      <c r="J24" s="3" t="s">
        <v>89</v>
      </c>
      <c r="K24">
        <v>106</v>
      </c>
      <c r="L24" s="3" t="str">
        <f>VLOOKUP(表3_2[[#This Row],[名称]],[1]!表1_8[#Data],2,FALSE)</f>
        <v>美人鱼</v>
      </c>
    </row>
    <row r="25" spans="1:12" x14ac:dyDescent="0.15">
      <c r="A25">
        <v>23</v>
      </c>
      <c r="B25" t="s">
        <v>55</v>
      </c>
      <c r="C25">
        <v>3</v>
      </c>
      <c r="D25" t="s">
        <v>153</v>
      </c>
      <c r="E25">
        <v>0.9</v>
      </c>
      <c r="F25">
        <v>7200</v>
      </c>
      <c r="G25">
        <v>1</v>
      </c>
      <c r="H25" s="6" t="s">
        <v>112</v>
      </c>
      <c r="I25" s="3" t="s">
        <v>169</v>
      </c>
      <c r="J25" s="3" t="s">
        <v>177</v>
      </c>
      <c r="K25">
        <v>103</v>
      </c>
      <c r="L25" s="3" t="str">
        <f>VLOOKUP(表3_2[[#This Row],[名称]],[1]!表1_8[#Data],2,FALSE)</f>
        <v>帝鲶鱼</v>
      </c>
    </row>
    <row r="26" spans="1:12" x14ac:dyDescent="0.15">
      <c r="A26">
        <v>24</v>
      </c>
      <c r="B26" t="s">
        <v>56</v>
      </c>
      <c r="C26">
        <v>4</v>
      </c>
      <c r="D26" t="s">
        <v>150</v>
      </c>
      <c r="E26">
        <v>0.7</v>
      </c>
      <c r="F26">
        <v>10800</v>
      </c>
      <c r="G26">
        <v>1</v>
      </c>
      <c r="H26" s="6" t="s">
        <v>113</v>
      </c>
      <c r="I26" s="3" t="s">
        <v>73</v>
      </c>
      <c r="J26" s="3" t="s">
        <v>90</v>
      </c>
      <c r="K26">
        <v>104</v>
      </c>
      <c r="L26" s="3" t="str">
        <f>VLOOKUP(表3_2[[#This Row],[名称]],[1]!表1_8[#Data],2,FALSE)</f>
        <v>枇杷鼠鱼</v>
      </c>
    </row>
    <row r="27" spans="1:12" x14ac:dyDescent="0.15">
      <c r="A27">
        <v>26</v>
      </c>
      <c r="B27" t="s">
        <v>57</v>
      </c>
      <c r="C27">
        <v>3</v>
      </c>
      <c r="D27" t="s">
        <v>148</v>
      </c>
      <c r="E27">
        <v>1</v>
      </c>
      <c r="F27">
        <v>7200</v>
      </c>
      <c r="G27">
        <v>1</v>
      </c>
      <c r="H27" s="6" t="s">
        <v>114</v>
      </c>
      <c r="I27" s="3" t="s">
        <v>74</v>
      </c>
      <c r="J27" s="3" t="s">
        <v>91</v>
      </c>
      <c r="K27">
        <v>103</v>
      </c>
      <c r="L27" s="3" t="str">
        <f>VLOOKUP(表3_2[[#This Row],[名称]],[1]!表1_8[#Data],2,FALSE)</f>
        <v>蓝茉莉鱼</v>
      </c>
    </row>
    <row r="28" spans="1:12" x14ac:dyDescent="0.15">
      <c r="A28">
        <v>32</v>
      </c>
      <c r="B28" t="s">
        <v>58</v>
      </c>
      <c r="C28">
        <v>1</v>
      </c>
      <c r="D28" t="s">
        <v>151</v>
      </c>
      <c r="E28">
        <v>1.3</v>
      </c>
      <c r="F28">
        <v>1800</v>
      </c>
      <c r="G28">
        <v>1</v>
      </c>
      <c r="H28" s="6" t="s">
        <v>115</v>
      </c>
      <c r="I28" s="3" t="s">
        <v>75</v>
      </c>
      <c r="J28" s="3" t="s">
        <v>92</v>
      </c>
      <c r="K28">
        <v>101</v>
      </c>
      <c r="L28" s="3" t="str">
        <f>VLOOKUP(表3_2[[#This Row],[名称]],[1]!表1_8[#Data],2,FALSE)</f>
        <v>斗鱼</v>
      </c>
    </row>
    <row r="29" spans="1:12" x14ac:dyDescent="0.15">
      <c r="A29">
        <v>39</v>
      </c>
      <c r="B29" t="s">
        <v>59</v>
      </c>
      <c r="C29">
        <v>3</v>
      </c>
      <c r="D29" t="s">
        <v>140</v>
      </c>
      <c r="E29">
        <v>1.1000000000000001</v>
      </c>
      <c r="F29">
        <v>7200</v>
      </c>
      <c r="G29">
        <v>1</v>
      </c>
      <c r="H29" s="6" t="s">
        <v>116</v>
      </c>
      <c r="I29" s="3" t="s">
        <v>76</v>
      </c>
      <c r="J29" s="3" t="s">
        <v>93</v>
      </c>
      <c r="K29">
        <v>103</v>
      </c>
      <c r="L29" s="3" t="str">
        <f>VLOOKUP(表3_2[[#This Row],[名称]],[1]!表1_8[#Data],2,FALSE)</f>
        <v>剑鱼</v>
      </c>
    </row>
    <row r="30" spans="1:12" x14ac:dyDescent="0.15">
      <c r="A30">
        <v>49</v>
      </c>
      <c r="B30" t="s">
        <v>117</v>
      </c>
      <c r="C30">
        <v>4</v>
      </c>
      <c r="D30" s="7" t="s">
        <v>152</v>
      </c>
      <c r="E30">
        <v>0.4</v>
      </c>
      <c r="F30">
        <v>43200</v>
      </c>
      <c r="G30">
        <v>1</v>
      </c>
      <c r="H30" s="6" t="s">
        <v>120</v>
      </c>
      <c r="I30" s="3" t="s">
        <v>121</v>
      </c>
      <c r="J30" s="3" t="s">
        <v>122</v>
      </c>
      <c r="K30">
        <v>106</v>
      </c>
      <c r="L30" s="3" t="str">
        <f>VLOOKUP(表3_2[[#This Row],[名称]],[1]!表1_8[#Data],2,FALSE)</f>
        <v>章鱼</v>
      </c>
    </row>
    <row r="31" spans="1:12" x14ac:dyDescent="0.15">
      <c r="A31">
        <v>51</v>
      </c>
      <c r="B31" t="s">
        <v>163</v>
      </c>
      <c r="C31">
        <v>4</v>
      </c>
      <c r="D31" s="7" t="s">
        <v>159</v>
      </c>
      <c r="E31">
        <v>0.4</v>
      </c>
      <c r="F31">
        <v>43200</v>
      </c>
      <c r="G31">
        <v>1</v>
      </c>
      <c r="H31" s="6" t="s">
        <v>162</v>
      </c>
      <c r="I31" s="3" t="s">
        <v>160</v>
      </c>
      <c r="J31" s="3" t="s">
        <v>161</v>
      </c>
      <c r="K31">
        <v>106</v>
      </c>
      <c r="L31" s="8" t="str">
        <f>VLOOKUP(表3_2[[#This Row],[名称]],[1]!表1_8[#Data],2,FALSE)</f>
        <v>龙龟</v>
      </c>
    </row>
    <row r="32" spans="1:12" x14ac:dyDescent="0.15">
      <c r="A32">
        <v>57</v>
      </c>
      <c r="B32" t="s">
        <v>158</v>
      </c>
      <c r="C32">
        <v>4</v>
      </c>
      <c r="D32" t="s">
        <v>154</v>
      </c>
      <c r="E32">
        <v>0.4</v>
      </c>
      <c r="F32">
        <v>43200</v>
      </c>
      <c r="G32">
        <v>1</v>
      </c>
      <c r="H32" s="6" t="s">
        <v>157</v>
      </c>
      <c r="I32" s="3" t="s">
        <v>155</v>
      </c>
      <c r="J32" s="3" t="s">
        <v>156</v>
      </c>
      <c r="K32">
        <v>106</v>
      </c>
      <c r="L32" s="3" t="str">
        <f>VLOOKUP(表3_2[[#This Row],[名称]],[1]!表1_8[#Data],2,FALSE)</f>
        <v>海马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F1FB6FD3-A0D0-43B8-B29E-5BFCC071ED01}"/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