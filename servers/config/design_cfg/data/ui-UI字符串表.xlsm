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/>
  <mc:AlternateContent xmlns:mc="http://schemas.openxmlformats.org/markup-compatibility/2006">
    <mc:Choice Requires="x15">
      <x15ac:absPath xmlns:x15ac="http://schemas.microsoft.com/office/spreadsheetml/2010/11/ac" url="F:\design_output\"/>
    </mc:Choice>
  </mc:AlternateContent>
  <xr:revisionPtr revIDLastSave="0" documentId="13_ncr:1_{9627506A-DB3B-4779-92C7-8AC5C9814F97}" xr6:coauthVersionLast="31" xr6:coauthVersionMax="31" xr10:uidLastSave="{00000000-0000-0000-0000-000000000000}"/>
  <bookViews>
    <workbookView xWindow="0" yWindow="0" windowWidth="16995" windowHeight="12150" activeTab="1" xr2:uid="{00000000-000D-0000-FFFF-FFFF00000000}"/>
  </bookViews>
  <sheets>
    <sheet name="description" sheetId="1" r:id="rId1"/>
    <sheet name="string" sheetId="2" r:id="rId2"/>
  </sheets>
  <functionGroups builtInGroupCount="19"/>
  <externalReferences>
    <externalReference r:id="rId3"/>
  </externalReferences>
  <calcPr calcId="179017"/>
</workbook>
</file>

<file path=xl/calcChain.xml><?xml version="1.0" encoding="utf-8"?>
<calcChain xmlns="http://schemas.openxmlformats.org/spreadsheetml/2006/main">
  <c r="B4" i="2" l="1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E119" i="2"/>
  <c r="E120" i="2"/>
  <c r="E121" i="2"/>
  <c r="E122" i="2"/>
  <c r="E123" i="2"/>
  <c r="E124" i="2"/>
  <c r="E125" i="2"/>
  <c r="E126" i="2"/>
  <c r="E127" i="2"/>
  <c r="E128" i="2"/>
  <c r="E129" i="2"/>
  <c r="E130" i="2"/>
  <c r="E131" i="2"/>
  <c r="E132" i="2"/>
  <c r="E133" i="2"/>
  <c r="E134" i="2"/>
  <c r="E135" i="2"/>
  <c r="E136" i="2"/>
  <c r="E137" i="2"/>
  <c r="E138" i="2"/>
  <c r="E139" i="2"/>
  <c r="E140" i="2"/>
  <c r="E141" i="2"/>
  <c r="E142" i="2"/>
  <c r="E143" i="2"/>
  <c r="E144" i="2"/>
  <c r="E145" i="2"/>
  <c r="E146" i="2"/>
  <c r="E147" i="2"/>
  <c r="E148" i="2"/>
  <c r="E149" i="2"/>
  <c r="E150" i="2"/>
  <c r="E151" i="2"/>
  <c r="E152" i="2"/>
  <c r="E153" i="2"/>
  <c r="E154" i="2"/>
  <c r="E155" i="2"/>
  <c r="E156" i="2"/>
  <c r="E157" i="2"/>
  <c r="E158" i="2"/>
  <c r="E159" i="2"/>
  <c r="E160" i="2"/>
  <c r="E161" i="2"/>
  <c r="E162" i="2"/>
  <c r="E163" i="2"/>
  <c r="E164" i="2"/>
  <c r="E165" i="2"/>
  <c r="E166" i="2"/>
  <c r="E167" i="2"/>
  <c r="E168" i="2"/>
  <c r="E169" i="2"/>
  <c r="E170" i="2"/>
  <c r="E171" i="2"/>
  <c r="E172" i="2"/>
  <c r="E173" i="2"/>
  <c r="E174" i="2"/>
  <c r="E175" i="2"/>
  <c r="E176" i="2"/>
  <c r="E177" i="2"/>
  <c r="E178" i="2"/>
  <c r="E179" i="2"/>
  <c r="E180" i="2"/>
  <c r="E181" i="2"/>
  <c r="E182" i="2"/>
  <c r="E183" i="2"/>
  <c r="E184" i="2"/>
  <c r="E185" i="2"/>
  <c r="E186" i="2"/>
  <c r="E187" i="2"/>
  <c r="E188" i="2"/>
  <c r="E189" i="2"/>
  <c r="E190" i="2"/>
  <c r="E191" i="2"/>
  <c r="E192" i="2"/>
  <c r="E193" i="2"/>
  <c r="E194" i="2"/>
  <c r="E195" i="2"/>
  <c r="E196" i="2"/>
  <c r="E197" i="2"/>
  <c r="E198" i="2"/>
  <c r="E199" i="2"/>
  <c r="E200" i="2"/>
  <c r="E201" i="2"/>
  <c r="E202" i="2"/>
  <c r="E203" i="2"/>
  <c r="E204" i="2"/>
  <c r="E205" i="2"/>
  <c r="E206" i="2"/>
  <c r="E207" i="2"/>
  <c r="E208" i="2"/>
  <c r="E209" i="2"/>
  <c r="D4" i="2" l="1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103" i="2"/>
  <c r="C104" i="2"/>
  <c r="C105" i="2"/>
  <c r="C106" i="2"/>
  <c r="C107" i="2"/>
  <c r="C108" i="2"/>
  <c r="C109" i="2"/>
  <c r="C110" i="2"/>
  <c r="C111" i="2"/>
  <c r="C112" i="2"/>
  <c r="C113" i="2"/>
  <c r="C114" i="2"/>
  <c r="C115" i="2"/>
  <c r="C116" i="2"/>
  <c r="C117" i="2"/>
  <c r="C118" i="2"/>
  <c r="C119" i="2"/>
  <c r="C120" i="2"/>
  <c r="C121" i="2"/>
  <c r="C122" i="2"/>
  <c r="C123" i="2"/>
  <c r="C124" i="2"/>
  <c r="C125" i="2"/>
  <c r="C126" i="2"/>
  <c r="C127" i="2"/>
  <c r="C128" i="2"/>
  <c r="C129" i="2"/>
  <c r="C130" i="2"/>
  <c r="C131" i="2"/>
  <c r="C132" i="2"/>
  <c r="C133" i="2"/>
  <c r="C134" i="2"/>
  <c r="C135" i="2"/>
  <c r="C136" i="2"/>
  <c r="C137" i="2"/>
  <c r="C138" i="2"/>
  <c r="C139" i="2"/>
  <c r="C140" i="2"/>
  <c r="C141" i="2"/>
  <c r="C142" i="2"/>
  <c r="C143" i="2"/>
  <c r="C144" i="2"/>
  <c r="C145" i="2"/>
  <c r="C146" i="2"/>
  <c r="C147" i="2"/>
  <c r="C148" i="2"/>
  <c r="C149" i="2"/>
  <c r="C150" i="2"/>
  <c r="C151" i="2"/>
  <c r="C152" i="2"/>
  <c r="C153" i="2"/>
  <c r="C154" i="2"/>
  <c r="C155" i="2"/>
  <c r="C156" i="2"/>
  <c r="C157" i="2"/>
  <c r="C158" i="2"/>
  <c r="C159" i="2"/>
  <c r="C160" i="2"/>
  <c r="C161" i="2"/>
  <c r="C162" i="2"/>
  <c r="C163" i="2"/>
  <c r="C164" i="2"/>
  <c r="C165" i="2"/>
  <c r="C166" i="2"/>
  <c r="C167" i="2"/>
  <c r="C168" i="2"/>
  <c r="C169" i="2"/>
  <c r="C170" i="2"/>
  <c r="C171" i="2"/>
  <c r="C172" i="2"/>
  <c r="C173" i="2"/>
  <c r="C174" i="2"/>
  <c r="C175" i="2"/>
  <c r="C176" i="2"/>
  <c r="C177" i="2"/>
  <c r="C178" i="2"/>
  <c r="C179" i="2"/>
  <c r="C180" i="2"/>
  <c r="C181" i="2"/>
  <c r="C182" i="2"/>
  <c r="C183" i="2"/>
  <c r="C184" i="2"/>
  <c r="C185" i="2"/>
  <c r="C186" i="2"/>
  <c r="C187" i="2"/>
  <c r="C188" i="2"/>
  <c r="C189" i="2"/>
  <c r="C190" i="2"/>
  <c r="C191" i="2"/>
  <c r="C192" i="2"/>
  <c r="C193" i="2"/>
  <c r="C194" i="2"/>
  <c r="C195" i="2"/>
  <c r="C196" i="2"/>
  <c r="C197" i="2"/>
  <c r="C198" i="2"/>
  <c r="C199" i="2"/>
  <c r="C200" i="2"/>
  <c r="C201" i="2"/>
  <c r="C202" i="2"/>
  <c r="C203" i="2"/>
  <c r="C204" i="2"/>
  <c r="C205" i="2"/>
  <c r="C206" i="2"/>
  <c r="C207" i="2"/>
  <c r="C208" i="2"/>
  <c r="C209" i="2"/>
</calcChain>
</file>

<file path=xl/sharedStrings.xml><?xml version="1.0" encoding="utf-8"?>
<sst xmlns="http://schemas.openxmlformats.org/spreadsheetml/2006/main" count="232" uniqueCount="229">
  <si>
    <t>字段名</t>
  </si>
  <si>
    <t>英文、小写、下划线分隔单词。如'weanpon_name'</t>
  </si>
  <si>
    <t>类型</t>
  </si>
  <si>
    <t>枚举参数：number（小数）、int（整数）、string（字符串）、key,注意：只有第一列类型可以取key。</t>
  </si>
  <si>
    <t>含义</t>
  </si>
  <si>
    <t>字段名的中文解释、含义说明</t>
  </si>
  <si>
    <t>client_use_only</t>
  </si>
  <si>
    <t>客户端专用列</t>
  </si>
  <si>
    <t xml:space="preserve">分表建立说明：
1、本说明不参与脚本导出，每个excel文件的第一个sheet不会参与脚本导出，第一个sheet都叫“Description”,用作描述、备注。
2、新表命名：英文、小写、多个单词下划线分割,以‘cfg’结尾，如“fish_cfg”。
3、表头格式，如4行，分别是：字段名、类型、含义、客户端专用或服务器专用(server_use_only)。内容都居中显示于单元格内。
4、每个单元格至少要有默认值，不能为空，特别注意，空格也视为空。
5、字段命名尽可能见名知义、简明扼要。
6、当前excel中只列出当前模块内的配置表，禁止列出其他模块内的配置。
7、每新增一个表，请在下方‘分表名含义’出增加对应说明。
8、需要用于展示的文本信息，请先在strings表中列出key及对应内容，再在相关表中引用该key。
9、其他规范约束逐渐完善中。。。
</t>
  </si>
  <si>
    <t>分表名含义</t>
  </si>
  <si>
    <t>string_cfg——多语言文本相关配置。</t>
  </si>
  <si>
    <t>str_key</t>
  </si>
  <si>
    <t>key</t>
  </si>
  <si>
    <t>唯一标示</t>
  </si>
  <si>
    <t>中文</t>
  </si>
  <si>
    <t>label_0002</t>
  </si>
  <si>
    <t>label_0003</t>
  </si>
  <si>
    <t>label_0004</t>
  </si>
  <si>
    <t>label_0005</t>
  </si>
  <si>
    <t>label_0006</t>
  </si>
  <si>
    <t>label_0007</t>
  </si>
  <si>
    <t>label_0008</t>
  </si>
  <si>
    <t>label_0009</t>
  </si>
  <si>
    <t>label_0010</t>
  </si>
  <si>
    <t>label_0011</t>
  </si>
  <si>
    <t>label_0012</t>
  </si>
  <si>
    <t>label_0013</t>
  </si>
  <si>
    <t>label_0014</t>
  </si>
  <si>
    <t>label_0015</t>
  </si>
  <si>
    <t>label_0016</t>
  </si>
  <si>
    <t>label_0017</t>
  </si>
  <si>
    <t>label_0018</t>
  </si>
  <si>
    <t>label_0019</t>
  </si>
  <si>
    <t>label_0020</t>
  </si>
  <si>
    <t>label_0021</t>
  </si>
  <si>
    <t>label_0022</t>
  </si>
  <si>
    <t>label_0023</t>
  </si>
  <si>
    <t>label_0024</t>
  </si>
  <si>
    <t>label_0025</t>
  </si>
  <si>
    <t>label_0026</t>
  </si>
  <si>
    <t>label_0027</t>
  </si>
  <si>
    <t>label_0028</t>
  </si>
  <si>
    <t>label_0029</t>
  </si>
  <si>
    <t>label_0030</t>
  </si>
  <si>
    <t>label_0031</t>
  </si>
  <si>
    <t>label_0032</t>
  </si>
  <si>
    <t>label_0033</t>
  </si>
  <si>
    <t>label_0034</t>
  </si>
  <si>
    <t>label_0036</t>
  </si>
  <si>
    <t>label_0037</t>
  </si>
  <si>
    <t>label_0038</t>
  </si>
  <si>
    <t>label_0039</t>
  </si>
  <si>
    <t>label_0040</t>
  </si>
  <si>
    <t>label_0041</t>
  </si>
  <si>
    <t>label_0042</t>
  </si>
  <si>
    <t>label_0043</t>
  </si>
  <si>
    <t>label_0044</t>
  </si>
  <si>
    <t>label_0045</t>
  </si>
  <si>
    <t>label_0046</t>
  </si>
  <si>
    <t>label_0047</t>
  </si>
  <si>
    <t>label_0048</t>
  </si>
  <si>
    <t>label_0049</t>
  </si>
  <si>
    <t>label_0050</t>
  </si>
  <si>
    <t>label_0051</t>
  </si>
  <si>
    <t>label_0052</t>
  </si>
  <si>
    <t>label_0053</t>
  </si>
  <si>
    <t>label_0054</t>
  </si>
  <si>
    <t>label_0055</t>
  </si>
  <si>
    <t>label_0056</t>
  </si>
  <si>
    <t>label_0057</t>
  </si>
  <si>
    <t>label_0058</t>
  </si>
  <si>
    <t>label_0059</t>
  </si>
  <si>
    <t>label_0060</t>
  </si>
  <si>
    <t>label_0061</t>
  </si>
  <si>
    <t>label_0062</t>
  </si>
  <si>
    <t>label_0063</t>
  </si>
  <si>
    <t>label_0064</t>
  </si>
  <si>
    <t>label_0065</t>
  </si>
  <si>
    <t>label_0066</t>
  </si>
  <si>
    <t>label_0067</t>
  </si>
  <si>
    <t>label_0068</t>
  </si>
  <si>
    <t>label_0069</t>
  </si>
  <si>
    <t>label_0070</t>
  </si>
  <si>
    <t>label_0071</t>
  </si>
  <si>
    <t>label_0072</t>
  </si>
  <si>
    <t>label_0073</t>
  </si>
  <si>
    <t>label_0074</t>
  </si>
  <si>
    <t>label_0075</t>
  </si>
  <si>
    <t>label_0076</t>
  </si>
  <si>
    <t>label_0077</t>
  </si>
  <si>
    <t>label_0078</t>
  </si>
  <si>
    <t>label_0079</t>
  </si>
  <si>
    <t>label_0080</t>
  </si>
  <si>
    <t>label_0081</t>
  </si>
  <si>
    <t>label_0082</t>
  </si>
  <si>
    <t>label_0083</t>
  </si>
  <si>
    <t>label_0084</t>
  </si>
  <si>
    <t>label_0085</t>
  </si>
  <si>
    <t>label_0087</t>
  </si>
  <si>
    <t>label_0088</t>
  </si>
  <si>
    <t>label_0089</t>
  </si>
  <si>
    <t>label_0090</t>
  </si>
  <si>
    <t>label_0091</t>
  </si>
  <si>
    <t>label_0092</t>
  </si>
  <si>
    <t>label_0093</t>
  </si>
  <si>
    <t>label_0094</t>
  </si>
  <si>
    <t>label_0095</t>
  </si>
  <si>
    <t>label_0096</t>
  </si>
  <si>
    <t>label_0097</t>
  </si>
  <si>
    <t>label_0098</t>
  </si>
  <si>
    <t>label_0099</t>
  </si>
  <si>
    <t>label_0100</t>
  </si>
  <si>
    <t>label_0101</t>
  </si>
  <si>
    <t>label_0104</t>
  </si>
  <si>
    <t>label_0105</t>
  </si>
  <si>
    <t>label_0106</t>
  </si>
  <si>
    <t>label_0107</t>
  </si>
  <si>
    <t>label_0108</t>
  </si>
  <si>
    <t>label_0109</t>
  </si>
  <si>
    <t>label_0110</t>
  </si>
  <si>
    <t>label_0111</t>
  </si>
  <si>
    <t>vn</t>
    <phoneticPr fontId="2" type="noConversion"/>
  </si>
  <si>
    <t>英文</t>
    <phoneticPr fontId="2" type="noConversion"/>
  </si>
  <si>
    <t>越南文</t>
    <phoneticPr fontId="2" type="noConversion"/>
  </si>
  <si>
    <t>zh</t>
    <phoneticPr fontId="2" type="noConversion"/>
  </si>
  <si>
    <t>label_0112</t>
  </si>
  <si>
    <t>tip_1001</t>
    <phoneticPr fontId="2" type="noConversion"/>
  </si>
  <si>
    <t>tip_1002</t>
    <phoneticPr fontId="2" type="noConversion"/>
  </si>
  <si>
    <t>tip_1067</t>
    <phoneticPr fontId="2" type="noConversion"/>
  </si>
  <si>
    <t>tip_1066</t>
    <phoneticPr fontId="2" type="noConversion"/>
  </si>
  <si>
    <t>label_0113</t>
  </si>
  <si>
    <t>label_0114</t>
  </si>
  <si>
    <t>label_0115</t>
  </si>
  <si>
    <t>label_0116</t>
  </si>
  <si>
    <t>label_0117</t>
  </si>
  <si>
    <t>label_0118</t>
  </si>
  <si>
    <t>label_0120</t>
  </si>
  <si>
    <t>label_0121</t>
  </si>
  <si>
    <t>label_0122</t>
  </si>
  <si>
    <t>label_0123</t>
  </si>
  <si>
    <t>label_0124</t>
  </si>
  <si>
    <t>label_0127</t>
  </si>
  <si>
    <t>label_0129</t>
  </si>
  <si>
    <t>label_0130</t>
  </si>
  <si>
    <t>label_0131</t>
  </si>
  <si>
    <t>label_0132</t>
  </si>
  <si>
    <t>label_0133</t>
  </si>
  <si>
    <t>label_0134</t>
  </si>
  <si>
    <t>label_0135</t>
  </si>
  <si>
    <t>label_0136</t>
  </si>
  <si>
    <t>label_0137</t>
  </si>
  <si>
    <t>label_0138</t>
  </si>
  <si>
    <t>label_0139</t>
  </si>
  <si>
    <t>label_0140</t>
  </si>
  <si>
    <t>label_0142</t>
  </si>
  <si>
    <t>label_0143</t>
  </si>
  <si>
    <t>label_0144</t>
  </si>
  <si>
    <t>label_0146</t>
  </si>
  <si>
    <t>label_0147</t>
  </si>
  <si>
    <t>label_0148</t>
  </si>
  <si>
    <t>label_0149</t>
  </si>
  <si>
    <t>label_0150</t>
  </si>
  <si>
    <t>label_0151</t>
  </si>
  <si>
    <t>label_0152</t>
  </si>
  <si>
    <t>label_0153</t>
  </si>
  <si>
    <t>label_0154</t>
  </si>
  <si>
    <t>label_0155</t>
  </si>
  <si>
    <t>label_0156</t>
  </si>
  <si>
    <t>label_0157</t>
  </si>
  <si>
    <t>label_0158</t>
  </si>
  <si>
    <t>label_0159</t>
  </si>
  <si>
    <t>label_0160</t>
  </si>
  <si>
    <t>label_0161</t>
  </si>
  <si>
    <t>label_0162</t>
  </si>
  <si>
    <t>label_0163</t>
  </si>
  <si>
    <t>label_0164</t>
  </si>
  <si>
    <t>label_0165</t>
  </si>
  <si>
    <t>label_0166</t>
  </si>
  <si>
    <t>label_0167</t>
  </si>
  <si>
    <t>label_0168</t>
  </si>
  <si>
    <t>label_0169</t>
  </si>
  <si>
    <t>label_0170</t>
  </si>
  <si>
    <t>label_0171</t>
  </si>
  <si>
    <t>label_0172</t>
  </si>
  <si>
    <t>label_0173</t>
    <phoneticPr fontId="2" type="noConversion"/>
  </si>
  <si>
    <t>label_0174</t>
    <phoneticPr fontId="2" type="noConversion"/>
  </si>
  <si>
    <t>label_0175</t>
    <phoneticPr fontId="2" type="noConversion"/>
  </si>
  <si>
    <t>label_0176</t>
    <phoneticPr fontId="2" type="noConversion"/>
  </si>
  <si>
    <t>label_0177</t>
    <phoneticPr fontId="2" type="noConversion"/>
  </si>
  <si>
    <t>label_0178</t>
    <phoneticPr fontId="2" type="noConversion"/>
  </si>
  <si>
    <t>label_0128</t>
    <phoneticPr fontId="2" type="noConversion"/>
  </si>
  <si>
    <t>label_0179</t>
    <phoneticPr fontId="2" type="noConversion"/>
  </si>
  <si>
    <t>label_0180</t>
    <phoneticPr fontId="2" type="noConversion"/>
  </si>
  <si>
    <t>label_0035</t>
    <phoneticPr fontId="2" type="noConversion"/>
  </si>
  <si>
    <t>label_0181</t>
    <phoneticPr fontId="2" type="noConversion"/>
  </si>
  <si>
    <t>label_0103</t>
    <phoneticPr fontId="2" type="noConversion"/>
  </si>
  <si>
    <t>label_0102</t>
    <phoneticPr fontId="2" type="noConversion"/>
  </si>
  <si>
    <t>label_0141</t>
    <phoneticPr fontId="2" type="noConversion"/>
  </si>
  <si>
    <t>label_0182</t>
    <phoneticPr fontId="2" type="noConversion"/>
  </si>
  <si>
    <t>label_0183</t>
    <phoneticPr fontId="2" type="noConversion"/>
  </si>
  <si>
    <t>label_0119</t>
    <phoneticPr fontId="2" type="noConversion"/>
  </si>
  <si>
    <t>label_0125</t>
    <phoneticPr fontId="2" type="noConversion"/>
  </si>
  <si>
    <t>label_0126</t>
    <phoneticPr fontId="2" type="noConversion"/>
  </si>
  <si>
    <t>label_0184</t>
    <phoneticPr fontId="2" type="noConversion"/>
  </si>
  <si>
    <t>label_0185</t>
    <phoneticPr fontId="2" type="noConversion"/>
  </si>
  <si>
    <t>label_0086</t>
    <phoneticPr fontId="2" type="noConversion"/>
  </si>
  <si>
    <t>label_0188</t>
  </si>
  <si>
    <t>label_0186</t>
    <phoneticPr fontId="2" type="noConversion"/>
  </si>
  <si>
    <t>label_0187</t>
    <phoneticPr fontId="2" type="noConversion"/>
  </si>
  <si>
    <t>label_0189</t>
    <phoneticPr fontId="2" type="noConversion"/>
  </si>
  <si>
    <t>label_0001</t>
    <phoneticPr fontId="2" type="noConversion"/>
  </si>
  <si>
    <t>label_0190</t>
    <phoneticPr fontId="2" type="noConversion"/>
  </si>
  <si>
    <t>label_0191</t>
    <phoneticPr fontId="2" type="noConversion"/>
  </si>
  <si>
    <t>label_0192</t>
    <phoneticPr fontId="2" type="noConversion"/>
  </si>
  <si>
    <t>label_0145</t>
    <phoneticPr fontId="2" type="noConversion"/>
  </si>
  <si>
    <t>label_0194</t>
  </si>
  <si>
    <t>label_0193</t>
    <phoneticPr fontId="2" type="noConversion"/>
  </si>
  <si>
    <t>label_0195</t>
    <phoneticPr fontId="2" type="noConversion"/>
  </si>
  <si>
    <t>label_0196</t>
    <phoneticPr fontId="2" type="noConversion"/>
  </si>
  <si>
    <t>label_0197</t>
    <phoneticPr fontId="2" type="noConversion"/>
  </si>
  <si>
    <t>label_0198</t>
  </si>
  <si>
    <t>label_0199</t>
    <phoneticPr fontId="2" type="noConversion"/>
  </si>
  <si>
    <r>
      <t>label_0201</t>
    </r>
    <r>
      <rPr>
        <sz val="11"/>
        <color indexed="8"/>
        <rFont val="宋体"/>
        <family val="3"/>
        <charset val="134"/>
      </rPr>
      <t/>
    </r>
  </si>
  <si>
    <t>label_0200</t>
    <phoneticPr fontId="2" type="noConversion"/>
  </si>
  <si>
    <t>vnl</t>
    <phoneticPr fontId="2" type="noConversion"/>
  </si>
  <si>
    <t>string</t>
    <phoneticPr fontId="2" type="noConversion"/>
  </si>
  <si>
    <t>label_0202</t>
  </si>
  <si>
    <t>google</t>
    <phoneticPr fontId="2" type="noConversion"/>
  </si>
  <si>
    <r>
      <t>G</t>
    </r>
    <r>
      <rPr>
        <sz val="11"/>
        <color indexed="8"/>
        <rFont val="宋体"/>
        <family val="3"/>
        <charset val="134"/>
      </rPr>
      <t>oogle</t>
    </r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</si>
</sst>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indexed="8"/>
      <name val="宋体"/>
      <charset val="134"/>
    </font>
    <font>
      <sz val="11"/>
      <color indexed="8"/>
      <name val="微软雅黑"/>
      <family val="2"/>
      <charset val="134"/>
    </font>
    <font>
      <sz val="9"/>
      <name val="宋体"/>
      <family val="3"/>
      <charset val="134"/>
    </font>
    <font>
      <sz val="11"/>
      <color indexed="8"/>
      <name val="宋体"/>
      <family val="3"/>
      <charset val="134"/>
    </font>
    <font>
      <sz val="10"/>
      <color indexed="8"/>
      <name val="宋体"/>
      <family val="3"/>
      <charset val="134"/>
    </font>
    <font>
      <sz val="10"/>
      <color theme="1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>
      <alignment vertical="center"/>
    </xf>
    <xf numFmtId="0" fontId="3" fillId="0" borderId="0">
      <alignment vertical="center"/>
    </xf>
  </cellStyleXfs>
  <cellXfs count="16">
    <xf numFmtId="0" fontId="0" fillId="0" borderId="0" xfId="0" applyAlignment="1"/>
    <xf numFmtId="0" fontId="0" fillId="0" borderId="0" xfId="0" applyFont="1" applyAlignment="1">
      <alignment vertical="center"/>
    </xf>
    <xf numFmtId="49" fontId="1" fillId="2" borderId="1" xfId="0" applyNumberFormat="1" applyFont="1" applyFill="1" applyBorder="1" applyAlignment="1">
      <alignment horizontal="center" vertical="center"/>
    </xf>
    <xf numFmtId="49" fontId="1" fillId="3" borderId="2" xfId="0" applyNumberFormat="1" applyFont="1" applyFill="1" applyBorder="1" applyAlignment="1">
      <alignment horizontal="center" vertical="center"/>
    </xf>
    <xf numFmtId="0" fontId="1" fillId="4" borderId="3" xfId="0" applyFont="1" applyFill="1" applyBorder="1" applyAlignment="1" applyProtection="1">
      <alignment horizontal="center" vertical="center"/>
    </xf>
    <xf numFmtId="49" fontId="1" fillId="2" borderId="1" xfId="0" applyNumberFormat="1" applyFont="1" applyFill="1" applyBorder="1" applyAlignment="1">
      <alignment horizontal="center"/>
    </xf>
    <xf numFmtId="0" fontId="1" fillId="4" borderId="1" xfId="0" applyFont="1" applyFill="1" applyBorder="1" applyAlignment="1" applyProtection="1">
      <alignment horizontal="center"/>
    </xf>
    <xf numFmtId="0" fontId="1" fillId="5" borderId="4" xfId="0" applyNumberFormat="1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5" fillId="0" borderId="0" xfId="0" applyFont="1" applyFill="1" applyAlignment="1">
      <alignment vertical="center"/>
    </xf>
    <xf numFmtId="0" fontId="5" fillId="0" borderId="0" xfId="0" applyNumberFormat="1" applyFont="1" applyFill="1" applyAlignment="1">
      <alignment vertical="center"/>
    </xf>
    <xf numFmtId="0" fontId="4" fillId="0" borderId="0" xfId="0" applyFont="1" applyFill="1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NumberFormat="1" applyAlignment="1"/>
    <xf numFmtId="0" fontId="0" fillId="0" borderId="0" xfId="0" applyNumberFormat="1" applyAlignment="1">
      <alignment vertical="top" wrapText="1"/>
    </xf>
    <xf numFmtId="0" fontId="0" fillId="0" borderId="0" xfId="0" applyNumberFormat="1" applyAlignment="1">
      <alignment vertical="top"/>
    </xf>
  </cellXfs>
  <cellStyles count="2">
    <cellStyle name="常规" xfId="0" builtinId="0"/>
    <cellStyle name="常规 2" xfId="1" xr:uid="{7992CF39-05D5-4EB2-9A31-7D97E9E9A4CD}"/>
  </cellStyles>
  <dxfs count="7">
    <dxf>
      <font>
        <strike val="0"/>
        <outline val="0"/>
        <shadow val="0"/>
        <u val="none"/>
        <vertAlign val="baseline"/>
        <sz val="10"/>
        <color theme="1"/>
        <name val="宋体"/>
        <family val="3"/>
        <charset val="134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charset val="134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charset val="134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宋体"/>
        <family val="3"/>
        <charset val="134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宋体"/>
        <charset val="134"/>
      </font>
    </dxf>
    <dxf>
      <font>
        <strike val="0"/>
        <outline val="0"/>
        <shadow val="0"/>
        <u val="none"/>
        <vertAlign val="baseline"/>
        <sz val="10"/>
        <name val="宋体"/>
        <charset val="134"/>
      </font>
    </dxf>
    <dxf>
      <fill>
        <patternFill>
          <bgColor rgb="FFFF0000"/>
        </patternFill>
      </fill>
    </dxf>
  </dxf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</xdr:colOff>
      <xdr:row>0</xdr:row>
      <xdr:rowOff>38100</xdr:rowOff>
    </xdr:from>
    <xdr:to>
      <xdr:col>0</xdr:col>
      <xdr:colOff>428625</xdr:colOff>
      <xdr:row>2</xdr:row>
      <xdr:rowOff>190500</xdr:rowOff>
    </xdr:to>
    <xdr:sp macro="[0]!导jason" textlink="">
      <xdr:nvSpPr>
        <xdr:cNvPr id="2" name="矩形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" y="38100"/>
          <a:ext cx="428624" cy="571500"/>
        </a:xfrm>
        <a:prstGeom prst="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>
              <a:solidFill>
                <a:sysClr val="windowText" lastClr="000000"/>
              </a:solidFill>
            </a:rPr>
            <a:t>导表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tring_string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scription"/>
      <sheetName val="翻译文本"/>
      <sheetName val="wanba,17525"/>
      <sheetName val="google"/>
      <sheetName val="vietnam_vn"/>
      <sheetName val="vietnam"/>
    </sheetNames>
    <sheetDataSet>
      <sheetData sheetId="0"/>
      <sheetData sheetId="1"/>
      <sheetData sheetId="2"/>
      <sheetData sheetId="3"/>
      <sheetData sheetId="4"/>
      <sheetData sheetId="5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表1" displayName="表1" ref="A3:E209" totalsRowShown="0" dataDxfId="5">
  <autoFilter ref="A3:E209" xr:uid="{00000000-0009-0000-0100-000001000000}"/>
  <sortState ref="A4:D184">
    <sortCondition ref="A117"/>
  </sortState>
  <tableColumns count="5">
    <tableColumn id="1" xr3:uid="{00000000-0010-0000-0000-000001000000}" name="唯一标示" dataDxfId="4"/>
    <tableColumn id="2" xr3:uid="{00000000-0010-0000-0000-000002000000}" name="中文" dataDxfId="3">
      <calculatedColumnFormula>IFERROR(VLOOKUP(表1[[#This Row],[唯一标示]],[1]!表1_83[#Data],2,FALSE),"EN."&amp;表1[[#This Row],[中文]])</calculatedColumnFormula>
    </tableColumn>
    <tableColumn id="3" xr3:uid="{00000000-0010-0000-0000-000003000000}" name="英文" dataDxfId="2">
      <calculatedColumnFormula>IFERROR(VLOOKUP(表1[[#This Row],[唯一标示]],[1]!表1_83[#Data],4,FALSE),"EN."&amp;表1[[#This Row],[中文]])</calculatedColumnFormula>
    </tableColumn>
    <tableColumn id="4" xr3:uid="{91B6CC0F-70A6-499F-AE4B-27547CF9C021}" name="越南文" dataDxfId="1">
      <calculatedColumnFormula>IFERROR(VLOOKUP(表1[[#This Row],[唯一标示]],[1]!表1_83[#Data],3,FALSE),"EN."&amp;表1[[#This Row],[中文]])</calculatedColumnFormula>
    </tableColumn>
    <tableColumn id="5" xr3:uid="{8632F124-4FE8-40AA-91CA-4BAB30E4ABFF}" name="Google" dataDxfId="0">
      <calculatedColumnFormula>IFERROR(VLOOKUP(表1[[#This Row],[唯一标示]],[1]!表1_83[#Data],5,FALSE),"EN."&amp;表1[[#This Row],[中文]])</calculatedColumnFormula>
    </tableColumn>
  </tableColumns>
  <tableStyleInfo name="TableStyleMedium1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53"/>
  <sheetViews>
    <sheetView workbookViewId="0">
      <selection activeCell="A6" sqref="A6:B23"/>
    </sheetView>
  </sheetViews>
  <sheetFormatPr defaultColWidth="9" defaultRowHeight="13.5" x14ac:dyDescent="0.15"/>
  <cols>
    <col min="1" max="1" width="39.5" customWidth="1"/>
    <col min="2" max="2" width="85.125" customWidth="1"/>
  </cols>
  <sheetData>
    <row r="1" spans="1:2" ht="16.5" x14ac:dyDescent="0.3">
      <c r="A1" s="5" t="s">
        <v>0</v>
      </c>
      <c r="B1" t="s">
        <v>1</v>
      </c>
    </row>
    <row r="2" spans="1:2" ht="16.5" x14ac:dyDescent="0.15">
      <c r="A2" s="3" t="s">
        <v>2</v>
      </c>
      <c r="B2" t="s">
        <v>3</v>
      </c>
    </row>
    <row r="3" spans="1:2" ht="16.5" x14ac:dyDescent="0.3">
      <c r="A3" s="6" t="s">
        <v>4</v>
      </c>
      <c r="B3" t="s">
        <v>5</v>
      </c>
    </row>
    <row r="4" spans="1:2" ht="16.5" x14ac:dyDescent="0.15">
      <c r="A4" s="7" t="s">
        <v>6</v>
      </c>
      <c r="B4" t="s">
        <v>7</v>
      </c>
    </row>
    <row r="6" spans="1:2" x14ac:dyDescent="0.15">
      <c r="A6" s="14" t="s">
        <v>8</v>
      </c>
      <c r="B6" s="15"/>
    </row>
    <row r="7" spans="1:2" x14ac:dyDescent="0.15">
      <c r="A7" s="15"/>
      <c r="B7" s="15"/>
    </row>
    <row r="8" spans="1:2" x14ac:dyDescent="0.15">
      <c r="A8" s="15"/>
      <c r="B8" s="15"/>
    </row>
    <row r="9" spans="1:2" x14ac:dyDescent="0.15">
      <c r="A9" s="15"/>
      <c r="B9" s="15"/>
    </row>
    <row r="10" spans="1:2" x14ac:dyDescent="0.15">
      <c r="A10" s="15"/>
      <c r="B10" s="15"/>
    </row>
    <row r="11" spans="1:2" x14ac:dyDescent="0.15">
      <c r="A11" s="15"/>
      <c r="B11" s="15"/>
    </row>
    <row r="12" spans="1:2" x14ac:dyDescent="0.15">
      <c r="A12" s="15"/>
      <c r="B12" s="15"/>
    </row>
    <row r="13" spans="1:2" x14ac:dyDescent="0.15">
      <c r="A13" s="15"/>
      <c r="B13" s="15"/>
    </row>
    <row r="14" spans="1:2" x14ac:dyDescent="0.15">
      <c r="A14" s="15"/>
      <c r="B14" s="15"/>
    </row>
    <row r="15" spans="1:2" x14ac:dyDescent="0.15">
      <c r="A15" s="15"/>
      <c r="B15" s="15"/>
    </row>
    <row r="16" spans="1:2" ht="13.15" customHeight="1" x14ac:dyDescent="0.15">
      <c r="A16" s="15"/>
      <c r="B16" s="15"/>
    </row>
    <row r="17" spans="1:2" ht="4.1500000000000004" customHeight="1" x14ac:dyDescent="0.15">
      <c r="A17" s="15"/>
      <c r="B17" s="15"/>
    </row>
    <row r="18" spans="1:2" hidden="1" x14ac:dyDescent="0.15">
      <c r="A18" s="15"/>
      <c r="B18" s="15"/>
    </row>
    <row r="19" spans="1:2" hidden="1" x14ac:dyDescent="0.15">
      <c r="A19" s="15"/>
      <c r="B19" s="15"/>
    </row>
    <row r="20" spans="1:2" hidden="1" x14ac:dyDescent="0.15">
      <c r="A20" s="15"/>
      <c r="B20" s="15"/>
    </row>
    <row r="21" spans="1:2" ht="22.9" customHeight="1" x14ac:dyDescent="0.15">
      <c r="A21" s="15"/>
      <c r="B21" s="15"/>
    </row>
    <row r="22" spans="1:2" ht="45" hidden="1" customHeight="1" x14ac:dyDescent="0.15">
      <c r="A22" s="15"/>
      <c r="B22" s="15"/>
    </row>
    <row r="23" spans="1:2" ht="51" hidden="1" customHeight="1" x14ac:dyDescent="0.15">
      <c r="A23" s="15"/>
      <c r="B23" s="15"/>
    </row>
    <row r="24" spans="1:2" x14ac:dyDescent="0.15">
      <c r="A24" s="13" t="s">
        <v>9</v>
      </c>
      <c r="B24" s="13"/>
    </row>
    <row r="25" spans="1:2" x14ac:dyDescent="0.15">
      <c r="A25" s="13" t="s">
        <v>10</v>
      </c>
      <c r="B25" s="13"/>
    </row>
    <row r="26" spans="1:2" x14ac:dyDescent="0.15">
      <c r="A26" s="13"/>
      <c r="B26" s="13"/>
    </row>
    <row r="27" spans="1:2" x14ac:dyDescent="0.15">
      <c r="A27" s="13"/>
      <c r="B27" s="13"/>
    </row>
    <row r="28" spans="1:2" x14ac:dyDescent="0.15">
      <c r="A28" s="13"/>
      <c r="B28" s="13"/>
    </row>
    <row r="29" spans="1:2" x14ac:dyDescent="0.15">
      <c r="A29" s="13"/>
      <c r="B29" s="13"/>
    </row>
    <row r="30" spans="1:2" x14ac:dyDescent="0.15">
      <c r="A30" s="13"/>
      <c r="B30" s="13"/>
    </row>
    <row r="31" spans="1:2" x14ac:dyDescent="0.15">
      <c r="A31" s="13"/>
      <c r="B31" s="13"/>
    </row>
    <row r="32" spans="1:2" x14ac:dyDescent="0.15">
      <c r="A32" s="13"/>
      <c r="B32" s="13"/>
    </row>
    <row r="33" spans="1:2" x14ac:dyDescent="0.15">
      <c r="A33" s="13"/>
      <c r="B33" s="13"/>
    </row>
    <row r="34" spans="1:2" x14ac:dyDescent="0.15">
      <c r="A34" s="13"/>
      <c r="B34" s="13"/>
    </row>
    <row r="35" spans="1:2" x14ac:dyDescent="0.15">
      <c r="A35" s="13"/>
      <c r="B35" s="13"/>
    </row>
    <row r="36" spans="1:2" x14ac:dyDescent="0.15">
      <c r="A36" s="13"/>
      <c r="B36" s="13"/>
    </row>
    <row r="37" spans="1:2" x14ac:dyDescent="0.15">
      <c r="A37" s="13"/>
      <c r="B37" s="13"/>
    </row>
    <row r="38" spans="1:2" x14ac:dyDescent="0.15">
      <c r="A38" s="13"/>
      <c r="B38" s="13"/>
    </row>
    <row r="39" spans="1:2" x14ac:dyDescent="0.15">
      <c r="A39" s="13"/>
      <c r="B39" s="13"/>
    </row>
    <row r="40" spans="1:2" x14ac:dyDescent="0.15">
      <c r="A40" s="13"/>
      <c r="B40" s="13"/>
    </row>
    <row r="41" spans="1:2" x14ac:dyDescent="0.15">
      <c r="A41" s="13"/>
      <c r="B41" s="13"/>
    </row>
    <row r="42" spans="1:2" x14ac:dyDescent="0.15">
      <c r="A42" s="13"/>
      <c r="B42" s="13"/>
    </row>
    <row r="43" spans="1:2" x14ac:dyDescent="0.15">
      <c r="A43" s="13"/>
      <c r="B43" s="13"/>
    </row>
    <row r="44" spans="1:2" x14ac:dyDescent="0.15">
      <c r="A44" s="13"/>
      <c r="B44" s="13"/>
    </row>
    <row r="45" spans="1:2" x14ac:dyDescent="0.15">
      <c r="A45" s="13"/>
      <c r="B45" s="13"/>
    </row>
    <row r="46" spans="1:2" x14ac:dyDescent="0.15">
      <c r="A46" s="13"/>
      <c r="B46" s="13"/>
    </row>
    <row r="47" spans="1:2" x14ac:dyDescent="0.15">
      <c r="A47" s="13"/>
      <c r="B47" s="13"/>
    </row>
    <row r="48" spans="1:2" x14ac:dyDescent="0.15">
      <c r="A48" s="13"/>
      <c r="B48" s="13"/>
    </row>
    <row r="49" spans="1:2" x14ac:dyDescent="0.15">
      <c r="A49" s="13"/>
      <c r="B49" s="13"/>
    </row>
    <row r="50" spans="1:2" x14ac:dyDescent="0.15">
      <c r="A50" s="13"/>
      <c r="B50" s="13"/>
    </row>
    <row r="51" spans="1:2" x14ac:dyDescent="0.15">
      <c r="A51" s="13"/>
      <c r="B51" s="13"/>
    </row>
    <row r="52" spans="1:2" x14ac:dyDescent="0.15">
      <c r="A52" s="13"/>
      <c r="B52" s="13"/>
    </row>
    <row r="53" spans="1:2" x14ac:dyDescent="0.15">
      <c r="A53" s="13"/>
      <c r="B53" s="13"/>
    </row>
  </sheetData>
  <mergeCells count="31">
    <mergeCell ref="A6:B23"/>
    <mergeCell ref="A49:B49"/>
    <mergeCell ref="A50:B50"/>
    <mergeCell ref="A51:B51"/>
    <mergeCell ref="A52:B52"/>
    <mergeCell ref="A39:B39"/>
    <mergeCell ref="A40:B40"/>
    <mergeCell ref="A41:B41"/>
    <mergeCell ref="A42:B42"/>
    <mergeCell ref="A43:B43"/>
    <mergeCell ref="A34:B34"/>
    <mergeCell ref="A35:B35"/>
    <mergeCell ref="A36:B36"/>
    <mergeCell ref="A37:B37"/>
    <mergeCell ref="A38:B38"/>
    <mergeCell ref="A29:B29"/>
    <mergeCell ref="A53:B53"/>
    <mergeCell ref="A44:B44"/>
    <mergeCell ref="A45:B45"/>
    <mergeCell ref="A46:B46"/>
    <mergeCell ref="A47:B47"/>
    <mergeCell ref="A48:B48"/>
    <mergeCell ref="A30:B30"/>
    <mergeCell ref="A31:B31"/>
    <mergeCell ref="A32:B32"/>
    <mergeCell ref="A33:B33"/>
    <mergeCell ref="A24:B24"/>
    <mergeCell ref="A25:B25"/>
    <mergeCell ref="A26:B26"/>
    <mergeCell ref="A27:B27"/>
    <mergeCell ref="A28:B28"/>
  </mergeCells>
  <phoneticPr fontId="2" type="noConversion"/>
  <pageMargins left="0.69930555555555596" right="0.69930555555555596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E209"/>
  <sheetViews>
    <sheetView tabSelected="1" workbookViewId="0">
      <pane xSplit="1" ySplit="3" topLeftCell="B7" activePane="bottomRight" state="frozenSplit"/>
      <selection pane="topRight"/>
      <selection pane="bottomLeft"/>
      <selection pane="bottomRight" activeCell="B17" sqref="B17"/>
    </sheetView>
  </sheetViews>
  <sheetFormatPr defaultColWidth="9" defaultRowHeight="13.5" x14ac:dyDescent="0.15"/>
  <cols>
    <col min="1" max="1" width="22.875" style="1" customWidth="1"/>
    <col min="2" max="2" width="31.125" style="1" customWidth="1"/>
    <col min="3" max="3" width="22.75" style="1" customWidth="1"/>
    <col min="4" max="4" width="26" style="1" customWidth="1"/>
    <col min="5" max="16384" width="9" style="1"/>
  </cols>
  <sheetData>
    <row r="1" spans="1:5" ht="16.5" customHeight="1" x14ac:dyDescent="0.15">
      <c r="A1" s="2" t="s">
        <v>11</v>
      </c>
      <c r="B1" s="2" t="s">
        <v>124</v>
      </c>
      <c r="C1" s="2" t="s">
        <v>121</v>
      </c>
      <c r="D1" s="2" t="s">
        <v>224</v>
      </c>
      <c r="E1" s="2" t="s">
        <v>227</v>
      </c>
    </row>
    <row r="2" spans="1:5" ht="16.5" x14ac:dyDescent="0.15">
      <c r="A2" s="3" t="s">
        <v>12</v>
      </c>
      <c r="B2" s="3" t="s">
        <v>225</v>
      </c>
      <c r="C2" s="3" t="s">
        <v>225</v>
      </c>
      <c r="D2" s="3" t="s">
        <v>225</v>
      </c>
      <c r="E2" s="3" t="s">
        <v>225</v>
      </c>
    </row>
    <row r="3" spans="1:5" ht="16.5" x14ac:dyDescent="0.15">
      <c r="A3" s="4" t="s">
        <v>13</v>
      </c>
      <c r="B3" s="4" t="s">
        <v>14</v>
      </c>
      <c r="C3" s="4" t="s">
        <v>122</v>
      </c>
      <c r="D3" s="4" t="s">
        <v>123</v>
      </c>
      <c r="E3" s="12" t="s">
        <v>228</v>
      </c>
    </row>
    <row r="4" spans="1:5" x14ac:dyDescent="0.15">
      <c r="A4" s="9" t="s">
        <v>210</v>
      </c>
      <c r="B4" s="9" t="str">
        <f>IFERROR(VLOOKUP(表1[[#This Row],[唯一标示]],[1]!表1_83[#Data],2,FALSE),"EN."&amp;表1[[#This Row],[中文]])</f>
        <v>点击屏幕继续</v>
      </c>
      <c r="C4" s="9" t="str">
        <f>IFERROR(VLOOKUP(表1[[#This Row],[唯一标示]],[1]!表1_83[#Data],4,FALSE),"EN."&amp;表1[[#This Row],[中文]])</f>
        <v xml:space="preserve">Click màn hình tiếp tục </v>
      </c>
      <c r="D4" s="10" t="str">
        <f>IFERROR(VLOOKUP(表1[[#This Row],[唯一标示]],[1]!表1_83[#Data],3,FALSE),"EN."&amp;表1[[#This Row],[中文]])</f>
        <v xml:space="preserve">Click màn hình tiếp tục </v>
      </c>
      <c r="E4" s="9" t="str">
        <f>IFERROR(VLOOKUP(表1[[#This Row],[唯一标示]],[1]!表1_83[#Data],5,FALSE),"EN."&amp;表1[[#This Row],[中文]])</f>
        <v>点击屏幕继续</v>
      </c>
    </row>
    <row r="5" spans="1:5" x14ac:dyDescent="0.15">
      <c r="A5" s="9" t="s">
        <v>15</v>
      </c>
      <c r="B5" s="9" t="str">
        <f>IFERROR(VLOOKUP(表1[[#This Row],[唯一标示]],[1]!表1_83[#Data],2,FALSE),"EN."&amp;表1[[#This Row],[中文]])</f>
        <v>开得如下物品：</v>
      </c>
      <c r="C5" s="9" t="str">
        <f>IFERROR(VLOOKUP(表1[[#This Row],[唯一标示]],[1]!表1_83[#Data],4,FALSE),"EN."&amp;表1[[#This Row],[中文]])</f>
        <v xml:space="preserve">Mở được vật phẩm sau: </v>
      </c>
      <c r="D5" s="10" t="str">
        <f>IFERROR(VLOOKUP(表1[[#This Row],[唯一标示]],[1]!表1_83[#Data],3,FALSE),"EN."&amp;表1[[#This Row],[中文]])</f>
        <v xml:space="preserve">Mở được vật phẩm sau: </v>
      </c>
      <c r="E5" s="9" t="str">
        <f>IFERROR(VLOOKUP(表1[[#This Row],[唯一标示]],[1]!表1_83[#Data],5,FALSE),"EN."&amp;表1[[#This Row],[中文]])</f>
        <v>开得如下物品：</v>
      </c>
    </row>
    <row r="6" spans="1:5" x14ac:dyDescent="0.15">
      <c r="A6" s="9" t="s">
        <v>16</v>
      </c>
      <c r="B6" s="9" t="str">
        <f>IFERROR(VLOOKUP(表1[[#This Row],[唯一标示]],[1]!表1_83[#Data],2,FALSE),"EN."&amp;表1[[#This Row],[中文]])</f>
        <v>抽五次</v>
      </c>
      <c r="C6" s="9" t="str">
        <f>IFERROR(VLOOKUP(表1[[#This Row],[唯一标示]],[1]!表1_83[#Data],4,FALSE),"EN."&amp;表1[[#This Row],[中文]])</f>
        <v>5 Lần</v>
      </c>
      <c r="D6" s="10" t="str">
        <f>IFERROR(VLOOKUP(表1[[#This Row],[唯一标示]],[1]!表1_83[#Data],3,FALSE),"EN."&amp;表1[[#This Row],[中文]])</f>
        <v>5 Lần</v>
      </c>
      <c r="E6" s="9" t="str">
        <f>IFERROR(VLOOKUP(表1[[#This Row],[唯一标示]],[1]!表1_83[#Data],5,FALSE),"EN."&amp;表1[[#This Row],[中文]])</f>
        <v>抽五次</v>
      </c>
    </row>
    <row r="7" spans="1:5" x14ac:dyDescent="0.15">
      <c r="A7" s="9" t="s">
        <v>17</v>
      </c>
      <c r="B7" s="9" t="str">
        <f>IFERROR(VLOOKUP(表1[[#This Row],[唯一标示]],[1]!表1_83[#Data],2,FALSE),"EN."&amp;表1[[#This Row],[中文]])</f>
        <v>抽一次</v>
      </c>
      <c r="C7" s="9" t="str">
        <f>IFERROR(VLOOKUP(表1[[#This Row],[唯一标示]],[1]!表1_83[#Data],4,FALSE),"EN."&amp;表1[[#This Row],[中文]])</f>
        <v>1 Lần</v>
      </c>
      <c r="D7" s="10" t="str">
        <f>IFERROR(VLOOKUP(表1[[#This Row],[唯一标示]],[1]!表1_83[#Data],3,FALSE),"EN."&amp;表1[[#This Row],[中文]])</f>
        <v>1 Lần</v>
      </c>
      <c r="E7" s="9" t="str">
        <f>IFERROR(VLOOKUP(表1[[#This Row],[唯一标示]],[1]!表1_83[#Data],5,FALSE),"EN."&amp;表1[[#This Row],[中文]])</f>
        <v>抽一次</v>
      </c>
    </row>
    <row r="8" spans="1:5" x14ac:dyDescent="0.15">
      <c r="A8" s="9" t="s">
        <v>18</v>
      </c>
      <c r="B8" s="9" t="str">
        <f>IFERROR(VLOOKUP(表1[[#This Row],[唯一标示]],[1]!表1_83[#Data],2,FALSE),"EN."&amp;表1[[#This Row],[中文]])</f>
        <v>确定</v>
      </c>
      <c r="C8" s="9" t="str">
        <f>IFERROR(VLOOKUP(表1[[#This Row],[唯一标示]],[1]!表1_83[#Data],4,FALSE),"EN."&amp;表1[[#This Row],[中文]])</f>
        <v xml:space="preserve">Xác nhận </v>
      </c>
      <c r="D8" s="10" t="str">
        <f>IFERROR(VLOOKUP(表1[[#This Row],[唯一标示]],[1]!表1_83[#Data],3,FALSE),"EN."&amp;表1[[#This Row],[中文]])</f>
        <v xml:space="preserve">Xác nhận </v>
      </c>
      <c r="E8" s="9" t="str">
        <f>IFERROR(VLOOKUP(表1[[#This Row],[唯一标示]],[1]!表1_83[#Data],5,FALSE),"EN."&amp;表1[[#This Row],[中文]])</f>
        <v>确定</v>
      </c>
    </row>
    <row r="9" spans="1:5" x14ac:dyDescent="0.15">
      <c r="A9" s="9" t="s">
        <v>19</v>
      </c>
      <c r="B9" s="9" t="str">
        <f>IFERROR(VLOOKUP(表1[[#This Row],[唯一标示]],[1]!表1_83[#Data],2,FALSE),"EN."&amp;表1[[#This Row],[中文]])</f>
        <v>取消</v>
      </c>
      <c r="C9" s="9" t="str">
        <f>IFERROR(VLOOKUP(表1[[#This Row],[唯一标示]],[1]!表1_83[#Data],4,FALSE),"EN."&amp;表1[[#This Row],[中文]])</f>
        <v xml:space="preserve">Hủy </v>
      </c>
      <c r="D9" s="10" t="str">
        <f>IFERROR(VLOOKUP(表1[[#This Row],[唯一标示]],[1]!表1_83[#Data],3,FALSE),"EN."&amp;表1[[#This Row],[中文]])</f>
        <v xml:space="preserve">Hủy </v>
      </c>
      <c r="E9" s="9" t="str">
        <f>IFERROR(VLOOKUP(表1[[#This Row],[唯一标示]],[1]!表1_83[#Data],5,FALSE),"EN."&amp;表1[[#This Row],[中文]])</f>
        <v>取消</v>
      </c>
    </row>
    <row r="10" spans="1:5" x14ac:dyDescent="0.15">
      <c r="A10" s="9" t="s">
        <v>20</v>
      </c>
      <c r="B10" s="9" t="str">
        <f>IFERROR(VLOOKUP(表1[[#This Row],[唯一标示]],[1]!表1_83[#Data],2,FALSE),"EN."&amp;表1[[#This Row],[中文]])</f>
        <v>今日不再提示</v>
      </c>
      <c r="C10" s="9" t="str">
        <f>IFERROR(VLOOKUP(表1[[#This Row],[唯一标示]],[1]!表1_83[#Data],4,FALSE),"EN."&amp;表1[[#This Row],[中文]])</f>
        <v>Hôm nay không nhắc nhở nữa</v>
      </c>
      <c r="D10" s="10" t="str">
        <f>IFERROR(VLOOKUP(表1[[#This Row],[唯一标示]],[1]!表1_83[#Data],3,FALSE),"EN."&amp;表1[[#This Row],[中文]])</f>
        <v>Hôm nay không nhắc nhở nữa</v>
      </c>
      <c r="E10" s="9" t="str">
        <f>IFERROR(VLOOKUP(表1[[#This Row],[唯一标示]],[1]!表1_83[#Data],5,FALSE),"EN."&amp;表1[[#This Row],[中文]])</f>
        <v>今日不再提示</v>
      </c>
    </row>
    <row r="11" spans="1:5" x14ac:dyDescent="0.15">
      <c r="A11" s="9" t="s">
        <v>21</v>
      </c>
      <c r="B11" s="9" t="str">
        <f>IFERROR(VLOOKUP(表1[[#This Row],[唯一标示]],[1]!表1_83[#Data],2,FALSE),"EN."&amp;表1[[#This Row],[中文]])</f>
        <v>订单状态</v>
      </c>
      <c r="C11" s="9" t="str">
        <f>IFERROR(VLOOKUP(表1[[#This Row],[唯一标示]],[1]!表1_83[#Data],4,FALSE),"EN."&amp;表1[[#This Row],[中文]])</f>
        <v>Trạng thái:</v>
      </c>
      <c r="D11" s="10" t="str">
        <f>IFERROR(VLOOKUP(表1[[#This Row],[唯一标示]],[1]!表1_83[#Data],3,FALSE),"EN."&amp;表1[[#This Row],[中文]])</f>
        <v>Trạng thái:</v>
      </c>
      <c r="E11" s="9" t="str">
        <f>IFERROR(VLOOKUP(表1[[#This Row],[唯一标示]],[1]!表1_83[#Data],5,FALSE),"EN."&amp;表1[[#This Row],[中文]])</f>
        <v>订单状态</v>
      </c>
    </row>
    <row r="12" spans="1:5" x14ac:dyDescent="0.15">
      <c r="A12" s="9" t="s">
        <v>22</v>
      </c>
      <c r="B12" s="9" t="str">
        <f>IFERROR(VLOOKUP(表1[[#This Row],[唯一标示]],[1]!表1_83[#Data],2,FALSE),"EN."&amp;表1[[#This Row],[中文]])</f>
        <v>所需消耗</v>
      </c>
      <c r="C12" s="9" t="str">
        <f>IFERROR(VLOOKUP(表1[[#This Row],[唯一标示]],[1]!表1_83[#Data],4,FALSE),"EN."&amp;表1[[#This Row],[中文]])</f>
        <v>Số Vàng:</v>
      </c>
      <c r="D12" s="10" t="str">
        <f>IFERROR(VLOOKUP(表1[[#This Row],[唯一标示]],[1]!表1_83[#Data],3,FALSE),"EN."&amp;表1[[#This Row],[中文]])</f>
        <v>Số Vàng:</v>
      </c>
      <c r="E12" s="9" t="str">
        <f>IFERROR(VLOOKUP(表1[[#This Row],[唯一标示]],[1]!表1_83[#Data],5,FALSE),"EN."&amp;表1[[#This Row],[中文]])</f>
        <v>所需消耗</v>
      </c>
    </row>
    <row r="13" spans="1:5" x14ac:dyDescent="0.15">
      <c r="A13" s="9" t="s">
        <v>23</v>
      </c>
      <c r="B13" s="9" t="str">
        <f>IFERROR(VLOOKUP(表1[[#This Row],[唯一标示]],[1]!表1_83[#Data],2,FALSE),"EN."&amp;表1[[#This Row],[中文]])</f>
        <v>下单日期</v>
      </c>
      <c r="C13" s="9" t="str">
        <f>IFERROR(VLOOKUP(表1[[#This Row],[唯一标示]],[1]!表1_83[#Data],4,FALSE),"EN."&amp;表1[[#This Row],[中文]])</f>
        <v>Thời gian:</v>
      </c>
      <c r="D13" s="10" t="str">
        <f>IFERROR(VLOOKUP(表1[[#This Row],[唯一标示]],[1]!表1_83[#Data],3,FALSE),"EN."&amp;表1[[#This Row],[中文]])</f>
        <v>Thời gian:</v>
      </c>
      <c r="E13" s="9" t="str">
        <f>IFERROR(VLOOKUP(表1[[#This Row],[唯一标示]],[1]!表1_83[#Data],5,FALSE),"EN."&amp;表1[[#This Row],[中文]])</f>
        <v>下单日期</v>
      </c>
    </row>
    <row r="14" spans="1:5" x14ac:dyDescent="0.15">
      <c r="A14" s="9" t="s">
        <v>24</v>
      </c>
      <c r="B14" s="9" t="str">
        <f>IFERROR(VLOOKUP(表1[[#This Row],[唯一标示]],[1]!表1_83[#Data],2,FALSE),"EN."&amp;表1[[#This Row],[中文]])</f>
        <v>物流编号</v>
      </c>
      <c r="C14" s="9" t="str">
        <f>IFERROR(VLOOKUP(表1[[#This Row],[唯一标示]],[1]!表1_83[#Data],4,FALSE),"EN."&amp;表1[[#This Row],[中文]])</f>
        <v>Số hiệu vật lưu</v>
      </c>
      <c r="D14" s="10" t="str">
        <f>IFERROR(VLOOKUP(表1[[#This Row],[唯一标示]],[1]!表1_83[#Data],3,FALSE),"EN."&amp;表1[[#This Row],[中文]])</f>
        <v>Số hiệu vật lưu</v>
      </c>
      <c r="E14" s="9" t="str">
        <f>IFERROR(VLOOKUP(表1[[#This Row],[唯一标示]],[1]!表1_83[#Data],5,FALSE),"EN."&amp;表1[[#This Row],[中文]])</f>
        <v>物流编号</v>
      </c>
    </row>
    <row r="15" spans="1:5" x14ac:dyDescent="0.15">
      <c r="A15" s="9" t="s">
        <v>25</v>
      </c>
      <c r="B15" s="9" t="str">
        <f>IFERROR(VLOOKUP(表1[[#This Row],[唯一标示]],[1]!表1_83[#Data],2,FALSE),"EN."&amp;表1[[#This Row],[中文]])</f>
        <v>快递方式</v>
      </c>
      <c r="C15" s="9" t="str">
        <f>IFERROR(VLOOKUP(表1[[#This Row],[唯一标示]],[1]!表1_83[#Data],4,FALSE),"EN."&amp;表1[[#This Row],[中文]])</f>
        <v>Chuyển phát nhanh</v>
      </c>
      <c r="D15" s="10" t="str">
        <f>IFERROR(VLOOKUP(表1[[#This Row],[唯一标示]],[1]!表1_83[#Data],3,FALSE),"EN."&amp;表1[[#This Row],[中文]])</f>
        <v>Chuyển phát nhanh</v>
      </c>
      <c r="E15" s="9" t="str">
        <f>IFERROR(VLOOKUP(表1[[#This Row],[唯一标示]],[1]!表1_83[#Data],5,FALSE),"EN."&amp;表1[[#This Row],[中文]])</f>
        <v>快递方式</v>
      </c>
    </row>
    <row r="16" spans="1:5" x14ac:dyDescent="0.15">
      <c r="A16" s="9" t="s">
        <v>26</v>
      </c>
      <c r="B16" s="9" t="str">
        <f>IFERROR(VLOOKUP(表1[[#This Row],[唯一标示]],[1]!表1_83[#Data],2,FALSE),"EN."&amp;表1[[#This Row],[中文]])</f>
        <v>收货地址</v>
      </c>
      <c r="C16" s="9" t="str">
        <f>IFERROR(VLOOKUP(表1[[#This Row],[唯一标示]],[1]!表1_83[#Data],4,FALSE),"EN."&amp;表1[[#This Row],[中文]])</f>
        <v>Địa chỉ nhận hàng</v>
      </c>
      <c r="D16" s="10" t="str">
        <f>IFERROR(VLOOKUP(表1[[#This Row],[唯一标示]],[1]!表1_83[#Data],3,FALSE),"EN."&amp;表1[[#This Row],[中文]])</f>
        <v>Địa chỉ nhận hàng</v>
      </c>
      <c r="E16" s="9" t="str">
        <f>IFERROR(VLOOKUP(表1[[#This Row],[唯一标示]],[1]!表1_83[#Data],5,FALSE),"EN."&amp;表1[[#This Row],[中文]])</f>
        <v>收货地址</v>
      </c>
    </row>
    <row r="17" spans="1:5" x14ac:dyDescent="0.15">
      <c r="A17" s="9" t="s">
        <v>27</v>
      </c>
      <c r="B17" s="9" t="str">
        <f>IFERROR(VLOOKUP(表1[[#This Row],[唯一标示]],[1]!表1_83[#Data],2,FALSE),"EN."&amp;表1[[#This Row],[中文]])</f>
        <v>收件人</v>
      </c>
      <c r="C17" s="9" t="str">
        <f>IFERROR(VLOOKUP(表1[[#This Row],[唯一标示]],[1]!表1_83[#Data],4,FALSE),"EN."&amp;表1[[#This Row],[中文]])</f>
        <v>Người nhận</v>
      </c>
      <c r="D17" s="10" t="str">
        <f>IFERROR(VLOOKUP(表1[[#This Row],[唯一标示]],[1]!表1_83[#Data],3,FALSE),"EN."&amp;表1[[#This Row],[中文]])</f>
        <v>Người nhận</v>
      </c>
      <c r="E17" s="9" t="str">
        <f>IFERROR(VLOOKUP(表1[[#This Row],[唯一标示]],[1]!表1_83[#Data],5,FALSE),"EN."&amp;表1[[#This Row],[中文]])</f>
        <v>收件人</v>
      </c>
    </row>
    <row r="18" spans="1:5" x14ac:dyDescent="0.15">
      <c r="A18" s="9" t="s">
        <v>28</v>
      </c>
      <c r="B18" s="9" t="str">
        <f>IFERROR(VLOOKUP(表1[[#This Row],[唯一标示]],[1]!表1_83[#Data],2,FALSE),"EN."&amp;表1[[#This Row],[中文]])</f>
        <v>联系电话</v>
      </c>
      <c r="C18" s="9" t="str">
        <f>IFERROR(VLOOKUP(表1[[#This Row],[唯一标示]],[1]!表1_83[#Data],4,FALSE),"EN."&amp;表1[[#This Row],[中文]])</f>
        <v>SĐT:</v>
      </c>
      <c r="D18" s="10" t="str">
        <f>IFERROR(VLOOKUP(表1[[#This Row],[唯一标示]],[1]!表1_83[#Data],3,FALSE),"EN."&amp;表1[[#This Row],[中文]])</f>
        <v>SĐT:</v>
      </c>
      <c r="E18" s="9" t="str">
        <f>IFERROR(VLOOKUP(表1[[#This Row],[唯一标示]],[1]!表1_83[#Data],5,FALSE),"EN."&amp;表1[[#This Row],[中文]])</f>
        <v>联系电话</v>
      </c>
    </row>
    <row r="19" spans="1:5" x14ac:dyDescent="0.15">
      <c r="A19" s="9" t="s">
        <v>29</v>
      </c>
      <c r="B19" s="9" t="str">
        <f>IFERROR(VLOOKUP(表1[[#This Row],[唯一标示]],[1]!表1_83[#Data],2,FALSE),"EN."&amp;表1[[#This Row],[中文]])</f>
        <v>卡号</v>
      </c>
      <c r="C19" s="9" t="str">
        <f>IFERROR(VLOOKUP(表1[[#This Row],[唯一标示]],[1]!表1_83[#Data],4,FALSE),"EN."&amp;表1[[#This Row],[中文]])</f>
        <v>Seri:</v>
      </c>
      <c r="D19" s="10" t="str">
        <f>IFERROR(VLOOKUP(表1[[#This Row],[唯一标示]],[1]!表1_83[#Data],3,FALSE),"EN."&amp;表1[[#This Row],[中文]])</f>
        <v>Seri:</v>
      </c>
      <c r="E19" s="9" t="str">
        <f>IFERROR(VLOOKUP(表1[[#This Row],[唯一标示]],[1]!表1_83[#Data],5,FALSE),"EN."&amp;表1[[#This Row],[中文]])</f>
        <v>卡号</v>
      </c>
    </row>
    <row r="20" spans="1:5" x14ac:dyDescent="0.15">
      <c r="A20" s="9" t="s">
        <v>30</v>
      </c>
      <c r="B20" s="9" t="str">
        <f>IFERROR(VLOOKUP(表1[[#This Row],[唯一标示]],[1]!表1_83[#Data],2,FALSE),"EN."&amp;表1[[#This Row],[中文]])</f>
        <v>密码</v>
      </c>
      <c r="C20" s="9" t="str">
        <f>IFERROR(VLOOKUP(表1[[#This Row],[唯一标示]],[1]!表1_83[#Data],4,FALSE),"EN."&amp;表1[[#This Row],[中文]])</f>
        <v xml:space="preserve">Mật mã </v>
      </c>
      <c r="D20" s="10" t="str">
        <f>IFERROR(VLOOKUP(表1[[#This Row],[唯一标示]],[1]!表1_83[#Data],3,FALSE),"EN."&amp;表1[[#This Row],[中文]])</f>
        <v xml:space="preserve">Mật mã </v>
      </c>
      <c r="E20" s="9" t="str">
        <f>IFERROR(VLOOKUP(表1[[#This Row],[唯一标示]],[1]!表1_83[#Data],5,FALSE),"EN."&amp;表1[[#This Row],[中文]])</f>
        <v>密码</v>
      </c>
    </row>
    <row r="21" spans="1:5" x14ac:dyDescent="0.15">
      <c r="A21" s="9" t="s">
        <v>31</v>
      </c>
      <c r="B21" s="9" t="str">
        <f>IFERROR(VLOOKUP(表1[[#This Row],[唯一标示]],[1]!表1_83[#Data],2,FALSE),"EN."&amp;表1[[#This Row],[中文]])</f>
        <v>取消订单</v>
      </c>
      <c r="C21" s="9" t="str">
        <f>IFERROR(VLOOKUP(表1[[#This Row],[唯一标示]],[1]!表1_83[#Data],4,FALSE),"EN."&amp;表1[[#This Row],[中文]])</f>
        <v>Huỷ Đơn</v>
      </c>
      <c r="D21" s="10" t="str">
        <f>IFERROR(VLOOKUP(表1[[#This Row],[唯一标示]],[1]!表1_83[#Data],3,FALSE),"EN."&amp;表1[[#This Row],[中文]])</f>
        <v>Huỷ Đơn</v>
      </c>
      <c r="E21" s="9" t="str">
        <f>IFERROR(VLOOKUP(表1[[#This Row],[唯一标示]],[1]!表1_83[#Data],5,FALSE),"EN."&amp;表1[[#This Row],[中文]])</f>
        <v>取消订单</v>
      </c>
    </row>
    <row r="22" spans="1:5" x14ac:dyDescent="0.15">
      <c r="A22" s="9" t="s">
        <v>32</v>
      </c>
      <c r="B22" s="9" t="str">
        <f>IFERROR(VLOOKUP(表1[[#This Row],[唯一标示]],[1]!表1_83[#Data],2,FALSE),"EN."&amp;表1[[#This Row],[中文]])</f>
        <v>兑换后1到3个工作日内处理</v>
      </c>
      <c r="C22" s="9" t="str">
        <f>IFERROR(VLOOKUP(表1[[#This Row],[唯一标示]],[1]!表1_83[#Data],4,FALSE),"EN."&amp;表1[[#This Row],[中文]])</f>
        <v>Hệ thống sẽ xử lý từ 30 - 90 phút!!!</v>
      </c>
      <c r="D22" s="10" t="str">
        <f>IFERROR(VLOOKUP(表1[[#This Row],[唯一标示]],[1]!表1_83[#Data],3,FALSE),"EN."&amp;表1[[#This Row],[中文]])</f>
        <v>Hệ thống sẽ xử lý từ 30 - 90 phút!!!</v>
      </c>
      <c r="E22" s="9" t="str">
        <f>IFERROR(VLOOKUP(表1[[#This Row],[唯一标示]],[1]!表1_83[#Data],5,FALSE),"EN."&amp;表1[[#This Row],[中文]])</f>
        <v>兑换后1到3个工作日内处理</v>
      </c>
    </row>
    <row r="23" spans="1:5" x14ac:dyDescent="0.15">
      <c r="A23" s="9" t="s">
        <v>33</v>
      </c>
      <c r="B23" s="9" t="str">
        <f>IFERROR(VLOOKUP(表1[[#This Row],[唯一标示]],[1]!表1_83[#Data],2,FALSE),"EN."&amp;表1[[#This Row],[中文]])</f>
        <v>获得</v>
      </c>
      <c r="C23" s="9" t="str">
        <f>IFERROR(VLOOKUP(表1[[#This Row],[唯一标示]],[1]!表1_83[#Data],4,FALSE),"EN."&amp;表1[[#This Row],[中文]])</f>
        <v xml:space="preserve">Nhận </v>
      </c>
      <c r="D23" s="10" t="str">
        <f>IFERROR(VLOOKUP(表1[[#This Row],[唯一标示]],[1]!表1_83[#Data],3,FALSE),"EN."&amp;表1[[#This Row],[中文]])</f>
        <v xml:space="preserve">Nhận </v>
      </c>
      <c r="E23" s="9" t="str">
        <f>IFERROR(VLOOKUP(表1[[#This Row],[唯一标示]],[1]!表1_83[#Data],5,FALSE),"EN."&amp;表1[[#This Row],[中文]])</f>
        <v>获得</v>
      </c>
    </row>
    <row r="24" spans="1:5" x14ac:dyDescent="0.15">
      <c r="A24" s="9" t="s">
        <v>34</v>
      </c>
      <c r="B24" s="9" t="str">
        <f>IFERROR(VLOOKUP(表1[[#This Row],[唯一标示]],[1]!表1_83[#Data],2,FALSE),"EN."&amp;表1[[#This Row],[中文]])</f>
        <v>暂无订单</v>
      </c>
      <c r="C24" s="9" t="str">
        <f>IFERROR(VLOOKUP(表1[[#This Row],[唯一标示]],[1]!表1_83[#Data],4,FALSE),"EN."&amp;表1[[#This Row],[中文]])</f>
        <v>Trống</v>
      </c>
      <c r="D24" s="10" t="str">
        <f>IFERROR(VLOOKUP(表1[[#This Row],[唯一标示]],[1]!表1_83[#Data],3,FALSE),"EN."&amp;表1[[#This Row],[中文]])</f>
        <v>Trống</v>
      </c>
      <c r="E24" s="9" t="str">
        <f>IFERROR(VLOOKUP(表1[[#This Row],[唯一标示]],[1]!表1_83[#Data],5,FALSE),"EN."&amp;表1[[#This Row],[中文]])</f>
        <v>暂无订单</v>
      </c>
    </row>
    <row r="25" spans="1:5" x14ac:dyDescent="0.15">
      <c r="A25" s="9" t="s">
        <v>35</v>
      </c>
      <c r="B25" s="9" t="str">
        <f>IFERROR(VLOOKUP(表1[[#This Row],[唯一标示]],[1]!表1_83[#Data],2,FALSE),"EN."&amp;表1[[#This Row],[中文]])</f>
        <v>订单</v>
      </c>
      <c r="C25" s="9" t="str">
        <f>IFERROR(VLOOKUP(表1[[#This Row],[唯一标示]],[1]!表1_83[#Data],4,FALSE),"EN."&amp;表1[[#This Row],[中文]])</f>
        <v xml:space="preserve">Đơn hàng </v>
      </c>
      <c r="D25" s="10" t="str">
        <f>IFERROR(VLOOKUP(表1[[#This Row],[唯一标示]],[1]!表1_83[#Data],3,FALSE),"EN."&amp;表1[[#This Row],[中文]])</f>
        <v xml:space="preserve">Đơn hàng </v>
      </c>
      <c r="E25" s="9" t="str">
        <f>IFERROR(VLOOKUP(表1[[#This Row],[唯一标示]],[1]!表1_83[#Data],5,FALSE),"EN."&amp;表1[[#This Row],[中文]])</f>
        <v>订单</v>
      </c>
    </row>
    <row r="26" spans="1:5" x14ac:dyDescent="0.15">
      <c r="A26" s="9" t="s">
        <v>36</v>
      </c>
      <c r="B26" s="9" t="str">
        <f>IFERROR(VLOOKUP(表1[[#This Row],[唯一标示]],[1]!表1_83[#Data],2,FALSE),"EN."&amp;表1[[#This Row],[中文]])</f>
        <v>查看详情</v>
      </c>
      <c r="C26" s="9" t="str">
        <f>IFERROR(VLOOKUP(表1[[#This Row],[唯一标示]],[1]!表1_83[#Data],4,FALSE),"EN."&amp;表1[[#This Row],[中文]])</f>
        <v>Tra cứu chi tiết</v>
      </c>
      <c r="D26" s="10" t="str">
        <f>IFERROR(VLOOKUP(表1[[#This Row],[唯一标示]],[1]!表1_83[#Data],3,FALSE),"EN."&amp;表1[[#This Row],[中文]])</f>
        <v>Tra cứu chi tiết</v>
      </c>
      <c r="E26" s="9" t="str">
        <f>IFERROR(VLOOKUP(表1[[#This Row],[唯一标示]],[1]!表1_83[#Data],5,FALSE),"EN."&amp;表1[[#This Row],[中文]])</f>
        <v>查看详情</v>
      </c>
    </row>
    <row r="27" spans="1:5" x14ac:dyDescent="0.15">
      <c r="A27" s="9" t="s">
        <v>37</v>
      </c>
      <c r="B27" s="9" t="str">
        <f>IFERROR(VLOOKUP(表1[[#This Row],[唯一标示]],[1]!表1_83[#Data],2,FALSE),"EN."&amp;表1[[#This Row],[中文]])</f>
        <v>兑换物品:</v>
      </c>
      <c r="C27" s="9" t="str">
        <f>IFERROR(VLOOKUP(表1[[#This Row],[唯一标示]],[1]!表1_83[#Data],4,FALSE),"EN."&amp;表1[[#This Row],[中文]])</f>
        <v xml:space="preserve">Vật phẩm đổi: </v>
      </c>
      <c r="D27" s="10" t="str">
        <f>IFERROR(VLOOKUP(表1[[#This Row],[唯一标示]],[1]!表1_83[#Data],3,FALSE),"EN."&amp;表1[[#This Row],[中文]])</f>
        <v xml:space="preserve">Vật phẩm đổi: </v>
      </c>
      <c r="E27" s="9" t="str">
        <f>IFERROR(VLOOKUP(表1[[#This Row],[唯一标示]],[1]!表1_83[#Data],5,FALSE),"EN."&amp;表1[[#This Row],[中文]])</f>
        <v>兑换物品:</v>
      </c>
    </row>
    <row r="28" spans="1:5" x14ac:dyDescent="0.15">
      <c r="A28" s="9" t="s">
        <v>38</v>
      </c>
      <c r="B28" s="9" t="str">
        <f>IFERROR(VLOOKUP(表1[[#This Row],[唯一标示]],[1]!表1_83[#Data],2,FALSE),"EN."&amp;表1[[#This Row],[中文]])</f>
        <v>捕鱼命中立即提高2倍\n开炮1000次内陆续衰减至1倍</v>
      </c>
      <c r="C28" s="9" t="str">
        <f>IFERROR(VLOOKUP(表1[[#This Row],[唯一标示]],[1]!表1_83[#Data],4,FALSE),"EN."&amp;表1[[#This Row],[中文]])</f>
        <v>Nâng tỷ lệ Hit bắn cá 1.6 lần \nBắn 1200 lần giảm dần đến x1</v>
      </c>
      <c r="D28" s="10" t="str">
        <f>IFERROR(VLOOKUP(表1[[#This Row],[唯一标示]],[1]!表1_83[#Data],3,FALSE),"EN."&amp;表1[[#This Row],[中文]])</f>
        <v>Nâng tỷ lệ Hit bắn cá 1.6 lần \nBắn 1200 lần giảm dần đến x1</v>
      </c>
      <c r="E28" s="9" t="str">
        <f>IFERROR(VLOOKUP(表1[[#This Row],[唯一标示]],[1]!表1_83[#Data],5,FALSE),"EN."&amp;表1[[#This Row],[中文]])</f>
        <v>捕鱼命中立即提高2倍\n开炮1000次内陆续衰减至1倍</v>
      </c>
    </row>
    <row r="29" spans="1:5" x14ac:dyDescent="0.15">
      <c r="A29" s="9" t="s">
        <v>39</v>
      </c>
      <c r="B29" s="9" t="str">
        <f>IFERROR(VLOOKUP(表1[[#This Row],[唯一标示]],[1]!表1_83[#Data],2,FALSE),"EN."&amp;表1[[#This Row],[中文]])</f>
        <v>捕鱼命中立即提高3倍\n开炮1000次内陆续衰减至1倍</v>
      </c>
      <c r="C29" s="9" t="str">
        <f>IFERROR(VLOOKUP(表1[[#This Row],[唯一标示]],[1]!表1_83[#Data],4,FALSE),"EN."&amp;表1[[#This Row],[中文]])</f>
        <v>Nâng tỷ lệ Hit bắn cá 2 lần \nBắn 1200 lần giảm dần đến x1</v>
      </c>
      <c r="D29" s="10" t="str">
        <f>IFERROR(VLOOKUP(表1[[#This Row],[唯一标示]],[1]!表1_83[#Data],3,FALSE),"EN."&amp;表1[[#This Row],[中文]])</f>
        <v>Nâng tỷ lệ Hit bắn cá 2 lần \nBắn 1200 lần giảm dần đến x1</v>
      </c>
      <c r="E29" s="9" t="str">
        <f>IFERROR(VLOOKUP(表1[[#This Row],[唯一标示]],[1]!表1_83[#Data],5,FALSE),"EN."&amp;表1[[#This Row],[中文]])</f>
        <v>捕鱼命中立即提高3倍\n开炮1000次内陆续衰减至1倍</v>
      </c>
    </row>
    <row r="30" spans="1:5" x14ac:dyDescent="0.15">
      <c r="A30" s="9" t="s">
        <v>40</v>
      </c>
      <c r="B30" s="9" t="str">
        <f>IFERROR(VLOOKUP(表1[[#This Row],[唯一标示]],[1]!表1_83[#Data],2,FALSE),"EN."&amp;表1[[#This Row],[中文]])</f>
        <v>对500倍以上的炮无效</v>
      </c>
      <c r="C30" s="9" t="str">
        <f>IFERROR(VLOOKUP(表1[[#This Row],[唯一标示]],[1]!表1_83[#Data],4,FALSE),"EN."&amp;表1[[#This Row],[中文]])</f>
        <v>Vô hiệu đối với Pháo x 500</v>
      </c>
      <c r="D30" s="10" t="str">
        <f>IFERROR(VLOOKUP(表1[[#This Row],[唯一标示]],[1]!表1_83[#Data],3,FALSE),"EN."&amp;表1[[#This Row],[中文]])</f>
        <v>Vô hiệu đối với Pháo x 500</v>
      </c>
      <c r="E30" s="9" t="str">
        <f>IFERROR(VLOOKUP(表1[[#This Row],[唯一标示]],[1]!表1_83[#Data],5,FALSE),"EN."&amp;表1[[#This Row],[中文]])</f>
        <v>对500倍以上的炮无效</v>
      </c>
    </row>
    <row r="31" spans="1:5" x14ac:dyDescent="0.15">
      <c r="A31" s="9" t="s">
        <v>41</v>
      </c>
      <c r="B31" s="9" t="str">
        <f>IFERROR(VLOOKUP(表1[[#This Row],[唯一标示]],[1]!表1_83[#Data],2,FALSE),"EN."&amp;表1[[#This Row],[中文]])</f>
        <v>对1000倍以上的炮无效</v>
      </c>
      <c r="C31" s="9" t="str">
        <f>IFERROR(VLOOKUP(表1[[#This Row],[唯一标示]],[1]!表1_83[#Data],4,FALSE),"EN."&amp;表1[[#This Row],[中文]])</f>
        <v>Vô hiệu đối với Pháo x 1000</v>
      </c>
      <c r="D31" s="10" t="str">
        <f>IFERROR(VLOOKUP(表1[[#This Row],[唯一标示]],[1]!表1_83[#Data],3,FALSE),"EN."&amp;表1[[#This Row],[中文]])</f>
        <v>Vô hiệu đối với Pháo x 1000</v>
      </c>
      <c r="E31" s="9" t="str">
        <f>IFERROR(VLOOKUP(表1[[#This Row],[唯一标示]],[1]!表1_83[#Data],5,FALSE),"EN."&amp;表1[[#This Row],[中文]])</f>
        <v>对1000倍以上的炮无效</v>
      </c>
    </row>
    <row r="32" spans="1:5" x14ac:dyDescent="0.15">
      <c r="A32" s="9" t="s">
        <v>42</v>
      </c>
      <c r="B32" s="9" t="str">
        <f>IFERROR(VLOOKUP(表1[[#This Row],[唯一标示]],[1]!表1_83[#Data],2,FALSE),"EN."&amp;表1[[#This Row],[中文]])</f>
        <v>一元</v>
      </c>
      <c r="C32" s="9" t="str">
        <f>IFERROR(VLOOKUP(表1[[#This Row],[唯一标示]],[1]!表1_83[#Data],4,FALSE),"EN."&amp;表1[[#This Row],[中文]])</f>
        <v>￥1</v>
      </c>
      <c r="D32" s="10" t="str">
        <f>IFERROR(VLOOKUP(表1[[#This Row],[唯一标示]],[1]!表1_83[#Data],3,FALSE),"EN."&amp;表1[[#This Row],[中文]])</f>
        <v>￥1</v>
      </c>
      <c r="E32" s="9" t="str">
        <f>IFERROR(VLOOKUP(表1[[#This Row],[唯一标示]],[1]!表1_83[#Data],5,FALSE),"EN."&amp;表1[[#This Row],[中文]])</f>
        <v>1$</v>
      </c>
    </row>
    <row r="33" spans="1:5" x14ac:dyDescent="0.15">
      <c r="A33" s="9" t="s">
        <v>43</v>
      </c>
      <c r="B33" s="9" t="str">
        <f>IFERROR(VLOOKUP(表1[[#This Row],[唯一标示]],[1]!表1_83[#Data],2,FALSE),"EN."&amp;表1[[#This Row],[中文]])</f>
        <v>十元</v>
      </c>
      <c r="C33" s="9" t="str">
        <f>IFERROR(VLOOKUP(表1[[#This Row],[唯一标示]],[1]!表1_83[#Data],4,FALSE),"EN."&amp;表1[[#This Row],[中文]])</f>
        <v>￥10</v>
      </c>
      <c r="D33" s="10" t="str">
        <f>IFERROR(VLOOKUP(表1[[#This Row],[唯一标示]],[1]!表1_83[#Data],3,FALSE),"EN."&amp;表1[[#This Row],[中文]])</f>
        <v>￥10</v>
      </c>
      <c r="E33" s="9" t="str">
        <f>IFERROR(VLOOKUP(表1[[#This Row],[唯一标示]],[1]!表1_83[#Data],5,FALSE),"EN."&amp;表1[[#This Row],[中文]])</f>
        <v>3$</v>
      </c>
    </row>
    <row r="34" spans="1:5" x14ac:dyDescent="0.15">
      <c r="A34" s="9" t="s">
        <v>44</v>
      </c>
      <c r="B34" s="9" t="str">
        <f>IFERROR(VLOOKUP(表1[[#This Row],[唯一标示]],[1]!表1_83[#Data],2,FALSE),"EN."&amp;表1[[#This Row],[中文]])</f>
        <v>《捕捞季》开发组</v>
      </c>
      <c r="C34" s="9" t="str">
        <f>IFERROR(VLOOKUP(表1[[#This Row],[唯一标示]],[1]!表1_83[#Data],4,FALSE),"EN."&amp;表1[[#This Row],[中文]])</f>
        <v>Quản trị 《Thợ Săn Cá 》</v>
      </c>
      <c r="D34" s="10" t="str">
        <f>IFERROR(VLOOKUP(表1[[#This Row],[唯一标示]],[1]!表1_83[#Data],3,FALSE),"EN."&amp;表1[[#This Row],[中文]])</f>
        <v>Quản trị 《Thợ Săn Cá 》</v>
      </c>
      <c r="E34" s="9" t="str">
        <f>IFERROR(VLOOKUP(表1[[#This Row],[唯一标示]],[1]!表1_83[#Data],5,FALSE),"EN."&amp;表1[[#This Row],[中文]])</f>
        <v>《捕捞季》开发组</v>
      </c>
    </row>
    <row r="35" spans="1:5" x14ac:dyDescent="0.15">
      <c r="A35" s="9" t="s">
        <v>45</v>
      </c>
      <c r="B35" s="9" t="str">
        <f>IFERROR(VLOOKUP(表1[[#This Row],[唯一标示]],[1]!表1_83[#Data],2,FALSE),"EN."&amp;表1[[#This Row],[中文]])</f>
        <v>可在右边发表任何意见，我们将采纳优质建议，并给予奖励。</v>
      </c>
      <c r="C35" s="9" t="str">
        <f>IFERROR(VLOOKUP(表1[[#This Row],[唯一标示]],[1]!表1_83[#Data],4,FALSE),"EN."&amp;表1[[#This Row],[中文]])</f>
        <v>Có thể để lại ý kiến ở bên phải, chúng tôi sẽ tiếp thu ý kiến, và có phần quà.</v>
      </c>
      <c r="D35" s="10" t="str">
        <f>IFERROR(VLOOKUP(表1[[#This Row],[唯一标示]],[1]!表1_83[#Data],3,FALSE),"EN."&amp;表1[[#This Row],[中文]])</f>
        <v>Có thể để lại ý kiến ở bên phải, chúng tôi sẽ tiếp thu ý kiến, và có phần quà.</v>
      </c>
      <c r="E35" s="9" t="str">
        <f>IFERROR(VLOOKUP(表1[[#This Row],[唯一标示]],[1]!表1_83[#Data],5,FALSE),"EN."&amp;表1[[#This Row],[中文]])</f>
        <v>可在右边发表任何意见，我们将采纳优质建议，并给予奖励。</v>
      </c>
    </row>
    <row r="36" spans="1:5" x14ac:dyDescent="0.15">
      <c r="A36" s="9" t="s">
        <v>46</v>
      </c>
      <c r="B36" s="9" t="str">
        <f>IFERROR(VLOOKUP(表1[[#This Row],[唯一标示]],[1]!表1_83[#Data],2,FALSE),"EN."&amp;表1[[#This Row],[中文]])</f>
        <v>发表</v>
      </c>
      <c r="C36" s="9" t="str">
        <f>IFERROR(VLOOKUP(表1[[#This Row],[唯一标示]],[1]!表1_83[#Data],4,FALSE),"EN."&amp;表1[[#This Row],[中文]])</f>
        <v>Gửi</v>
      </c>
      <c r="D36" s="10" t="str">
        <f>IFERROR(VLOOKUP(表1[[#This Row],[唯一标示]],[1]!表1_83[#Data],3,FALSE),"EN."&amp;表1[[#This Row],[中文]])</f>
        <v>Gửi</v>
      </c>
      <c r="E36" s="9" t="str">
        <f>IFERROR(VLOOKUP(表1[[#This Row],[唯一标示]],[1]!表1_83[#Data],5,FALSE),"EN."&amp;表1[[#This Row],[中文]])</f>
        <v>发表</v>
      </c>
    </row>
    <row r="37" spans="1:5" x14ac:dyDescent="0.15">
      <c r="A37" s="9" t="s">
        <v>47</v>
      </c>
      <c r="B37" s="9" t="str">
        <f>IFERROR(VLOOKUP(表1[[#This Row],[唯一标示]],[1]!表1_83[#Data],2,FALSE),"EN."&amp;表1[[#This Row],[中文]])</f>
        <v>每周一次分享</v>
      </c>
      <c r="C37" s="9" t="str">
        <f>IFERROR(VLOOKUP(表1[[#This Row],[唯一标示]],[1]!表1_83[#Data],4,FALSE),"EN."&amp;表1[[#This Row],[中文]])</f>
        <v>Mỗi tuần chia sẻ 1 lần</v>
      </c>
      <c r="D37" s="10" t="str">
        <f>IFERROR(VLOOKUP(表1[[#This Row],[唯一标示]],[1]!表1_83[#Data],3,FALSE),"EN."&amp;表1[[#This Row],[中文]])</f>
        <v>Mỗi tuần chia sẻ 1 lần</v>
      </c>
      <c r="E37" s="9" t="str">
        <f>IFERROR(VLOOKUP(表1[[#This Row],[唯一标示]],[1]!表1_83[#Data],5,FALSE),"EN."&amp;表1[[#This Row],[中文]])</f>
        <v>每周一次分享</v>
      </c>
    </row>
    <row r="38" spans="1:5" x14ac:dyDescent="0.15">
      <c r="A38" s="9" t="s">
        <v>193</v>
      </c>
      <c r="B38" s="9" t="str">
        <f>IFERROR(VLOOKUP(表1[[#This Row],[唯一标示]],[1]!表1_83[#Data],2,FALSE),"EN."&amp;表1[[#This Row],[中文]])</f>
        <v>领取</v>
      </c>
      <c r="C38" s="9" t="str">
        <f>IFERROR(VLOOKUP(表1[[#This Row],[唯一标示]],[1]!表1_83[#Data],4,FALSE),"EN."&amp;表1[[#This Row],[中文]])</f>
        <v xml:space="preserve">Nhận </v>
      </c>
      <c r="D38" s="10" t="str">
        <f>IFERROR(VLOOKUP(表1[[#This Row],[唯一标示]],[1]!表1_83[#Data],3,FALSE),"EN."&amp;表1[[#This Row],[中文]])</f>
        <v xml:space="preserve">Nhận </v>
      </c>
      <c r="E38" s="9" t="str">
        <f>IFERROR(VLOOKUP(表1[[#This Row],[唯一标示]],[1]!表1_83[#Data],5,FALSE),"EN."&amp;表1[[#This Row],[中文]])</f>
        <v>领取</v>
      </c>
    </row>
    <row r="39" spans="1:5" x14ac:dyDescent="0.15">
      <c r="A39" s="9" t="s">
        <v>48</v>
      </c>
      <c r="B39" s="9" t="str">
        <f>IFERROR(VLOOKUP(表1[[#This Row],[唯一标示]],[1]!表1_83[#Data],2,FALSE),"EN."&amp;表1[[#This Row],[中文]])</f>
        <v>充值</v>
      </c>
      <c r="C39" s="9" t="str">
        <f>IFERROR(VLOOKUP(表1[[#This Row],[唯一标示]],[1]!表1_83[#Data],4,FALSE),"EN."&amp;表1[[#This Row],[中文]])</f>
        <v xml:space="preserve">Nạp </v>
      </c>
      <c r="D39" s="10" t="str">
        <f>IFERROR(VLOOKUP(表1[[#This Row],[唯一标示]],[1]!表1_83[#Data],3,FALSE),"EN."&amp;表1[[#This Row],[中文]])</f>
        <v xml:space="preserve">Nạp </v>
      </c>
      <c r="E39" s="9" t="str">
        <f>IFERROR(VLOOKUP(表1[[#This Row],[唯一标示]],[1]!表1_83[#Data],5,FALSE),"EN."&amp;表1[[#This Row],[中文]])</f>
        <v>充值</v>
      </c>
    </row>
    <row r="40" spans="1:5" x14ac:dyDescent="0.15">
      <c r="A40" s="9" t="s">
        <v>49</v>
      </c>
      <c r="B40" s="9" t="str">
        <f>IFERROR(VLOOKUP(表1[[#This Row],[唯一标示]],[1]!表1_83[#Data],2,FALSE),"EN."&amp;表1[[#This Row],[中文]])</f>
        <v>已捕获奖金鱼</v>
      </c>
      <c r="C40" s="9" t="str">
        <f>IFERROR(VLOOKUP(表1[[#This Row],[唯一标示]],[1]!表1_83[#Data],4,FALSE),"EN."&amp;表1[[#This Row],[中文]])</f>
        <v>Đã thu được cá phần thưởng!</v>
      </c>
      <c r="D40" s="10" t="str">
        <f>IFERROR(VLOOKUP(表1[[#This Row],[唯一标示]],[1]!表1_83[#Data],3,FALSE),"EN."&amp;表1[[#This Row],[中文]])</f>
        <v>Đã thu được cá phần thưởng!</v>
      </c>
      <c r="E40" s="9" t="str">
        <f>IFERROR(VLOOKUP(表1[[#This Row],[唯一标示]],[1]!表1_83[#Data],5,FALSE),"EN."&amp;表1[[#This Row],[中文]])</f>
        <v>已捕获奖金鱼</v>
      </c>
    </row>
    <row r="41" spans="1:5" x14ac:dyDescent="0.15">
      <c r="A41" s="9" t="s">
        <v>50</v>
      </c>
      <c r="B41" s="9" t="str">
        <f>IFERROR(VLOOKUP(表1[[#This Row],[唯一标示]],[1]!表1_83[#Data],2,FALSE),"EN."&amp;表1[[#This Row],[中文]])</f>
        <v>继续游戏</v>
      </c>
      <c r="C41" s="9" t="str">
        <f>IFERROR(VLOOKUP(表1[[#This Row],[唯一标示]],[1]!表1_83[#Data],4,FALSE),"EN."&amp;表1[[#This Row],[中文]])</f>
        <v>Tiếp tục chơi</v>
      </c>
      <c r="D41" s="10" t="str">
        <f>IFERROR(VLOOKUP(表1[[#This Row],[唯一标示]],[1]!表1_83[#Data],3,FALSE),"EN."&amp;表1[[#This Row],[中文]])</f>
        <v>Tiếp tục chơi</v>
      </c>
      <c r="E41" s="9" t="str">
        <f>IFERROR(VLOOKUP(表1[[#This Row],[唯一标示]],[1]!表1_83[#Data],5,FALSE),"EN."&amp;表1[[#This Row],[中文]])</f>
        <v>继续游戏</v>
      </c>
    </row>
    <row r="42" spans="1:5" x14ac:dyDescent="0.15">
      <c r="A42" s="9" t="s">
        <v>51</v>
      </c>
      <c r="B42" s="9" t="str">
        <f>IFERROR(VLOOKUP(表1[[#This Row],[唯一标示]],[1]!表1_83[#Data],2,FALSE),"EN."&amp;表1[[#This Row],[中文]])</f>
        <v>暂时离开</v>
      </c>
      <c r="C42" s="9" t="str">
        <f>IFERROR(VLOOKUP(表1[[#This Row],[唯一标示]],[1]!表1_83[#Data],4,FALSE),"EN."&amp;表1[[#This Row],[中文]])</f>
        <v>Tạm rời khỏi</v>
      </c>
      <c r="D42" s="10" t="str">
        <f>IFERROR(VLOOKUP(表1[[#This Row],[唯一标示]],[1]!表1_83[#Data],3,FALSE),"EN."&amp;表1[[#This Row],[中文]])</f>
        <v>Tạm rời khỏi</v>
      </c>
      <c r="E42" s="9" t="str">
        <f>IFERROR(VLOOKUP(表1[[#This Row],[唯一标示]],[1]!表1_83[#Data],5,FALSE),"EN."&amp;表1[[#This Row],[中文]])</f>
        <v>暂时离开</v>
      </c>
    </row>
    <row r="43" spans="1:5" x14ac:dyDescent="0.15">
      <c r="A43" s="9" t="s">
        <v>52</v>
      </c>
      <c r="B43" s="9" t="str">
        <f>IFERROR(VLOOKUP(表1[[#This Row],[唯一标示]],[1]!表1_83[#Data],2,FALSE),"EN."&amp;表1[[#This Row],[中文]])</f>
        <v>邀请1个好友可获得如下奖励</v>
      </c>
      <c r="C43" s="9" t="str">
        <f>IFERROR(VLOOKUP(表1[[#This Row],[唯一标示]],[1]!表1_83[#Data],4,FALSE),"EN."&amp;表1[[#This Row],[中文]])</f>
        <v xml:space="preserve">Mời 1 bạn nhận được: </v>
      </c>
      <c r="D43" s="10" t="str">
        <f>IFERROR(VLOOKUP(表1[[#This Row],[唯一标示]],[1]!表1_83[#Data],3,FALSE),"EN."&amp;表1[[#This Row],[中文]])</f>
        <v xml:space="preserve">Mời 1 bạn nhận được: </v>
      </c>
      <c r="E43" s="9" t="str">
        <f>IFERROR(VLOOKUP(表1[[#This Row],[唯一标示]],[1]!表1_83[#Data],5,FALSE),"EN."&amp;表1[[#This Row],[中文]])</f>
        <v>邀请1个好友可获得如下奖励</v>
      </c>
    </row>
    <row r="44" spans="1:5" x14ac:dyDescent="0.15">
      <c r="A44" s="9" t="s">
        <v>53</v>
      </c>
      <c r="B44" s="9" t="str">
        <f>IFERROR(VLOOKUP(表1[[#This Row],[唯一标示]],[1]!表1_83[#Data],2,FALSE),"EN."&amp;表1[[#This Row],[中文]])</f>
        <v>每日首次邀请好友可获得奖励</v>
      </c>
      <c r="C44" s="9" t="str">
        <f>IFERROR(VLOOKUP(表1[[#This Row],[唯一标示]],[1]!表1_83[#Data],4,FALSE),"EN."&amp;表1[[#This Row],[中文]])</f>
        <v>Mời bạn lần đầu mỗi ngày có thể nhận quà</v>
      </c>
      <c r="D44" s="10" t="str">
        <f>IFERROR(VLOOKUP(表1[[#This Row],[唯一标示]],[1]!表1_83[#Data],3,FALSE),"EN."&amp;表1[[#This Row],[中文]])</f>
        <v>Mời bạn lần đầu mỗi ngày có thể nhận quà</v>
      </c>
      <c r="E44" s="9" t="str">
        <f>IFERROR(VLOOKUP(表1[[#This Row],[唯一标示]],[1]!表1_83[#Data],5,FALSE),"EN."&amp;表1[[#This Row],[中文]])</f>
        <v>每日首次邀请好友可获得奖励</v>
      </c>
    </row>
    <row r="45" spans="1:5" x14ac:dyDescent="0.15">
      <c r="A45" s="9" t="s">
        <v>54</v>
      </c>
      <c r="B45" s="9" t="str">
        <f>IFERROR(VLOOKUP(表1[[#This Row],[唯一标示]],[1]!表1_83[#Data],2,FALSE),"EN."&amp;表1[[#This Row],[中文]])</f>
        <v>被邀请好友创建账号并升级到50倍炮视为成功邀请\n好友每次充值钻石，邀请者都可获得10%的充值奖励</v>
      </c>
      <c r="C45" s="9" t="str">
        <f>IFERROR(VLOOKUP(表1[[#This Row],[唯一标示]],[1]!表1_83[#Data],4,FALSE),"EN."&amp;表1[[#This Row],[中文]])</f>
        <v>Thể lệ: 1. Bạn bè đăng nhập game, nâng cấp Pháo x 50 sẽ nhận được quà.\n   2. Nếu bạn bè mỗi lần nạp, người mời sẽ được 10% quà.\n  3. Khi mời sẽ gửi thư đến tài khoản hoặc group.</v>
      </c>
      <c r="D45" s="10" t="str">
        <f>IFERROR(VLOOKUP(表1[[#This Row],[唯一标示]],[1]!表1_83[#Data],3,FALSE),"EN."&amp;表1[[#This Row],[中文]])</f>
        <v>Thể lệ: 1. Bạn bè đăng nhập game, nâng cấp Pháo x 50 sẽ nhận được quà.\n   2. Nếu bạn bè mỗi lần nạp, người mời sẽ được 10% quà.\n  3. Khi mời sẽ gửi thư đến tài khoản hoặc group.</v>
      </c>
      <c r="E45" s="9" t="str">
        <f>IFERROR(VLOOKUP(表1[[#This Row],[唯一标示]],[1]!表1_83[#Data],5,FALSE),"EN."&amp;表1[[#This Row],[中文]])</f>
        <v>被邀请好友创建账号并升级到50倍炮视为成功邀请\n好友每次充值钻石，邀请者都可获得10%的充值奖励</v>
      </c>
    </row>
    <row r="46" spans="1:5" x14ac:dyDescent="0.15">
      <c r="A46" s="9" t="s">
        <v>55</v>
      </c>
      <c r="B46" s="9" t="str">
        <f>IFERROR(VLOOKUP(表1[[#This Row],[唯一标示]],[1]!表1_83[#Data],2,FALSE),"EN."&amp;表1[[#This Row],[中文]])</f>
        <v>接受</v>
      </c>
      <c r="C46" s="9" t="str">
        <f>IFERROR(VLOOKUP(表1[[#This Row],[唯一标示]],[1]!表1_83[#Data],4,FALSE),"EN."&amp;表1[[#This Row],[中文]])</f>
        <v xml:space="preserve">Chấp nhận </v>
      </c>
      <c r="D46" s="10" t="str">
        <f>IFERROR(VLOOKUP(表1[[#This Row],[唯一标示]],[1]!表1_83[#Data],3,FALSE),"EN."&amp;表1[[#This Row],[中文]])</f>
        <v xml:space="preserve">Chấp nhận </v>
      </c>
      <c r="E46" s="9" t="str">
        <f>IFERROR(VLOOKUP(表1[[#This Row],[唯一标示]],[1]!表1_83[#Data],5,FALSE),"EN."&amp;表1[[#This Row],[中文]])</f>
        <v>接受</v>
      </c>
    </row>
    <row r="47" spans="1:5" x14ac:dyDescent="0.15">
      <c r="A47" s="9" t="s">
        <v>56</v>
      </c>
      <c r="B47" s="9" t="str">
        <f>IFERROR(VLOOKUP(表1[[#This Row],[唯一标示]],[1]!表1_83[#Data],2,FALSE),"EN."&amp;表1[[#This Row],[中文]])</f>
        <v>拒绝</v>
      </c>
      <c r="C47" s="9" t="str">
        <f>IFERROR(VLOOKUP(表1[[#This Row],[唯一标示]],[1]!表1_83[#Data],4,FALSE),"EN."&amp;表1[[#This Row],[中文]])</f>
        <v>Từ chối</v>
      </c>
      <c r="D47" s="10" t="str">
        <f>IFERROR(VLOOKUP(表1[[#This Row],[唯一标示]],[1]!表1_83[#Data],3,FALSE),"EN."&amp;表1[[#This Row],[中文]])</f>
        <v>Từ chối</v>
      </c>
      <c r="E47" s="9" t="str">
        <f>IFERROR(VLOOKUP(表1[[#This Row],[唯一标示]],[1]!表1_83[#Data],5,FALSE),"EN."&amp;表1[[#This Row],[中文]])</f>
        <v>拒绝</v>
      </c>
    </row>
    <row r="48" spans="1:5" x14ac:dyDescent="0.15">
      <c r="A48" s="9" t="s">
        <v>57</v>
      </c>
      <c r="B48" s="9" t="str">
        <f>IFERROR(VLOOKUP(表1[[#This Row],[唯一标示]],[1]!表1_83[#Data],2,FALSE),"EN."&amp;表1[[#This Row],[中文]])</f>
        <v>人物等级：</v>
      </c>
      <c r="C48" s="9" t="str">
        <f>IFERROR(VLOOKUP(表1[[#This Row],[唯一标示]],[1]!表1_83[#Data],4,FALSE),"EN."&amp;表1[[#This Row],[中文]])</f>
        <v xml:space="preserve">Cấp nhân vật </v>
      </c>
      <c r="D48" s="10" t="str">
        <f>IFERROR(VLOOKUP(表1[[#This Row],[唯一标示]],[1]!表1_83[#Data],3,FALSE),"EN."&amp;表1[[#This Row],[中文]])</f>
        <v xml:space="preserve">Cấp nhân vật </v>
      </c>
      <c r="E48" s="9" t="str">
        <f>IFERROR(VLOOKUP(表1[[#This Row],[唯一标示]],[1]!表1_83[#Data],5,FALSE),"EN."&amp;表1[[#This Row],[中文]])</f>
        <v>人物等级：</v>
      </c>
    </row>
    <row r="49" spans="1:5" x14ac:dyDescent="0.15">
      <c r="A49" s="9" t="s">
        <v>58</v>
      </c>
      <c r="B49" s="9" t="str">
        <f>IFERROR(VLOOKUP(表1[[#This Row],[唯一标示]],[1]!表1_83[#Data],2,FALSE),"EN."&amp;表1[[#This Row],[中文]])</f>
        <v>武器倍率：</v>
      </c>
      <c r="C49" s="9" t="str">
        <f>IFERROR(VLOOKUP(表1[[#This Row],[唯一标示]],[1]!表1_83[#Data],4,FALSE),"EN."&amp;表1[[#This Row],[中文]])</f>
        <v>Cấp Súng</v>
      </c>
      <c r="D49" s="10" t="str">
        <f>IFERROR(VLOOKUP(表1[[#This Row],[唯一标示]],[1]!表1_83[#Data],3,FALSE),"EN."&amp;表1[[#This Row],[中文]])</f>
        <v>Cấp Súng</v>
      </c>
      <c r="E49" s="9" t="str">
        <f>IFERROR(VLOOKUP(表1[[#This Row],[唯一标示]],[1]!表1_83[#Data],5,FALSE),"EN."&amp;表1[[#This Row],[中文]])</f>
        <v>武器倍率：</v>
      </c>
    </row>
    <row r="50" spans="1:5" x14ac:dyDescent="0.15">
      <c r="A50" s="9" t="s">
        <v>59</v>
      </c>
      <c r="B50" s="9" t="str">
        <f>IFERROR(VLOOKUP(表1[[#This Row],[唯一标示]],[1]!表1_83[#Data],2,FALSE),"EN."&amp;表1[[#This Row],[中文]])</f>
        <v>拥有皮肤：</v>
      </c>
      <c r="C50" s="9" t="str">
        <f>IFERROR(VLOOKUP(表1[[#This Row],[唯一标示]],[1]!表1_83[#Data],4,FALSE),"EN."&amp;表1[[#This Row],[中文]])</f>
        <v>Súng sở hữu</v>
      </c>
      <c r="D50" s="10" t="str">
        <f>IFERROR(VLOOKUP(表1[[#This Row],[唯一标示]],[1]!表1_83[#Data],3,FALSE),"EN."&amp;表1[[#This Row],[中文]])</f>
        <v>Súng sở hữu</v>
      </c>
      <c r="E50" s="9" t="str">
        <f>IFERROR(VLOOKUP(表1[[#This Row],[唯一标示]],[1]!表1_83[#Data],5,FALSE),"EN."&amp;表1[[#This Row],[中文]])</f>
        <v>拥有皮肤：</v>
      </c>
    </row>
    <row r="51" spans="1:5" x14ac:dyDescent="0.15">
      <c r="A51" s="9" t="s">
        <v>60</v>
      </c>
      <c r="B51" s="9" t="str">
        <f>IFERROR(VLOOKUP(表1[[#This Row],[唯一标示]],[1]!表1_83[#Data],2,FALSE),"EN."&amp;表1[[#This Row],[中文]])</f>
        <v>排位段位：</v>
      </c>
      <c r="C51" s="9" t="str">
        <f>IFERROR(VLOOKUP(表1[[#This Row],[唯一标示]],[1]!表1_83[#Data],4,FALSE),"EN."&amp;表1[[#This Row],[中文]])</f>
        <v>Xếp Hạng</v>
      </c>
      <c r="D51" s="10" t="str">
        <f>IFERROR(VLOOKUP(表1[[#This Row],[唯一标示]],[1]!表1_83[#Data],3,FALSE),"EN."&amp;表1[[#This Row],[中文]])</f>
        <v>Xếp Hạng</v>
      </c>
      <c r="E51" s="9" t="str">
        <f>IFERROR(VLOOKUP(表1[[#This Row],[唯一标示]],[1]!表1_83[#Data],5,FALSE),"EN."&amp;表1[[#This Row],[中文]])</f>
        <v>排位段位：</v>
      </c>
    </row>
    <row r="52" spans="1:5" x14ac:dyDescent="0.15">
      <c r="A52" s="9" t="s">
        <v>61</v>
      </c>
      <c r="B52" s="9" t="str">
        <f>IFERROR(VLOOKUP(表1[[#This Row],[唯一标示]],[1]!表1_83[#Data],2,FALSE),"EN."&amp;表1[[#This Row],[中文]])</f>
        <v>所在省份：</v>
      </c>
      <c r="C52" s="9" t="str">
        <f>IFERROR(VLOOKUP(表1[[#This Row],[唯一标示]],[1]!表1_83[#Data],4,FALSE),"EN."&amp;表1[[#This Row],[中文]])</f>
        <v>Vị Trí</v>
      </c>
      <c r="D52" s="10" t="str">
        <f>IFERROR(VLOOKUP(表1[[#This Row],[唯一标示]],[1]!表1_83[#Data],3,FALSE),"EN."&amp;表1[[#This Row],[中文]])</f>
        <v>Vị Trí</v>
      </c>
      <c r="E52" s="9" t="str">
        <f>IFERROR(VLOOKUP(表1[[#This Row],[唯一标示]],[1]!表1_83[#Data],5,FALSE),"EN."&amp;表1[[#This Row],[中文]])</f>
        <v>所在省份：</v>
      </c>
    </row>
    <row r="53" spans="1:5" x14ac:dyDescent="0.15">
      <c r="A53" s="9" t="s">
        <v>62</v>
      </c>
      <c r="B53" s="9" t="str">
        <f>IFERROR(VLOOKUP(表1[[#This Row],[唯一标示]],[1]!表1_83[#Data],2,FALSE),"EN."&amp;表1[[#This Row],[中文]])</f>
        <v>打赏</v>
      </c>
      <c r="C53" s="9" t="str">
        <f>IFERROR(VLOOKUP(表1[[#This Row],[唯一标示]],[1]!表1_83[#Data],4,FALSE),"EN."&amp;表1[[#This Row],[中文]])</f>
        <v>Tip</v>
      </c>
      <c r="D53" s="10" t="str">
        <f>IFERROR(VLOOKUP(表1[[#This Row],[唯一标示]],[1]!表1_83[#Data],3,FALSE),"EN."&amp;表1[[#This Row],[中文]])</f>
        <v>Tip</v>
      </c>
      <c r="E53" s="9" t="str">
        <f>IFERROR(VLOOKUP(表1[[#This Row],[唯一标示]],[1]!表1_83[#Data],5,FALSE),"EN."&amp;表1[[#This Row],[中文]])</f>
        <v>打赏</v>
      </c>
    </row>
    <row r="54" spans="1:5" x14ac:dyDescent="0.15">
      <c r="A54" s="9" t="s">
        <v>63</v>
      </c>
      <c r="B54" s="9" t="str">
        <f>IFERROR(VLOOKUP(表1[[#This Row],[唯一标示]],[1]!表1_83[#Data],2,FALSE),"EN."&amp;表1[[#This Row],[中文]])</f>
        <v>添加好友</v>
      </c>
      <c r="C54" s="9" t="str">
        <f>IFERROR(VLOOKUP(表1[[#This Row],[唯一标示]],[1]!表1_83[#Data],4,FALSE),"EN."&amp;表1[[#This Row],[中文]])</f>
        <v xml:space="preserve">Thêm bạn </v>
      </c>
      <c r="D54" s="10" t="str">
        <f>IFERROR(VLOOKUP(表1[[#This Row],[唯一标示]],[1]!表1_83[#Data],3,FALSE),"EN."&amp;表1[[#This Row],[中文]])</f>
        <v xml:space="preserve">Thêm bạn </v>
      </c>
      <c r="E54" s="9" t="str">
        <f>IFERROR(VLOOKUP(表1[[#This Row],[唯一标示]],[1]!表1_83[#Data],5,FALSE),"EN."&amp;表1[[#This Row],[中文]])</f>
        <v>添加好友</v>
      </c>
    </row>
    <row r="55" spans="1:5" x14ac:dyDescent="0.15">
      <c r="A55" s="9" t="s">
        <v>64</v>
      </c>
      <c r="B55" s="9" t="str">
        <f>IFERROR(VLOOKUP(表1[[#This Row],[唯一标示]],[1]!表1_83[#Data],2,FALSE),"EN."&amp;表1[[#This Row],[中文]])</f>
        <v>发送</v>
      </c>
      <c r="C55" s="9" t="str">
        <f>IFERROR(VLOOKUP(表1[[#This Row],[唯一标示]],[1]!表1_83[#Data],4,FALSE),"EN."&amp;表1[[#This Row],[中文]])</f>
        <v>Gửi</v>
      </c>
      <c r="D55" s="10" t="str">
        <f>IFERROR(VLOOKUP(表1[[#This Row],[唯一标示]],[1]!表1_83[#Data],3,FALSE),"EN."&amp;表1[[#This Row],[中文]])</f>
        <v>Gửi</v>
      </c>
      <c r="E55" s="9" t="str">
        <f>IFERROR(VLOOKUP(表1[[#This Row],[唯一标示]],[1]!表1_83[#Data],5,FALSE),"EN."&amp;表1[[#This Row],[中文]])</f>
        <v>发送</v>
      </c>
    </row>
    <row r="56" spans="1:5" x14ac:dyDescent="0.15">
      <c r="A56" s="9" t="s">
        <v>65</v>
      </c>
      <c r="B56" s="9" t="str">
        <f>IFERROR(VLOOKUP(表1[[#This Row],[唯一标示]],[1]!表1_83[#Data],2,FALSE),"EN."&amp;表1[[#This Row],[中文]])</f>
        <v>3天后可领</v>
      </c>
      <c r="C56" s="9" t="str">
        <f>IFERROR(VLOOKUP(表1[[#This Row],[唯一标示]],[1]!表1_83[#Data],4,FALSE),"EN."&amp;表1[[#This Row],[中文]])</f>
        <v>3 ngày sau có thể nhận</v>
      </c>
      <c r="D56" s="10" t="str">
        <f>IFERROR(VLOOKUP(表1[[#This Row],[唯一标示]],[1]!表1_83[#Data],3,FALSE),"EN."&amp;表1[[#This Row],[中文]])</f>
        <v>3 ngày sau có thể nhận</v>
      </c>
      <c r="E56" s="9" t="str">
        <f>IFERROR(VLOOKUP(表1[[#This Row],[唯一标示]],[1]!表1_83[#Data],5,FALSE),"EN."&amp;表1[[#This Row],[中文]])</f>
        <v>3天后可领</v>
      </c>
    </row>
    <row r="57" spans="1:5" x14ac:dyDescent="0.15">
      <c r="A57" s="9" t="s">
        <v>66</v>
      </c>
      <c r="B57" s="9" t="str">
        <f>IFERROR(VLOOKUP(表1[[#This Row],[唯一标示]],[1]!表1_83[#Data],2,FALSE),"EN."&amp;表1[[#This Row],[中文]])</f>
        <v>我的魅力:</v>
      </c>
      <c r="C57" s="9" t="str">
        <f>IFERROR(VLOOKUP(表1[[#This Row],[唯一标示]],[1]!表1_83[#Data],4,FALSE),"EN."&amp;表1[[#This Row],[中文]])</f>
        <v xml:space="preserve">Mị lực: </v>
      </c>
      <c r="D57" s="10" t="str">
        <f>IFERROR(VLOOKUP(表1[[#This Row],[唯一标示]],[1]!表1_83[#Data],3,FALSE),"EN."&amp;表1[[#This Row],[中文]])</f>
        <v xml:space="preserve">Mị lực: </v>
      </c>
      <c r="E57" s="9" t="str">
        <f>IFERROR(VLOOKUP(表1[[#This Row],[唯一标示]],[1]!表1_83[#Data],5,FALSE),"EN."&amp;表1[[#This Row],[中文]])</f>
        <v>我的魅力:</v>
      </c>
    </row>
    <row r="58" spans="1:5" x14ac:dyDescent="0.15">
      <c r="A58" s="9" t="s">
        <v>67</v>
      </c>
      <c r="B58" s="9" t="str">
        <f>IFERROR(VLOOKUP(表1[[#This Row],[唯一标示]],[1]!表1_83[#Data],2,FALSE),"EN."&amp;表1[[#This Row],[中文]])</f>
        <v>获得称号:</v>
      </c>
      <c r="C58" s="9" t="str">
        <f>IFERROR(VLOOKUP(表1[[#This Row],[唯一标示]],[1]!表1_83[#Data],4,FALSE),"EN."&amp;表1[[#This Row],[中文]])</f>
        <v>Danh Hiệu:</v>
      </c>
      <c r="D58" s="10" t="str">
        <f>IFERROR(VLOOKUP(表1[[#This Row],[唯一标示]],[1]!表1_83[#Data],3,FALSE),"EN."&amp;表1[[#This Row],[中文]])</f>
        <v>Danh Hiệu:</v>
      </c>
      <c r="E58" s="9" t="str">
        <f>IFERROR(VLOOKUP(表1[[#This Row],[唯一标示]],[1]!表1_83[#Data],5,FALSE),"EN."&amp;表1[[#This Row],[中文]])</f>
        <v>获得称号:</v>
      </c>
    </row>
    <row r="59" spans="1:5" x14ac:dyDescent="0.15">
      <c r="A59" s="9" t="s">
        <v>68</v>
      </c>
      <c r="B59" s="9" t="str">
        <f>IFERROR(VLOOKUP(表1[[#This Row],[唯一标示]],[1]!表1_83[#Data],2,FALSE),"EN."&amp;表1[[#This Row],[中文]])</f>
        <v>查看排名奖励</v>
      </c>
      <c r="C59" s="9" t="str">
        <f>IFERROR(VLOOKUP(表1[[#This Row],[唯一标示]],[1]!表1_83[#Data],4,FALSE),"EN."&amp;表1[[#This Row],[中文]])</f>
        <v>Thưởng Xếp Hạng</v>
      </c>
      <c r="D59" s="10" t="str">
        <f>IFERROR(VLOOKUP(表1[[#This Row],[唯一标示]],[1]!表1_83[#Data],3,FALSE),"EN."&amp;表1[[#This Row],[中文]])</f>
        <v>Thưởng Xếp Hạng</v>
      </c>
      <c r="E59" s="9" t="str">
        <f>IFERROR(VLOOKUP(表1[[#This Row],[唯一标示]],[1]!表1_83[#Data],5,FALSE),"EN."&amp;表1[[#This Row],[中文]])</f>
        <v>查看排名奖励</v>
      </c>
    </row>
    <row r="60" spans="1:5" x14ac:dyDescent="0.15">
      <c r="A60" s="9" t="s">
        <v>69</v>
      </c>
      <c r="B60" s="9" t="str">
        <f>IFERROR(VLOOKUP(表1[[#This Row],[唯一标示]],[1]!表1_83[#Data],2,FALSE),"EN."&amp;表1[[#This Row],[中文]])</f>
        <v>已放养</v>
      </c>
      <c r="C60" s="9" t="str">
        <f>IFERROR(VLOOKUP(表1[[#This Row],[唯一标示]],[1]!表1_83[#Data],4,FALSE),"EN."&amp;表1[[#This Row],[中文]])</f>
        <v>Đã thả</v>
      </c>
      <c r="D60" s="10" t="str">
        <f>IFERROR(VLOOKUP(表1[[#This Row],[唯一标示]],[1]!表1_83[#Data],3,FALSE),"EN."&amp;表1[[#This Row],[中文]])</f>
        <v>Đã thả</v>
      </c>
      <c r="E60" s="9" t="str">
        <f>IFERROR(VLOOKUP(表1[[#This Row],[唯一标示]],[1]!表1_83[#Data],5,FALSE),"EN."&amp;表1[[#This Row],[中文]])</f>
        <v>已放养</v>
      </c>
    </row>
    <row r="61" spans="1:5" x14ac:dyDescent="0.15">
      <c r="A61" s="9" t="s">
        <v>70</v>
      </c>
      <c r="B61" s="9" t="str">
        <f>IFERROR(VLOOKUP(表1[[#This Row],[唯一标示]],[1]!表1_83[#Data],2,FALSE),"EN."&amp;表1[[#This Row],[中文]])</f>
        <v>所属阵营：</v>
      </c>
      <c r="C61" s="9" t="str">
        <f>IFERROR(VLOOKUP(表1[[#This Row],[唯一标示]],[1]!表1_83[#Data],4,FALSE),"EN."&amp;表1[[#This Row],[中文]])</f>
        <v>Hệ cá</v>
      </c>
      <c r="D61" s="10" t="str">
        <f>IFERROR(VLOOKUP(表1[[#This Row],[唯一标示]],[1]!表1_83[#Data],3,FALSE),"EN."&amp;表1[[#This Row],[中文]])</f>
        <v>Hệ cá</v>
      </c>
      <c r="E61" s="9" t="str">
        <f>IFERROR(VLOOKUP(表1[[#This Row],[唯一标示]],[1]!表1_83[#Data],5,FALSE),"EN."&amp;表1[[#This Row],[中文]])</f>
        <v>所属阵营：</v>
      </c>
    </row>
    <row r="62" spans="1:5" x14ac:dyDescent="0.15">
      <c r="A62" s="9" t="s">
        <v>71</v>
      </c>
      <c r="B62" s="9" t="str">
        <f>IFERROR(VLOOKUP(表1[[#This Row],[唯一标示]],[1]!表1_83[#Data],2,FALSE),"EN."&amp;表1[[#This Row],[中文]])</f>
        <v>产出间隔：</v>
      </c>
      <c r="C62" s="9" t="str">
        <f>IFERROR(VLOOKUP(表1[[#This Row],[唯一标示]],[1]!表1_83[#Data],4,FALSE),"EN."&amp;表1[[#This Row],[中文]])</f>
        <v>Thời gian sản sinh</v>
      </c>
      <c r="D62" s="10" t="str">
        <f>IFERROR(VLOOKUP(表1[[#This Row],[唯一标示]],[1]!表1_83[#Data],3,FALSE),"EN."&amp;表1[[#This Row],[中文]])</f>
        <v>Thời gian sản sinh</v>
      </c>
      <c r="E62" s="9" t="str">
        <f>IFERROR(VLOOKUP(表1[[#This Row],[唯一标示]],[1]!表1_83[#Data],5,FALSE),"EN."&amp;表1[[#This Row],[中文]])</f>
        <v>产出间隔：</v>
      </c>
    </row>
    <row r="63" spans="1:5" x14ac:dyDescent="0.15">
      <c r="A63" s="9" t="s">
        <v>72</v>
      </c>
      <c r="B63" s="9" t="str">
        <f>IFERROR(VLOOKUP(表1[[#This Row],[唯一标示]],[1]!表1_83[#Data],2,FALSE),"EN."&amp;表1[[#This Row],[中文]])</f>
        <v>当前产量：</v>
      </c>
      <c r="C63" s="9" t="str">
        <f>IFERROR(VLOOKUP(表1[[#This Row],[唯一标示]],[1]!表1_83[#Data],4,FALSE),"EN."&amp;表1[[#This Row],[中文]])</f>
        <v>Sản lượng hiện tại</v>
      </c>
      <c r="D63" s="10" t="str">
        <f>IFERROR(VLOOKUP(表1[[#This Row],[唯一标示]],[1]!表1_83[#Data],3,FALSE),"EN."&amp;表1[[#This Row],[中文]])</f>
        <v>Sản lượng hiện tại</v>
      </c>
      <c r="E63" s="9" t="str">
        <f>IFERROR(VLOOKUP(表1[[#This Row],[唯一标示]],[1]!表1_83[#Data],5,FALSE),"EN."&amp;表1[[#This Row],[中文]])</f>
        <v>当前产量：</v>
      </c>
    </row>
    <row r="64" spans="1:5" x14ac:dyDescent="0.15">
      <c r="A64" s="9" t="s">
        <v>73</v>
      </c>
      <c r="B64" s="9" t="str">
        <f>IFERROR(VLOOKUP(表1[[#This Row],[唯一标示]],[1]!表1_83[#Data],2,FALSE),"EN."&amp;表1[[#This Row],[中文]])</f>
        <v>下级产量：</v>
      </c>
      <c r="C64" s="9" t="str">
        <f>IFERROR(VLOOKUP(表1[[#This Row],[唯一标示]],[1]!表1_83[#Data],4,FALSE),"EN."&amp;表1[[#This Row],[中文]])</f>
        <v>Sản lượng cấp sau</v>
      </c>
      <c r="D64" s="10" t="str">
        <f>IFERROR(VLOOKUP(表1[[#This Row],[唯一标示]],[1]!表1_83[#Data],3,FALSE),"EN."&amp;表1[[#This Row],[中文]])</f>
        <v>Sản lượng cấp sau</v>
      </c>
      <c r="E64" s="9" t="str">
        <f>IFERROR(VLOOKUP(表1[[#This Row],[唯一标示]],[1]!表1_83[#Data],5,FALSE),"EN."&amp;表1[[#This Row],[中文]])</f>
        <v>下级产量：</v>
      </c>
    </row>
    <row r="65" spans="1:5" x14ac:dyDescent="0.15">
      <c r="A65" s="9" t="s">
        <v>74</v>
      </c>
      <c r="B65" s="9" t="str">
        <f>IFERROR(VLOOKUP(表1[[#This Row],[唯一标示]],[1]!表1_83[#Data],2,FALSE),"EN."&amp;表1[[#This Row],[中文]])</f>
        <v>魅力加成：</v>
      </c>
      <c r="C65" s="9" t="str">
        <f>IFERROR(VLOOKUP(表1[[#This Row],[唯一标示]],[1]!表1_83[#Data],4,FALSE),"EN."&amp;表1[[#This Row],[中文]])</f>
        <v xml:space="preserve">Tăng Mị Lực </v>
      </c>
      <c r="D65" s="10" t="str">
        <f>IFERROR(VLOOKUP(表1[[#This Row],[唯一标示]],[1]!表1_83[#Data],3,FALSE),"EN."&amp;表1[[#This Row],[中文]])</f>
        <v xml:space="preserve">Tăng Mị Lực </v>
      </c>
      <c r="E65" s="9" t="str">
        <f>IFERROR(VLOOKUP(表1[[#This Row],[唯一标示]],[1]!表1_83[#Data],5,FALSE),"EN."&amp;表1[[#This Row],[中文]])</f>
        <v>魅力加成：</v>
      </c>
    </row>
    <row r="66" spans="1:5" x14ac:dyDescent="0.15">
      <c r="A66" s="9" t="s">
        <v>75</v>
      </c>
      <c r="B66" s="9" t="str">
        <f>IFERROR(VLOOKUP(表1[[#This Row],[唯一标示]],[1]!表1_83[#Data],2,FALSE),"EN."&amp;表1[[#This Row],[中文]])</f>
        <v>亲，网络是否正常？重连中。。</v>
      </c>
      <c r="C66" s="9" t="str">
        <f>IFERROR(VLOOKUP(表1[[#This Row],[唯一标示]],[1]!表1_83[#Data],4,FALSE),"EN."&amp;表1[[#This Row],[中文]])</f>
        <v>Tài khoản của bạn đang đăng nhập trên thiết bị khác. Vui lòng đăng nhập lại</v>
      </c>
      <c r="D66" s="10" t="str">
        <f>IFERROR(VLOOKUP(表1[[#This Row],[唯一标示]],[1]!表1_83[#Data],3,FALSE),"EN."&amp;表1[[#This Row],[中文]])</f>
        <v>Tài khoản của bạn đang đăng nhập trên thiết bị khác. Vui lòng đăng nhập lại</v>
      </c>
      <c r="E66" s="9" t="str">
        <f>IFERROR(VLOOKUP(表1[[#This Row],[唯一标示]],[1]!表1_83[#Data],5,FALSE),"EN."&amp;表1[[#This Row],[中文]])</f>
        <v>亲，网络是否正常？重连中。。</v>
      </c>
    </row>
    <row r="67" spans="1:5" x14ac:dyDescent="0.15">
      <c r="A67" s="9" t="s">
        <v>76</v>
      </c>
      <c r="B67" s="9" t="str">
        <f>IFERROR(VLOOKUP(表1[[#This Row],[唯一标示]],[1]!表1_83[#Data],2,FALSE),"EN."&amp;表1[[#This Row],[中文]])</f>
        <v>返回登录</v>
      </c>
      <c r="C67" s="9" t="str">
        <f>IFERROR(VLOOKUP(表1[[#This Row],[唯一标示]],[1]!表1_83[#Data],4,FALSE),"EN."&amp;表1[[#This Row],[中文]])</f>
        <v>Đăng Xuất</v>
      </c>
      <c r="D67" s="10" t="str">
        <f>IFERROR(VLOOKUP(表1[[#This Row],[唯一标示]],[1]!表1_83[#Data],3,FALSE),"EN."&amp;表1[[#This Row],[中文]])</f>
        <v>Đăng Xuất</v>
      </c>
      <c r="E67" s="9" t="str">
        <f>IFERROR(VLOOKUP(表1[[#This Row],[唯一标示]],[1]!表1_83[#Data],5,FALSE),"EN."&amp;表1[[#This Row],[中文]])</f>
        <v>返回登录</v>
      </c>
    </row>
    <row r="68" spans="1:5" x14ac:dyDescent="0.15">
      <c r="A68" s="9" t="s">
        <v>77</v>
      </c>
      <c r="B68" s="9" t="str">
        <f>IFERROR(VLOOKUP(表1[[#This Row],[唯一标示]],[1]!表1_83[#Data],2,FALSE),"EN."&amp;表1[[#This Row],[中文]])</f>
        <v>暂无内容</v>
      </c>
      <c r="C68" s="9" t="str">
        <f>IFERROR(VLOOKUP(表1[[#This Row],[唯一标示]],[1]!表1_83[#Data],4,FALSE),"EN."&amp;表1[[#This Row],[中文]])</f>
        <v>Trống</v>
      </c>
      <c r="D68" s="10" t="str">
        <f>IFERROR(VLOOKUP(表1[[#This Row],[唯一标示]],[1]!表1_83[#Data],3,FALSE),"EN."&amp;表1[[#This Row],[中文]])</f>
        <v>Trống</v>
      </c>
      <c r="E68" s="9" t="str">
        <f>IFERROR(VLOOKUP(表1[[#This Row],[唯一标示]],[1]!表1_83[#Data],5,FALSE),"EN."&amp;表1[[#This Row],[中文]])</f>
        <v>暂无内容</v>
      </c>
    </row>
    <row r="69" spans="1:5" x14ac:dyDescent="0.15">
      <c r="A69" s="9" t="s">
        <v>78</v>
      </c>
      <c r="B69" s="9" t="str">
        <f>IFERROR(VLOOKUP(表1[[#This Row],[唯一标示]],[1]!表1_83[#Data],2,FALSE),"EN."&amp;表1[[#This Row],[中文]])</f>
        <v>解锁需要</v>
      </c>
      <c r="C69" s="9" t="str">
        <f>IFERROR(VLOOKUP(表1[[#This Row],[唯一标示]],[1]!表1_83[#Data],4,FALSE),"EN."&amp;表1[[#This Row],[中文]])</f>
        <v>Mở khoá cần</v>
      </c>
      <c r="D69" s="10" t="str">
        <f>IFERROR(VLOOKUP(表1[[#This Row],[唯一标示]],[1]!表1_83[#Data],3,FALSE),"EN."&amp;表1[[#This Row],[中文]])</f>
        <v>Mở khoá cần</v>
      </c>
      <c r="E69" s="9" t="str">
        <f>IFERROR(VLOOKUP(表1[[#This Row],[唯一标示]],[1]!表1_83[#Data],5,FALSE),"EN."&amp;表1[[#This Row],[中文]])</f>
        <v>解锁需要</v>
      </c>
    </row>
    <row r="70" spans="1:5" x14ac:dyDescent="0.15">
      <c r="A70" s="9" t="s">
        <v>79</v>
      </c>
      <c r="B70" s="9" t="str">
        <f>IFERROR(VLOOKUP(表1[[#This Row],[唯一标示]],[1]!表1_83[#Data],2,FALSE),"EN."&amp;表1[[#This Row],[中文]])</f>
        <v>我的胜点:</v>
      </c>
      <c r="C70" s="9" t="str">
        <f>IFERROR(VLOOKUP(表1[[#This Row],[唯一标示]],[1]!表1_83[#Data],4,FALSE),"EN."&amp;表1[[#This Row],[中文]])</f>
        <v xml:space="preserve">Điểm Thắng: </v>
      </c>
      <c r="D70" s="10" t="str">
        <f>IFERROR(VLOOKUP(表1[[#This Row],[唯一标示]],[1]!表1_83[#Data],3,FALSE),"EN."&amp;表1[[#This Row],[中文]])</f>
        <v xml:space="preserve">Điểm Thắng: </v>
      </c>
      <c r="E70" s="9" t="str">
        <f>IFERROR(VLOOKUP(表1[[#This Row],[唯一标示]],[1]!表1_83[#Data],5,FALSE),"EN."&amp;表1[[#This Row],[中文]])</f>
        <v>我的胜点:</v>
      </c>
    </row>
    <row r="71" spans="1:5" x14ac:dyDescent="0.15">
      <c r="A71" s="9" t="s">
        <v>80</v>
      </c>
      <c r="B71" s="9" t="str">
        <f>IFERROR(VLOOKUP(表1[[#This Row],[唯一标示]],[1]!表1_83[#Data],2,FALSE),"EN."&amp;表1[[#This Row],[中文]])</f>
        <v>我的段位:</v>
      </c>
      <c r="C71" s="9" t="str">
        <f>IFERROR(VLOOKUP(表1[[#This Row],[唯一标示]],[1]!表1_83[#Data],4,FALSE),"EN."&amp;表1[[#This Row],[中文]])</f>
        <v>Vòng :</v>
      </c>
      <c r="D71" s="10" t="str">
        <f>IFERROR(VLOOKUP(表1[[#This Row],[唯一标示]],[1]!表1_83[#Data],3,FALSE),"EN."&amp;表1[[#This Row],[中文]])</f>
        <v>Vòng :</v>
      </c>
      <c r="E71" s="9" t="str">
        <f>IFERROR(VLOOKUP(表1[[#This Row],[唯一标示]],[1]!表1_83[#Data],5,FALSE),"EN."&amp;表1[[#This Row],[中文]])</f>
        <v>我的段位:</v>
      </c>
    </row>
    <row r="72" spans="1:5" x14ac:dyDescent="0.15">
      <c r="A72" s="9" t="s">
        <v>81</v>
      </c>
      <c r="B72" s="9" t="str">
        <f>IFERROR(VLOOKUP(表1[[#This Row],[唯一标示]],[1]!表1_83[#Data],2,FALSE),"EN."&amp;表1[[#This Row],[中文]])</f>
        <v>我的排名:</v>
      </c>
      <c r="C72" s="9" t="str">
        <f>IFERROR(VLOOKUP(表1[[#This Row],[唯一标示]],[1]!表1_83[#Data],4,FALSE),"EN."&amp;表1[[#This Row],[中文]])</f>
        <v xml:space="preserve">Xếp Hạng: </v>
      </c>
      <c r="D72" s="10" t="str">
        <f>IFERROR(VLOOKUP(表1[[#This Row],[唯一标示]],[1]!表1_83[#Data],3,FALSE),"EN."&amp;表1[[#This Row],[中文]])</f>
        <v xml:space="preserve">Xếp Hạng: </v>
      </c>
      <c r="E72" s="9" t="str">
        <f>IFERROR(VLOOKUP(表1[[#This Row],[唯一标示]],[1]!表1_83[#Data],5,FALSE),"EN."&amp;表1[[#This Row],[中文]])</f>
        <v>我的排名:</v>
      </c>
    </row>
    <row r="73" spans="1:5" x14ac:dyDescent="0.15">
      <c r="A73" s="9" t="s">
        <v>82</v>
      </c>
      <c r="B73" s="9" t="str">
        <f>IFERROR(VLOOKUP(表1[[#This Row],[唯一标示]],[1]!表1_83[#Data],2,FALSE),"EN."&amp;表1[[#This Row],[中文]])</f>
        <v>每月1日发放赛季奖励</v>
      </c>
      <c r="C73" s="9" t="str">
        <f>IFERROR(VLOOKUP(表1[[#This Row],[唯一标示]],[1]!表1_83[#Data],4,FALSE),"EN."&amp;表1[[#This Row],[中文]])</f>
        <v>Đầu mỗi tháng phát thưởng season</v>
      </c>
      <c r="D73" s="10" t="str">
        <f>IFERROR(VLOOKUP(表1[[#This Row],[唯一标示]],[1]!表1_83[#Data],3,FALSE),"EN."&amp;表1[[#This Row],[中文]])</f>
        <v>Đầu mỗi tháng phát thưởng season</v>
      </c>
      <c r="E73" s="9" t="str">
        <f>IFERROR(VLOOKUP(表1[[#This Row],[唯一标示]],[1]!表1_83[#Data],5,FALSE),"EN."&amp;表1[[#This Row],[中文]])</f>
        <v>每月1日发放赛季奖励</v>
      </c>
    </row>
    <row r="74" spans="1:5" x14ac:dyDescent="0.15">
      <c r="A74" s="9" t="s">
        <v>83</v>
      </c>
      <c r="B74" s="9" t="str">
        <f>IFERROR(VLOOKUP(表1[[#This Row],[唯一标示]],[1]!表1_83[#Data],2,FALSE),"EN."&amp;表1[[#This Row],[中文]])</f>
        <v>每日0点发放排名奖励</v>
      </c>
      <c r="C74" s="9" t="str">
        <f>IFERROR(VLOOKUP(表1[[#This Row],[唯一标示]],[1]!表1_83[#Data],4,FALSE),"EN."&amp;表1[[#This Row],[中文]])</f>
        <v>Mỗi ngày lúc 0 giờ phát thưởng xếp hạng</v>
      </c>
      <c r="D74" s="10" t="str">
        <f>IFERROR(VLOOKUP(表1[[#This Row],[唯一标示]],[1]!表1_83[#Data],3,FALSE),"EN."&amp;表1[[#This Row],[中文]])</f>
        <v>Mỗi ngày lúc 0 giờ phát thưởng xếp hạng</v>
      </c>
      <c r="E74" s="9" t="str">
        <f>IFERROR(VLOOKUP(表1[[#This Row],[唯一标示]],[1]!表1_83[#Data],5,FALSE),"EN."&amp;表1[[#This Row],[中文]])</f>
        <v>每日0点发放排名奖励</v>
      </c>
    </row>
    <row r="75" spans="1:5" x14ac:dyDescent="0.15">
      <c r="A75" s="9" t="s">
        <v>84</v>
      </c>
      <c r="B75" s="9" t="str">
        <f>IFERROR(VLOOKUP(表1[[#This Row],[唯一标示]],[1]!表1_83[#Data],2,FALSE),"EN."&amp;表1[[#This Row],[中文]])</f>
        <v>查看奖励</v>
      </c>
      <c r="C75" s="9" t="str">
        <f>IFERROR(VLOOKUP(表1[[#This Row],[唯一标示]],[1]!表1_83[#Data],4,FALSE),"EN."&amp;表1[[#This Row],[中文]])</f>
        <v>Xem phần thưởng</v>
      </c>
      <c r="D75" s="10" t="str">
        <f>IFERROR(VLOOKUP(表1[[#This Row],[唯一标示]],[1]!表1_83[#Data],3,FALSE),"EN."&amp;表1[[#This Row],[中文]])</f>
        <v>Xem phần thưởng</v>
      </c>
      <c r="E75" s="9" t="str">
        <f>IFERROR(VLOOKUP(表1[[#This Row],[唯一标示]],[1]!表1_83[#Data],5,FALSE),"EN."&amp;表1[[#This Row],[中文]])</f>
        <v>查看奖励</v>
      </c>
    </row>
    <row r="76" spans="1:5" x14ac:dyDescent="0.15">
      <c r="A76" s="9" t="s">
        <v>85</v>
      </c>
      <c r="B76" s="9" t="str">
        <f>IFERROR(VLOOKUP(表1[[#This Row],[唯一标示]],[1]!表1_83[#Data],2,FALSE),"EN."&amp;表1[[#This Row],[中文]])</f>
        <v>用户标识：</v>
      </c>
      <c r="C76" s="9" t="str">
        <f>IFERROR(VLOOKUP(表1[[#This Row],[唯一标示]],[1]!表1_83[#Data],4,FALSE),"EN."&amp;表1[[#This Row],[中文]])</f>
        <v>ID</v>
      </c>
      <c r="D76" s="10" t="str">
        <f>IFERROR(VLOOKUP(表1[[#This Row],[唯一标示]],[1]!表1_83[#Data],3,FALSE),"EN."&amp;表1[[#This Row],[中文]])</f>
        <v>ID</v>
      </c>
      <c r="E76" s="9" t="str">
        <f>IFERROR(VLOOKUP(表1[[#This Row],[唯一标示]],[1]!表1_83[#Data],5,FALSE),"EN."&amp;表1[[#This Row],[中文]])</f>
        <v>用户标识：</v>
      </c>
    </row>
    <row r="77" spans="1:5" x14ac:dyDescent="0.15">
      <c r="A77" s="9" t="s">
        <v>86</v>
      </c>
      <c r="B77" s="9" t="str">
        <f>IFERROR(VLOOKUP(表1[[#This Row],[唯一标示]],[1]!表1_83[#Data],2,FALSE),"EN."&amp;表1[[#This Row],[中文]])</f>
        <v>炮台等级：</v>
      </c>
      <c r="C77" s="9" t="str">
        <f>IFERROR(VLOOKUP(表1[[#This Row],[唯一标示]],[1]!表1_83[#Data],4,FALSE),"EN."&amp;表1[[#This Row],[中文]])</f>
        <v>Level Súng</v>
      </c>
      <c r="D77" s="10" t="str">
        <f>IFERROR(VLOOKUP(表1[[#This Row],[唯一标示]],[1]!表1_83[#Data],3,FALSE),"EN."&amp;表1[[#This Row],[中文]])</f>
        <v>Level Súng</v>
      </c>
      <c r="E77" s="9" t="str">
        <f>IFERROR(VLOOKUP(表1[[#This Row],[唯一标示]],[1]!表1_83[#Data],5,FALSE),"EN."&amp;表1[[#This Row],[中文]])</f>
        <v>炮台等级：</v>
      </c>
    </row>
    <row r="78" spans="1:5" x14ac:dyDescent="0.15">
      <c r="A78" s="9" t="s">
        <v>87</v>
      </c>
      <c r="B78" s="9" t="str">
        <f>IFERROR(VLOOKUP(表1[[#This Row],[唯一标示]],[1]!表1_83[#Data],2,FALSE),"EN."&amp;表1[[#This Row],[中文]])</f>
        <v>VIP等级：</v>
      </c>
      <c r="C78" s="9" t="str">
        <f>IFERROR(VLOOKUP(表1[[#This Row],[唯一标示]],[1]!表1_83[#Data],4,FALSE),"EN."&amp;表1[[#This Row],[中文]])</f>
        <v>Cấp VIP</v>
      </c>
      <c r="D78" s="10" t="str">
        <f>IFERROR(VLOOKUP(表1[[#This Row],[唯一标示]],[1]!表1_83[#Data],3,FALSE),"EN."&amp;表1[[#This Row],[中文]])</f>
        <v>Cấp VIP</v>
      </c>
      <c r="E78" s="9" t="str">
        <f>IFERROR(VLOOKUP(表1[[#This Row],[唯一标示]],[1]!表1_83[#Data],5,FALSE),"EN."&amp;表1[[#This Row],[中文]])</f>
        <v>VIP等级：</v>
      </c>
    </row>
    <row r="79" spans="1:5" x14ac:dyDescent="0.15">
      <c r="A79" s="9" t="s">
        <v>88</v>
      </c>
      <c r="B79" s="9" t="str">
        <f>IFERROR(VLOOKUP(表1[[#This Row],[唯一标示]],[1]!表1_83[#Data],2,FALSE),"EN."&amp;表1[[#This Row],[中文]])</f>
        <v>成就点：</v>
      </c>
      <c r="C79" s="9" t="str">
        <f>IFERROR(VLOOKUP(表1[[#This Row],[唯一标示]],[1]!表1_83[#Data],4,FALSE),"EN."&amp;表1[[#This Row],[中文]])</f>
        <v xml:space="preserve">Thành Tựu: </v>
      </c>
      <c r="D79" s="10" t="str">
        <f>IFERROR(VLOOKUP(表1[[#This Row],[唯一标示]],[1]!表1_83[#Data],3,FALSE),"EN."&amp;表1[[#This Row],[中文]])</f>
        <v xml:space="preserve">Thành Tựu: </v>
      </c>
      <c r="E79" s="9" t="str">
        <f>IFERROR(VLOOKUP(表1[[#This Row],[唯一标示]],[1]!表1_83[#Data],5,FALSE),"EN."&amp;表1[[#This Row],[中文]])</f>
        <v>成就点：</v>
      </c>
    </row>
    <row r="80" spans="1:5" x14ac:dyDescent="0.15">
      <c r="A80" s="9" t="s">
        <v>89</v>
      </c>
      <c r="B80" s="9" t="str">
        <f>IFERROR(VLOOKUP(表1[[#This Row],[唯一标示]],[1]!表1_83[#Data],2,FALSE),"EN."&amp;表1[[#This Row],[中文]])</f>
        <v>最高金币：</v>
      </c>
      <c r="C80" s="9" t="str">
        <f>IFERROR(VLOOKUP(表1[[#This Row],[唯一标示]],[1]!表1_83[#Data],4,FALSE),"EN."&amp;表1[[#This Row],[中文]])</f>
        <v>Vàng Tối Đa</v>
      </c>
      <c r="D80" s="10" t="str">
        <f>IFERROR(VLOOKUP(表1[[#This Row],[唯一标示]],[1]!表1_83[#Data],3,FALSE),"EN."&amp;表1[[#This Row],[中文]])</f>
        <v>Vàng Tối Đa</v>
      </c>
      <c r="E80" s="9" t="str">
        <f>IFERROR(VLOOKUP(表1[[#This Row],[唯一标示]],[1]!表1_83[#Data],5,FALSE),"EN."&amp;表1[[#This Row],[中文]])</f>
        <v>最高金币：</v>
      </c>
    </row>
    <row r="81" spans="1:5" x14ac:dyDescent="0.15">
      <c r="A81" s="9" t="s">
        <v>90</v>
      </c>
      <c r="B81" s="9" t="str">
        <f>IFERROR(VLOOKUP(表1[[#This Row],[唯一标示]],[1]!表1_83[#Data],2,FALSE),"EN."&amp;表1[[#This Row],[中文]])</f>
        <v>所在位置：</v>
      </c>
      <c r="C81" s="9" t="str">
        <f>IFERROR(VLOOKUP(表1[[#This Row],[唯一标示]],[1]!表1_83[#Data],4,FALSE),"EN."&amp;表1[[#This Row],[中文]])</f>
        <v>Vị trí hiện tại</v>
      </c>
      <c r="D81" s="10" t="str">
        <f>IFERROR(VLOOKUP(表1[[#This Row],[唯一标示]],[1]!表1_83[#Data],3,FALSE),"EN."&amp;表1[[#This Row],[中文]])</f>
        <v>Vị trí hiện tại</v>
      </c>
      <c r="E81" s="9" t="str">
        <f>IFERROR(VLOOKUP(表1[[#This Row],[唯一标示]],[1]!表1_83[#Data],5,FALSE),"EN."&amp;表1[[#This Row],[中文]])</f>
        <v>所在位置：</v>
      </c>
    </row>
    <row r="82" spans="1:5" x14ac:dyDescent="0.15">
      <c r="A82" s="9" t="s">
        <v>91</v>
      </c>
      <c r="B82" s="9" t="str">
        <f>IFERROR(VLOOKUP(表1[[#This Row],[唯一标示]],[1]!表1_83[#Data],2,FALSE),"EN."&amp;表1[[#This Row],[中文]])</f>
        <v>魅力值：</v>
      </c>
      <c r="C82" s="9" t="str">
        <f>IFERROR(VLOOKUP(表1[[#This Row],[唯一标示]],[1]!表1_83[#Data],4,FALSE),"EN."&amp;表1[[#This Row],[中文]])</f>
        <v xml:space="preserve">Mị lực: </v>
      </c>
      <c r="D82" s="10" t="str">
        <f>IFERROR(VLOOKUP(表1[[#This Row],[唯一标示]],[1]!表1_83[#Data],3,FALSE),"EN."&amp;表1[[#This Row],[中文]])</f>
        <v xml:space="preserve">Mị lực: </v>
      </c>
      <c r="E82" s="9" t="str">
        <f>IFERROR(VLOOKUP(表1[[#This Row],[唯一标示]],[1]!表1_83[#Data],5,FALSE),"EN."&amp;表1[[#This Row],[中文]])</f>
        <v>魅力值：</v>
      </c>
    </row>
    <row r="83" spans="1:5" x14ac:dyDescent="0.15">
      <c r="A83" s="9" t="s">
        <v>92</v>
      </c>
      <c r="B83" s="9" t="str">
        <f>IFERROR(VLOOKUP(表1[[#This Row],[唯一标示]],[1]!表1_83[#Data],2,FALSE),"EN."&amp;表1[[#This Row],[中文]])</f>
        <v>使用喇叭：</v>
      </c>
      <c r="C83" s="9" t="str">
        <f>IFERROR(VLOOKUP(表1[[#This Row],[唯一标示]],[1]!表1_83[#Data],4,FALSE),"EN."&amp;表1[[#This Row],[中文]])</f>
        <v>Dùng Loa</v>
      </c>
      <c r="D83" s="10" t="str">
        <f>IFERROR(VLOOKUP(表1[[#This Row],[唯一标示]],[1]!表1_83[#Data],3,FALSE),"EN."&amp;表1[[#This Row],[中文]])</f>
        <v>Dùng Loa</v>
      </c>
      <c r="E83" s="9" t="str">
        <f>IFERROR(VLOOKUP(表1[[#This Row],[唯一标示]],[1]!表1_83[#Data],5,FALSE),"EN."&amp;表1[[#This Row],[中文]])</f>
        <v>使用喇叭：</v>
      </c>
    </row>
    <row r="84" spans="1:5" x14ac:dyDescent="0.15">
      <c r="A84" s="9" t="s">
        <v>93</v>
      </c>
      <c r="B84" s="9" t="str">
        <f>IFERROR(VLOOKUP(表1[[#This Row],[唯一标示]],[1]!表1_83[#Data],2,FALSE),"EN."&amp;表1[[#This Row],[中文]])</f>
        <v>收到鲜花：</v>
      </c>
      <c r="C84" s="9" t="str">
        <f>IFERROR(VLOOKUP(表1[[#This Row],[唯一标示]],[1]!表1_83[#Data],4,FALSE),"EN."&amp;表1[[#This Row],[中文]])</f>
        <v>Hoa Tươi</v>
      </c>
      <c r="D84" s="10" t="str">
        <f>IFERROR(VLOOKUP(表1[[#This Row],[唯一标示]],[1]!表1_83[#Data],3,FALSE),"EN."&amp;表1[[#This Row],[中文]])</f>
        <v>Hoa Tươi</v>
      </c>
      <c r="E84" s="9" t="str">
        <f>IFERROR(VLOOKUP(表1[[#This Row],[唯一标示]],[1]!表1_83[#Data],5,FALSE),"EN."&amp;表1[[#This Row],[中文]])</f>
        <v>收到鲜花：</v>
      </c>
    </row>
    <row r="85" spans="1:5" x14ac:dyDescent="0.15">
      <c r="A85" s="9" t="s">
        <v>94</v>
      </c>
      <c r="B85" s="9" t="str">
        <f>IFERROR(VLOOKUP(表1[[#This Row],[唯一标示]],[1]!表1_83[#Data],2,FALSE),"EN."&amp;表1[[#This Row],[中文]])</f>
        <v>音乐</v>
      </c>
      <c r="C85" s="9" t="str">
        <f>IFERROR(VLOOKUP(表1[[#This Row],[唯一标示]],[1]!表1_83[#Data],4,FALSE),"EN."&amp;表1[[#This Row],[中文]])</f>
        <v>Nhạc</v>
      </c>
      <c r="D85" s="10" t="str">
        <f>IFERROR(VLOOKUP(表1[[#This Row],[唯一标示]],[1]!表1_83[#Data],3,FALSE),"EN."&amp;表1[[#This Row],[中文]])</f>
        <v>Nhạc</v>
      </c>
      <c r="E85" s="9" t="str">
        <f>IFERROR(VLOOKUP(表1[[#This Row],[唯一标示]],[1]!表1_83[#Data],5,FALSE),"EN."&amp;表1[[#This Row],[中文]])</f>
        <v>音乐</v>
      </c>
    </row>
    <row r="86" spans="1:5" x14ac:dyDescent="0.15">
      <c r="A86" s="9" t="s">
        <v>95</v>
      </c>
      <c r="B86" s="9" t="str">
        <f>IFERROR(VLOOKUP(表1[[#This Row],[唯一标示]],[1]!表1_83[#Data],2,FALSE),"EN."&amp;表1[[#This Row],[中文]])</f>
        <v>音效</v>
      </c>
      <c r="C86" s="9" t="str">
        <f>IFERROR(VLOOKUP(表1[[#This Row],[唯一标示]],[1]!表1_83[#Data],4,FALSE),"EN."&amp;表1[[#This Row],[中文]])</f>
        <v>Hiệu ứng</v>
      </c>
      <c r="D86" s="10" t="str">
        <f>IFERROR(VLOOKUP(表1[[#This Row],[唯一标示]],[1]!表1_83[#Data],3,FALSE),"EN."&amp;表1[[#This Row],[中文]])</f>
        <v>Hiệu ứng</v>
      </c>
      <c r="E86" s="9" t="str">
        <f>IFERROR(VLOOKUP(表1[[#This Row],[唯一标示]],[1]!表1_83[#Data],5,FALSE),"EN."&amp;表1[[#This Row],[中文]])</f>
        <v>音效</v>
      </c>
    </row>
    <row r="87" spans="1:5" x14ac:dyDescent="0.15">
      <c r="A87" s="9" t="s">
        <v>96</v>
      </c>
      <c r="B87" s="9" t="str">
        <f>IFERROR(VLOOKUP(表1[[#This Row],[唯一标示]],[1]!表1_83[#Data],2,FALSE),"EN."&amp;表1[[#This Row],[中文]])</f>
        <v>默认省份</v>
      </c>
      <c r="C87" s="9" t="str">
        <f>IFERROR(VLOOKUP(表1[[#This Row],[唯一标示]],[1]!表1_83[#Data],4,FALSE),"EN."&amp;表1[[#This Row],[中文]])</f>
        <v xml:space="preserve">Tỉnh mặc định </v>
      </c>
      <c r="D87" s="10" t="str">
        <f>IFERROR(VLOOKUP(表1[[#This Row],[唯一标示]],[1]!表1_83[#Data],3,FALSE),"EN."&amp;表1[[#This Row],[中文]])</f>
        <v xml:space="preserve">Tỉnh mặc định </v>
      </c>
      <c r="E87" s="9" t="str">
        <f>IFERROR(VLOOKUP(表1[[#This Row],[唯一标示]],[1]!表1_83[#Data],5,FALSE),"EN."&amp;表1[[#This Row],[中文]])</f>
        <v>默认省份</v>
      </c>
    </row>
    <row r="88" spans="1:5" x14ac:dyDescent="0.15">
      <c r="A88" s="9" t="s">
        <v>97</v>
      </c>
      <c r="B88" s="9" t="str">
        <f>IFERROR(VLOOKUP(表1[[#This Row],[唯一标示]],[1]!表1_83[#Data],2,FALSE),"EN."&amp;表1[[#This Row],[中文]])</f>
        <v>选择省份</v>
      </c>
      <c r="C88" s="9" t="str">
        <f>IFERROR(VLOOKUP(表1[[#This Row],[唯一标示]],[1]!表1_83[#Data],4,FALSE),"EN."&amp;表1[[#This Row],[中文]])</f>
        <v xml:space="preserve">Chọn Tỉnh </v>
      </c>
      <c r="D88" s="10" t="str">
        <f>IFERROR(VLOOKUP(表1[[#This Row],[唯一标示]],[1]!表1_83[#Data],3,FALSE),"EN."&amp;表1[[#This Row],[中文]])</f>
        <v xml:space="preserve">Chọn Tỉnh </v>
      </c>
      <c r="E88" s="9" t="str">
        <f>IFERROR(VLOOKUP(表1[[#This Row],[唯一标示]],[1]!表1_83[#Data],5,FALSE),"EN."&amp;表1[[#This Row],[中文]])</f>
        <v>选择省份</v>
      </c>
    </row>
    <row r="89" spans="1:5" x14ac:dyDescent="0.15">
      <c r="A89" s="9" t="s">
        <v>205</v>
      </c>
      <c r="B89" s="9" t="str">
        <f>IFERROR(VLOOKUP(表1[[#This Row],[唯一标示]],[1]!表1_83[#Data],2,FALSE),"EN."&amp;表1[[#This Row],[中文]])</f>
        <v>领取奖励</v>
      </c>
      <c r="C89" s="9" t="str">
        <f>IFERROR(VLOOKUP(表1[[#This Row],[唯一标示]],[1]!表1_83[#Data],4,FALSE),"EN."&amp;表1[[#This Row],[中文]])</f>
        <v>Nhận</v>
      </c>
      <c r="D89" s="10" t="str">
        <f>IFERROR(VLOOKUP(表1[[#This Row],[唯一标示]],[1]!表1_83[#Data],3,FALSE),"EN."&amp;表1[[#This Row],[中文]])</f>
        <v>Nhận</v>
      </c>
      <c r="E89" s="9" t="str">
        <f>IFERROR(VLOOKUP(表1[[#This Row],[唯一标示]],[1]!表1_83[#Data],5,FALSE),"EN."&amp;表1[[#This Row],[中文]])</f>
        <v>领取奖励</v>
      </c>
    </row>
    <row r="90" spans="1:5" x14ac:dyDescent="0.15">
      <c r="A90" s="9" t="s">
        <v>98</v>
      </c>
      <c r="B90" s="9" t="str">
        <f>IFERROR(VLOOKUP(表1[[#This Row],[唯一标示]],[1]!表1_83[#Data],2,FALSE),"EN."&amp;表1[[#This Row],[中文]])</f>
        <v>你的排名超过好友啦，要通知好友吗？</v>
      </c>
      <c r="C90" s="9" t="str">
        <f>IFERROR(VLOOKUP(表1[[#This Row],[唯一标示]],[1]!表1_83[#Data],4,FALSE),"EN."&amp;表1[[#This Row],[中文]])</f>
        <v>Bạn vượt hạng của bạn bè rồi, muốn thông báo không?</v>
      </c>
      <c r="D90" s="10" t="str">
        <f>IFERROR(VLOOKUP(表1[[#This Row],[唯一标示]],[1]!表1_83[#Data],3,FALSE),"EN."&amp;表1[[#This Row],[中文]])</f>
        <v>Bạn vượt hạng của bạn bè rồi, muốn thông báo không?</v>
      </c>
      <c r="E90" s="9" t="str">
        <f>IFERROR(VLOOKUP(表1[[#This Row],[唯一标示]],[1]!表1_83[#Data],5,FALSE),"EN."&amp;表1[[#This Row],[中文]])</f>
        <v>你的排名超过好友啦，要通知好友吗？</v>
      </c>
    </row>
    <row r="91" spans="1:5" x14ac:dyDescent="0.15">
      <c r="A91" s="9" t="s">
        <v>99</v>
      </c>
      <c r="B91" s="9" t="str">
        <f>IFERROR(VLOOKUP(表1[[#This Row],[唯一标示]],[1]!表1_83[#Data],2,FALSE),"EN."&amp;表1[[#This Row],[中文]])</f>
        <v>算了吧</v>
      </c>
      <c r="C91" s="9" t="str">
        <f>IFERROR(VLOOKUP(表1[[#This Row],[唯一标示]],[1]!表1_83[#Data],4,FALSE),"EN."&amp;表1[[#This Row],[中文]])</f>
        <v>Trở Về!</v>
      </c>
      <c r="D91" s="10" t="str">
        <f>IFERROR(VLOOKUP(表1[[#This Row],[唯一标示]],[1]!表1_83[#Data],3,FALSE),"EN."&amp;表1[[#This Row],[中文]])</f>
        <v>Trở Về!</v>
      </c>
      <c r="E91" s="9" t="str">
        <f>IFERROR(VLOOKUP(表1[[#This Row],[唯一标示]],[1]!表1_83[#Data],5,FALSE),"EN."&amp;表1[[#This Row],[中文]])</f>
        <v>算了吧</v>
      </c>
    </row>
    <row r="92" spans="1:5" x14ac:dyDescent="0.15">
      <c r="A92" s="9" t="s">
        <v>100</v>
      </c>
      <c r="B92" s="9" t="str">
        <f>IFERROR(VLOOKUP(表1[[#This Row],[唯一标示]],[1]!表1_83[#Data],2,FALSE),"EN."&amp;表1[[#This Row],[中文]])</f>
        <v>通知</v>
      </c>
      <c r="C92" s="9" t="str">
        <f>IFERROR(VLOOKUP(表1[[#This Row],[唯一标示]],[1]!表1_83[#Data],4,FALSE),"EN."&amp;表1[[#This Row],[中文]])</f>
        <v>Thông báo</v>
      </c>
      <c r="D92" s="10" t="str">
        <f>IFERROR(VLOOKUP(表1[[#This Row],[唯一标示]],[1]!表1_83[#Data],3,FALSE),"EN."&amp;表1[[#This Row],[中文]])</f>
        <v>Thông báo</v>
      </c>
      <c r="E92" s="9" t="str">
        <f>IFERROR(VLOOKUP(表1[[#This Row],[唯一标示]],[1]!表1_83[#Data],5,FALSE),"EN."&amp;表1[[#This Row],[中文]])</f>
        <v>通知</v>
      </c>
    </row>
    <row r="93" spans="1:5" x14ac:dyDescent="0.15">
      <c r="A93" s="9" t="s">
        <v>101</v>
      </c>
      <c r="B93" s="9" t="str">
        <f>IFERROR(VLOOKUP(表1[[#This Row],[唯一标示]],[1]!表1_83[#Data],2,FALSE),"EN."&amp;表1[[#This Row],[中文]])</f>
        <v>点击发送快捷消息</v>
      </c>
      <c r="C93" s="9" t="str">
        <f>IFERROR(VLOOKUP(表1[[#This Row],[唯一标示]],[1]!表1_83[#Data],4,FALSE),"EN."&amp;表1[[#This Row],[中文]])</f>
        <v>Click gửi tin nhanh</v>
      </c>
      <c r="D93" s="10" t="str">
        <f>IFERROR(VLOOKUP(表1[[#This Row],[唯一标示]],[1]!表1_83[#Data],3,FALSE),"EN."&amp;表1[[#This Row],[中文]])</f>
        <v>Click gửi tin nhanh</v>
      </c>
      <c r="E93" s="9" t="str">
        <f>IFERROR(VLOOKUP(表1[[#This Row],[唯一标示]],[1]!表1_83[#Data],5,FALSE),"EN."&amp;表1[[#This Row],[中文]])</f>
        <v>点击发送快捷消息</v>
      </c>
    </row>
    <row r="94" spans="1:5" x14ac:dyDescent="0.15">
      <c r="A94" s="9" t="s">
        <v>102</v>
      </c>
      <c r="B94" s="9" t="str">
        <f>IFERROR(VLOOKUP(表1[[#This Row],[唯一标示]],[1]!表1_83[#Data],2,FALSE),"EN."&amp;表1[[#This Row],[中文]])</f>
        <v>领取成功</v>
      </c>
      <c r="C94" s="9" t="str">
        <f>IFERROR(VLOOKUP(表1[[#This Row],[唯一标示]],[1]!表1_83[#Data],4,FALSE),"EN."&amp;表1[[#This Row],[中文]])</f>
        <v>Nhận thành công!</v>
      </c>
      <c r="D94" s="10" t="str">
        <f>IFERROR(VLOOKUP(表1[[#This Row],[唯一标示]],[1]!表1_83[#Data],3,FALSE),"EN."&amp;表1[[#This Row],[中文]])</f>
        <v>Nhận thành công!</v>
      </c>
      <c r="E94" s="9" t="str">
        <f>IFERROR(VLOOKUP(表1[[#This Row],[唯一标示]],[1]!表1_83[#Data],5,FALSE),"EN."&amp;表1[[#This Row],[中文]])</f>
        <v>领取成功</v>
      </c>
    </row>
    <row r="95" spans="1:5" x14ac:dyDescent="0.15">
      <c r="A95" s="9" t="s">
        <v>103</v>
      </c>
      <c r="B95" s="9" t="str">
        <f>IFERROR(VLOOKUP(表1[[#This Row],[唯一标示]],[1]!表1_83[#Data],2,FALSE),"EN."&amp;表1[[#This Row],[中文]])</f>
        <v>恭喜您获得：</v>
      </c>
      <c r="C95" s="9" t="str">
        <f>IFERROR(VLOOKUP(表1[[#This Row],[唯一标示]],[1]!表1_83[#Data],4,FALSE),"EN."&amp;表1[[#This Row],[中文]])</f>
        <v xml:space="preserve">Bạn nhận được: </v>
      </c>
      <c r="D95" s="10" t="str">
        <f>IFERROR(VLOOKUP(表1[[#This Row],[唯一标示]],[1]!表1_83[#Data],3,FALSE),"EN."&amp;表1[[#This Row],[中文]])</f>
        <v xml:space="preserve">Bạn nhận được: </v>
      </c>
      <c r="E95" s="9" t="str">
        <f>IFERROR(VLOOKUP(表1[[#This Row],[唯一标示]],[1]!表1_83[#Data],5,FALSE),"EN."&amp;表1[[#This Row],[中文]])</f>
        <v>恭喜您获得：</v>
      </c>
    </row>
    <row r="96" spans="1:5" x14ac:dyDescent="0.15">
      <c r="A96" s="9" t="s">
        <v>104</v>
      </c>
      <c r="B96" s="9" t="str">
        <f>IFERROR(VLOOKUP(表1[[#This Row],[唯一标示]],[1]!表1_83[#Data],2,FALSE),"EN."&amp;表1[[#This Row],[中文]])</f>
        <v>记得明天继续到\n玩吧礼包中心领取新的礼包哦！</v>
      </c>
      <c r="C96" s="9" t="str">
        <f>IFERROR(VLOOKUP(表1[[#This Row],[唯一标示]],[1]!表1_83[#Data],4,FALSE),"EN."&amp;表1[[#This Row],[中文]])</f>
        <v>Mai nhớ Quay lại nhé!\nChơi vui nhận quà càng vui!</v>
      </c>
      <c r="D96" s="10" t="str">
        <f>IFERROR(VLOOKUP(表1[[#This Row],[唯一标示]],[1]!表1_83[#Data],3,FALSE),"EN."&amp;表1[[#This Row],[中文]])</f>
        <v>Mai nhớ Quay lại nhé!\nChơi vui nhận quà càng vui!</v>
      </c>
      <c r="E96" s="9" t="str">
        <f>IFERROR(VLOOKUP(表1[[#This Row],[唯一标示]],[1]!表1_83[#Data],5,FALSE),"EN."&amp;表1[[#This Row],[中文]])</f>
        <v>记得明天继续到\n玩吧礼包中心领取新的礼包哦！</v>
      </c>
    </row>
    <row r="97" spans="1:5" x14ac:dyDescent="0.15">
      <c r="A97" s="9" t="s">
        <v>105</v>
      </c>
      <c r="B97" s="9" t="str">
        <f>IFERROR(VLOOKUP(表1[[#This Row],[唯一标示]],[1]!表1_83[#Data],2,FALSE),"EN."&amp;表1[[#This Row],[中文]])</f>
        <v>处理中，请稍候。。。</v>
      </c>
      <c r="C97" s="9" t="str">
        <f>IFERROR(VLOOKUP(表1[[#This Row],[唯一标示]],[1]!表1_83[#Data],4,FALSE),"EN."&amp;表1[[#This Row],[中文]])</f>
        <v>Đang xử lý, vui lòng đợi...</v>
      </c>
      <c r="D97" s="10" t="str">
        <f>IFERROR(VLOOKUP(表1[[#This Row],[唯一标示]],[1]!表1_83[#Data],3,FALSE),"EN."&amp;表1[[#This Row],[中文]])</f>
        <v>Đang xử lý, vui lòng đợi...</v>
      </c>
      <c r="E97" s="9" t="str">
        <f>IFERROR(VLOOKUP(表1[[#This Row],[唯一标示]],[1]!表1_83[#Data],5,FALSE),"EN."&amp;表1[[#This Row],[中文]])</f>
        <v>处理中，请稍候。。。</v>
      </c>
    </row>
    <row r="98" spans="1:5" x14ac:dyDescent="0.15">
      <c r="A98" s="9" t="s">
        <v>106</v>
      </c>
      <c r="B98" s="9" t="str">
        <f>IFERROR(VLOOKUP(表1[[#This Row],[唯一标示]],[1]!表1_83[#Data],2,FALSE),"EN."&amp;表1[[#This Row],[中文]])</f>
        <v>皮肤在已购买玩家中的支持率</v>
      </c>
      <c r="C98" s="9" t="str">
        <f>IFERROR(VLOOKUP(表1[[#This Row],[唯一标示]],[1]!表1_83[#Data],4,FALSE),"EN."&amp;表1[[#This Row],[中文]])</f>
        <v>BXH súng ưa thích</v>
      </c>
      <c r="D98" s="10" t="str">
        <f>IFERROR(VLOOKUP(表1[[#This Row],[唯一标示]],[1]!表1_83[#Data],3,FALSE),"EN."&amp;表1[[#This Row],[中文]])</f>
        <v>BXH súng ưa thích</v>
      </c>
      <c r="E98" s="9" t="str">
        <f>IFERROR(VLOOKUP(表1[[#This Row],[唯一标示]],[1]!表1_83[#Data],5,FALSE),"EN."&amp;表1[[#This Row],[中文]])</f>
        <v>皮肤在已购买玩家中的支持率</v>
      </c>
    </row>
    <row r="99" spans="1:5" x14ac:dyDescent="0.15">
      <c r="A99" s="9" t="s">
        <v>107</v>
      </c>
      <c r="B99" s="9" t="str">
        <f>IFERROR(VLOOKUP(表1[[#This Row],[唯一标示]],[1]!表1_83[#Data],2,FALSE),"EN."&amp;表1[[#This Row],[中文]])</f>
        <v>你觉得你的皮肤中哪些皮肤好用？（可多选）</v>
      </c>
      <c r="C99" s="9" t="str">
        <f>IFERROR(VLOOKUP(表1[[#This Row],[唯一标示]],[1]!表1_83[#Data],4,FALSE),"EN."&amp;表1[[#This Row],[中文]])</f>
        <v>Bình chọn súng bạn thích</v>
      </c>
      <c r="D99" s="10" t="str">
        <f>IFERROR(VLOOKUP(表1[[#This Row],[唯一标示]],[1]!表1_83[#Data],3,FALSE),"EN."&amp;表1[[#This Row],[中文]])</f>
        <v>Bình chọn súng bạn thích</v>
      </c>
      <c r="E99" s="9" t="str">
        <f>IFERROR(VLOOKUP(表1[[#This Row],[唯一标示]],[1]!表1_83[#Data],5,FALSE),"EN."&amp;表1[[#This Row],[中文]])</f>
        <v>你觉得你的皮肤中哪些皮肤好用？（可多选）</v>
      </c>
    </row>
    <row r="100" spans="1:5" x14ac:dyDescent="0.15">
      <c r="A100" s="9" t="s">
        <v>108</v>
      </c>
      <c r="B100" s="9" t="str">
        <f>IFERROR(VLOOKUP(表1[[#This Row],[唯一标示]],[1]!表1_83[#Data],2,FALSE),"EN."&amp;表1[[#This Row],[中文]])</f>
        <v>暂无邮件</v>
      </c>
      <c r="C100" s="9" t="str">
        <f>IFERROR(VLOOKUP(表1[[#This Row],[唯一标示]],[1]!表1_83[#Data],4,FALSE),"EN."&amp;表1[[#This Row],[中文]])</f>
        <v>Hiện không có Thư</v>
      </c>
      <c r="D100" s="10" t="str">
        <f>IFERROR(VLOOKUP(表1[[#This Row],[唯一标示]],[1]!表1_83[#Data],3,FALSE),"EN."&amp;表1[[#This Row],[中文]])</f>
        <v>Hiện không có Thư</v>
      </c>
      <c r="E100" s="9" t="str">
        <f>IFERROR(VLOOKUP(表1[[#This Row],[唯一标示]],[1]!表1_83[#Data],5,FALSE),"EN."&amp;表1[[#This Row],[中文]])</f>
        <v>暂无邮件</v>
      </c>
    </row>
    <row r="101" spans="1:5" x14ac:dyDescent="0.15">
      <c r="A101" s="9" t="s">
        <v>109</v>
      </c>
      <c r="B101" s="9" t="str">
        <f>IFERROR(VLOOKUP(表1[[#This Row],[唯一标示]],[1]!表1_83[#Data],2,FALSE),"EN."&amp;表1[[#This Row],[中文]])</f>
        <v>一键领取</v>
      </c>
      <c r="C101" s="9" t="str">
        <f>IFERROR(VLOOKUP(表1[[#This Row],[唯一标示]],[1]!表1_83[#Data],4,FALSE),"EN."&amp;表1[[#This Row],[中文]])</f>
        <v>Nhận nhanh</v>
      </c>
      <c r="D101" s="10" t="str">
        <f>IFERROR(VLOOKUP(表1[[#This Row],[唯一标示]],[1]!表1_83[#Data],3,FALSE),"EN."&amp;表1[[#This Row],[中文]])</f>
        <v>Nhận nhanh</v>
      </c>
      <c r="E101" s="9" t="str">
        <f>IFERROR(VLOOKUP(表1[[#This Row],[唯一标示]],[1]!表1_83[#Data],5,FALSE),"EN."&amp;表1[[#This Row],[中文]])</f>
        <v>一键领取</v>
      </c>
    </row>
    <row r="102" spans="1:5" x14ac:dyDescent="0.15">
      <c r="A102" s="9" t="s">
        <v>110</v>
      </c>
      <c r="B102" s="9" t="str">
        <f>IFERROR(VLOOKUP(表1[[#This Row],[唯一标示]],[1]!表1_83[#Data],2,FALSE),"EN."&amp;表1[[#This Row],[中文]])</f>
        <v>版本更新奖励</v>
      </c>
      <c r="C102" s="9" t="str">
        <f>IFERROR(VLOOKUP(表1[[#This Row],[唯一标示]],[1]!表1_83[#Data],4,FALSE),"EN."&amp;表1[[#This Row],[中文]])</f>
        <v>Quà update phiên vản</v>
      </c>
      <c r="D102" s="10" t="str">
        <f>IFERROR(VLOOKUP(表1[[#This Row],[唯一标示]],[1]!表1_83[#Data],3,FALSE),"EN."&amp;表1[[#This Row],[中文]])</f>
        <v>Quà update phiên vản</v>
      </c>
      <c r="E102" s="9" t="str">
        <f>IFERROR(VLOOKUP(表1[[#This Row],[唯一标示]],[1]!表1_83[#Data],5,FALSE),"EN."&amp;表1[[#This Row],[中文]])</f>
        <v>版本更新奖励</v>
      </c>
    </row>
    <row r="103" spans="1:5" x14ac:dyDescent="0.15">
      <c r="A103" s="9" t="s">
        <v>111</v>
      </c>
      <c r="B103" s="9" t="str">
        <f>IFERROR(VLOOKUP(表1[[#This Row],[唯一标示]],[1]!表1_83[#Data],2,FALSE),"EN."&amp;表1[[#This Row],[中文]])</f>
        <v>10级解锁</v>
      </c>
      <c r="C103" s="9" t="str">
        <f>IFERROR(VLOOKUP(表1[[#This Row],[唯一标示]],[1]!表1_83[#Data],4,FALSE),"EN."&amp;表1[[#This Row],[中文]])</f>
        <v>Mở khoá cấp 10</v>
      </c>
      <c r="D103" s="10" t="str">
        <f>IFERROR(VLOOKUP(表1[[#This Row],[唯一标示]],[1]!表1_83[#Data],3,FALSE),"EN."&amp;表1[[#This Row],[中文]])</f>
        <v>Mở khoá cấp 10</v>
      </c>
      <c r="E103" s="9" t="str">
        <f>IFERROR(VLOOKUP(表1[[#This Row],[唯一标示]],[1]!表1_83[#Data],5,FALSE),"EN."&amp;表1[[#This Row],[中文]])</f>
        <v>10级解锁</v>
      </c>
    </row>
    <row r="104" spans="1:5" x14ac:dyDescent="0.15">
      <c r="A104" s="9" t="s">
        <v>112</v>
      </c>
      <c r="B104" s="9" t="str">
        <f>IFERROR(VLOOKUP(表1[[#This Row],[唯一标示]],[1]!表1_83[#Data],2,FALSE),"EN."&amp;表1[[#This Row],[中文]])</f>
        <v>武器100 倍解锁</v>
      </c>
      <c r="C104" s="9" t="str">
        <f>IFERROR(VLOOKUP(表1[[#This Row],[唯一标示]],[1]!表1_83[#Data],4,FALSE),"EN."&amp;表1[[#This Row],[中文]])</f>
        <v>Vũ khí x 100 mở khoá</v>
      </c>
      <c r="D104" s="10" t="str">
        <f>IFERROR(VLOOKUP(表1[[#This Row],[唯一标示]],[1]!表1_83[#Data],3,FALSE),"EN."&amp;表1[[#This Row],[中文]])</f>
        <v>Vũ khí x 100 mở khoá</v>
      </c>
      <c r="E104" s="9" t="str">
        <f>IFERROR(VLOOKUP(表1[[#This Row],[唯一标示]],[1]!表1_83[#Data],5,FALSE),"EN."&amp;表1[[#This Row],[中文]])</f>
        <v>武器100 倍解锁</v>
      </c>
    </row>
    <row r="105" spans="1:5" x14ac:dyDescent="0.15">
      <c r="A105" s="9" t="s">
        <v>196</v>
      </c>
      <c r="B105" s="9" t="str">
        <f>IFERROR(VLOOKUP(表1[[#This Row],[唯一标示]],[1]!表1_83[#Data],2,FALSE),"EN."&amp;表1[[#This Row],[中文]])</f>
        <v>购买：</v>
      </c>
      <c r="C105" s="9" t="str">
        <f>IFERROR(VLOOKUP(表1[[#This Row],[唯一标示]],[1]!表1_83[#Data],4,FALSE),"EN."&amp;表1[[#This Row],[中文]])</f>
        <v xml:space="preserve">Mua: </v>
      </c>
      <c r="D105" s="10" t="str">
        <f>IFERROR(VLOOKUP(表1[[#This Row],[唯一标示]],[1]!表1_83[#Data],3,FALSE),"EN."&amp;表1[[#This Row],[中文]])</f>
        <v xml:space="preserve">Mua: </v>
      </c>
      <c r="E105" s="9" t="str">
        <f>IFERROR(VLOOKUP(表1[[#This Row],[唯一标示]],[1]!表1_83[#Data],5,FALSE),"EN."&amp;表1[[#This Row],[中文]])</f>
        <v>购买：</v>
      </c>
    </row>
    <row r="106" spans="1:5" x14ac:dyDescent="0.15">
      <c r="A106" s="9" t="s">
        <v>195</v>
      </c>
      <c r="B106" s="9" t="str">
        <f>IFERROR(VLOOKUP(表1[[#This Row],[唯一标示]],[1]!表1_83[#Data],2,FALSE),"EN."&amp;表1[[#This Row],[中文]])</f>
        <v>原价：</v>
      </c>
      <c r="C106" s="9" t="str">
        <f>IFERROR(VLOOKUP(表1[[#This Row],[唯一标示]],[1]!表1_83[#Data],4,FALSE),"EN."&amp;表1[[#This Row],[中文]])</f>
        <v xml:space="preserve">Giá gốc: </v>
      </c>
      <c r="D106" s="10" t="str">
        <f>IFERROR(VLOOKUP(表1[[#This Row],[唯一标示]],[1]!表1_83[#Data],3,FALSE),"EN."&amp;表1[[#This Row],[中文]])</f>
        <v xml:space="preserve">Giá gốc: </v>
      </c>
      <c r="E106" s="9" t="str">
        <f>IFERROR(VLOOKUP(表1[[#This Row],[唯一标示]],[1]!表1_83[#Data],5,FALSE),"EN."&amp;表1[[#This Row],[中文]])</f>
        <v>原价：</v>
      </c>
    </row>
    <row r="107" spans="1:5" x14ac:dyDescent="0.15">
      <c r="A107" s="9" t="s">
        <v>113</v>
      </c>
      <c r="B107" s="9" t="str">
        <f>IFERROR(VLOOKUP(表1[[#This Row],[唯一标示]],[1]!表1_83[#Data],2,FALSE),"EN."&amp;表1[[#This Row],[中文]])</f>
        <v>暂无可兑换物品</v>
      </c>
      <c r="C107" s="9" t="str">
        <f>IFERROR(VLOOKUP(表1[[#This Row],[唯一标示]],[1]!表1_83[#Data],4,FALSE),"EN."&amp;表1[[#This Row],[中文]])</f>
        <v>Hiện không vật phẩm để đổi</v>
      </c>
      <c r="D107" s="10" t="str">
        <f>IFERROR(VLOOKUP(表1[[#This Row],[唯一标示]],[1]!表1_83[#Data],3,FALSE),"EN."&amp;表1[[#This Row],[中文]])</f>
        <v>Hiện không vật phẩm để đổi</v>
      </c>
      <c r="E107" s="9" t="str">
        <f>IFERROR(VLOOKUP(表1[[#This Row],[唯一标示]],[1]!表1_83[#Data],5,FALSE),"EN."&amp;表1[[#This Row],[中文]])</f>
        <v>暂无可兑换物品</v>
      </c>
    </row>
    <row r="108" spans="1:5" x14ac:dyDescent="0.15">
      <c r="A108" s="9" t="s">
        <v>114</v>
      </c>
      <c r="B108" s="9" t="str">
        <f>IFERROR(VLOOKUP(表1[[#This Row],[唯一标示]],[1]!表1_83[#Data],2,FALSE),"EN."&amp;表1[[#This Row],[中文]])</f>
        <v>剩余</v>
      </c>
      <c r="C108" s="9" t="str">
        <f>IFERROR(VLOOKUP(表1[[#This Row],[唯一标示]],[1]!表1_83[#Data],4,FALSE),"EN."&amp;表1[[#This Row],[中文]])</f>
        <v xml:space="preserve">Còn lại </v>
      </c>
      <c r="D108" s="10" t="str">
        <f>IFERROR(VLOOKUP(表1[[#This Row],[唯一标示]],[1]!表1_83[#Data],3,FALSE),"EN."&amp;表1[[#This Row],[中文]])</f>
        <v xml:space="preserve">Còn lại </v>
      </c>
      <c r="E108" s="9" t="str">
        <f>IFERROR(VLOOKUP(表1[[#This Row],[唯一标示]],[1]!表1_83[#Data],5,FALSE),"EN."&amp;表1[[#This Row],[中文]])</f>
        <v>剩余</v>
      </c>
    </row>
    <row r="109" spans="1:5" x14ac:dyDescent="0.15">
      <c r="A109" s="9" t="s">
        <v>115</v>
      </c>
      <c r="B109" s="9" t="str">
        <f>IFERROR(VLOOKUP(表1[[#This Row],[唯一标示]],[1]!表1_83[#Data],2,FALSE),"EN."&amp;表1[[#This Row],[中文]])</f>
        <v>兑换</v>
      </c>
      <c r="C109" s="9" t="str">
        <f>IFERROR(VLOOKUP(表1[[#This Row],[唯一标示]],[1]!表1_83[#Data],4,FALSE),"EN."&amp;表1[[#This Row],[中文]])</f>
        <v>Mua</v>
      </c>
      <c r="D109" s="10" t="str">
        <f>IFERROR(VLOOKUP(表1[[#This Row],[唯一标示]],[1]!表1_83[#Data],3,FALSE),"EN."&amp;表1[[#This Row],[中文]])</f>
        <v>Mua</v>
      </c>
      <c r="E109" s="9" t="str">
        <f>IFERROR(VLOOKUP(表1[[#This Row],[唯一标示]],[1]!表1_83[#Data],5,FALSE),"EN."&amp;表1[[#This Row],[中文]])</f>
        <v>兑换</v>
      </c>
    </row>
    <row r="110" spans="1:5" x14ac:dyDescent="0.15">
      <c r="A110" s="9" t="s">
        <v>116</v>
      </c>
      <c r="B110" s="9" t="str">
        <f>IFERROR(VLOOKUP(表1[[#This Row],[唯一标示]],[1]!表1_83[#Data],2,FALSE),"EN."&amp;表1[[#This Row],[中文]])</f>
        <v>每次花费50</v>
      </c>
      <c r="C110" s="9" t="str">
        <f>IFERROR(VLOOKUP(表1[[#This Row],[唯一标示]],[1]!表1_83[#Data],4,FALSE),"EN."&amp;表1[[#This Row],[中文]])</f>
        <v>Mỗi lần tiêu hao 50</v>
      </c>
      <c r="D110" s="10" t="str">
        <f>IFERROR(VLOOKUP(表1[[#This Row],[唯一标示]],[1]!表1_83[#Data],3,FALSE),"EN."&amp;表1[[#This Row],[中文]])</f>
        <v>Mỗi lần tiêu hao 50</v>
      </c>
      <c r="E110" s="9" t="str">
        <f>IFERROR(VLOOKUP(表1[[#This Row],[唯一标示]],[1]!表1_83[#Data],5,FALSE),"EN."&amp;表1[[#This Row],[中文]])</f>
        <v>每次花费50</v>
      </c>
    </row>
    <row r="111" spans="1:5" x14ac:dyDescent="0.15">
      <c r="A111" s="9" t="s">
        <v>117</v>
      </c>
      <c r="B111" s="9" t="str">
        <f>IFERROR(VLOOKUP(表1[[#This Row],[唯一标示]],[1]!表1_83[#Data],2,FALSE),"EN."&amp;表1[[#This Row],[中文]])</f>
        <v>升星</v>
      </c>
      <c r="C111" s="9" t="str">
        <f>IFERROR(VLOOKUP(表1[[#This Row],[唯一标示]],[1]!表1_83[#Data],4,FALSE),"EN."&amp;表1[[#This Row],[中文]])</f>
        <v>Lên ngôi sao.</v>
      </c>
      <c r="D111" s="10" t="str">
        <f>IFERROR(VLOOKUP(表1[[#This Row],[唯一标示]],[1]!表1_83[#Data],3,FALSE),"EN."&amp;表1[[#This Row],[中文]])</f>
        <v>Lên ngôi sao.</v>
      </c>
      <c r="E111" s="9" t="str">
        <f>IFERROR(VLOOKUP(表1[[#This Row],[唯一标示]],[1]!表1_83[#Data],5,FALSE),"EN."&amp;表1[[#This Row],[中文]])</f>
        <v>升星</v>
      </c>
    </row>
    <row r="112" spans="1:5" x14ac:dyDescent="0.15">
      <c r="A112" s="9" t="s">
        <v>118</v>
      </c>
      <c r="B112" s="9" t="str">
        <f>IFERROR(VLOOKUP(表1[[#This Row],[唯一标示]],[1]!表1_83[#Data],2,FALSE),"EN."&amp;表1[[#This Row],[中文]])</f>
        <v>非卖限定</v>
      </c>
      <c r="C112" s="9" t="str">
        <f>IFERROR(VLOOKUP(表1[[#This Row],[唯一标示]],[1]!表1_83[#Data],4,FALSE),"EN."&amp;表1[[#This Row],[中文]])</f>
        <v>Event</v>
      </c>
      <c r="D112" s="10" t="str">
        <f>IFERROR(VLOOKUP(表1[[#This Row],[唯一标示]],[1]!表1_83[#Data],3,FALSE),"EN."&amp;表1[[#This Row],[中文]])</f>
        <v>Event</v>
      </c>
      <c r="E112" s="9" t="str">
        <f>IFERROR(VLOOKUP(表1[[#This Row],[唯一标示]],[1]!表1_83[#Data],5,FALSE),"EN."&amp;表1[[#This Row],[中文]])</f>
        <v>非卖限定</v>
      </c>
    </row>
    <row r="113" spans="1:5" x14ac:dyDescent="0.15">
      <c r="A113" s="9" t="s">
        <v>119</v>
      </c>
      <c r="B113" s="9" t="str">
        <f>IFERROR(VLOOKUP(表1[[#This Row],[唯一标示]],[1]!表1_83[#Data],2,FALSE),"EN."&amp;表1[[#This Row],[中文]])</f>
        <v>锻造至</v>
      </c>
      <c r="C113" s="9" t="str">
        <f>IFERROR(VLOOKUP(表1[[#This Row],[唯一标示]],[1]!表1_83[#Data],4,FALSE),"EN."&amp;表1[[#This Row],[中文]])</f>
        <v>Rèn đến</v>
      </c>
      <c r="D113" s="10" t="str">
        <f>IFERROR(VLOOKUP(表1[[#This Row],[唯一标示]],[1]!表1_83[#Data],3,FALSE),"EN."&amp;表1[[#This Row],[中文]])</f>
        <v>Rèn đến</v>
      </c>
      <c r="E113" s="9" t="str">
        <f>IFERROR(VLOOKUP(表1[[#This Row],[唯一标示]],[1]!表1_83[#Data],5,FALSE),"EN."&amp;表1[[#This Row],[中文]])</f>
        <v>锻造至</v>
      </c>
    </row>
    <row r="114" spans="1:5" x14ac:dyDescent="0.15">
      <c r="A114" s="9" t="s">
        <v>120</v>
      </c>
      <c r="B114" s="9" t="str">
        <f>IFERROR(VLOOKUP(表1[[#This Row],[唯一标示]],[1]!表1_83[#Data],2,FALSE),"EN."&amp;表1[[#This Row],[中文]])</f>
        <v>消耗</v>
      </c>
      <c r="C114" s="9" t="str">
        <f>IFERROR(VLOOKUP(表1[[#This Row],[唯一标示]],[1]!表1_83[#Data],4,FALSE),"EN."&amp;表1[[#This Row],[中文]])</f>
        <v>Tiêu hao</v>
      </c>
      <c r="D114" s="10" t="str">
        <f>IFERROR(VLOOKUP(表1[[#This Row],[唯一标示]],[1]!表1_83[#Data],3,FALSE),"EN."&amp;表1[[#This Row],[中文]])</f>
        <v>Tiêu hao</v>
      </c>
      <c r="E114" s="9" t="str">
        <f>IFERROR(VLOOKUP(表1[[#This Row],[唯一标示]],[1]!表1_83[#Data],5,FALSE),"EN."&amp;表1[[#This Row],[中文]])</f>
        <v>消耗</v>
      </c>
    </row>
    <row r="115" spans="1:5" x14ac:dyDescent="0.15">
      <c r="A115" s="9" t="s">
        <v>125</v>
      </c>
      <c r="B115" s="9" t="str">
        <f>IFERROR(VLOOKUP(表1[[#This Row],[唯一标示]],[1]!表1_83[#Data],2,FALSE),"EN."&amp;表1[[#This Row],[中文]])</f>
        <v>网络处理中。。。</v>
      </c>
      <c r="C115" s="9" t="str">
        <f>IFERROR(VLOOKUP(表1[[#This Row],[唯一标示]],[1]!表1_83[#Data],4,FALSE),"EN."&amp;表1[[#This Row],[中文]])</f>
        <v>Mạng đang xử lý...</v>
      </c>
      <c r="D115" s="10" t="str">
        <f>IFERROR(VLOOKUP(表1[[#This Row],[唯一标示]],[1]!表1_83[#Data],3,FALSE),"EN."&amp;表1[[#This Row],[中文]])</f>
        <v>Mạng đang xử lý...</v>
      </c>
      <c r="E115" s="9" t="str">
        <f>IFERROR(VLOOKUP(表1[[#This Row],[唯一标示]],[1]!表1_83[#Data],5,FALSE),"EN."&amp;表1[[#This Row],[中文]])</f>
        <v>网络处理中。。。</v>
      </c>
    </row>
    <row r="116" spans="1:5" x14ac:dyDescent="0.15">
      <c r="A116" s="8" t="s">
        <v>130</v>
      </c>
      <c r="B116" s="9" t="str">
        <f>IFERROR(VLOOKUP(表1[[#This Row],[唯一标示]],[1]!表1_83[#Data],2,FALSE),"EN."&amp;表1[[#This Row],[中文]])</f>
        <v>你已达成奖励</v>
      </c>
      <c r="C116" s="9" t="str">
        <f>IFERROR(VLOOKUP(表1[[#This Row],[唯一标示]],[1]!表1_83[#Data],4,FALSE),"EN."&amp;表1[[#This Row],[中文]])</f>
        <v xml:space="preserve">Bạn đã đủ yêu cầu nhận quà </v>
      </c>
      <c r="D116" s="10" t="str">
        <f>IFERROR(VLOOKUP(表1[[#This Row],[唯一标示]],[1]!表1_83[#Data],3,FALSE),"EN."&amp;表1[[#This Row],[中文]])</f>
        <v xml:space="preserve">Bạn đã đủ yêu cầu nhận quà </v>
      </c>
      <c r="E116" s="9" t="str">
        <f>IFERROR(VLOOKUP(表1[[#This Row],[唯一标示]],[1]!表1_83[#Data],5,FALSE),"EN."&amp;表1[[#This Row],[中文]])</f>
        <v>你已达成奖励</v>
      </c>
    </row>
    <row r="117" spans="1:5" x14ac:dyDescent="0.15">
      <c r="A117" s="8" t="s">
        <v>131</v>
      </c>
      <c r="B117" s="9" t="str">
        <f>IFERROR(VLOOKUP(表1[[#This Row],[唯一标示]],[1]!表1_83[#Data],2,FALSE),"EN."&amp;表1[[#This Row],[中文]])</f>
        <v>捕获指定鱼种获得人鱼宝藏</v>
      </c>
      <c r="C117" s="9" t="str">
        <f>IFERROR(VLOOKUP(表1[[#This Row],[唯一标示]],[1]!表1_83[#Data],4,FALSE),"EN."&amp;表1[[#This Row],[中文]])</f>
        <v>Săn đủ cá nhận RƯƠNG QUÀ</v>
      </c>
      <c r="D117" s="10" t="str">
        <f>IFERROR(VLOOKUP(表1[[#This Row],[唯一标示]],[1]!表1_83[#Data],3,FALSE),"EN."&amp;表1[[#This Row],[中文]])</f>
        <v>Săn đủ cá nhận RƯƠNG QUÀ</v>
      </c>
      <c r="E117" s="9" t="str">
        <f>IFERROR(VLOOKUP(表1[[#This Row],[唯一标示]],[1]!表1_83[#Data],5,FALSE),"EN."&amp;表1[[#This Row],[中文]])</f>
        <v>捕获指定鱼种获得人鱼宝藏</v>
      </c>
    </row>
    <row r="118" spans="1:5" x14ac:dyDescent="0.15">
      <c r="A118" s="8" t="s">
        <v>132</v>
      </c>
      <c r="B118" s="9" t="str">
        <f>IFERROR(VLOOKUP(表1[[#This Row],[唯一标示]],[1]!表1_83[#Data],2,FALSE),"EN."&amp;表1[[#This Row],[中文]])</f>
        <v>充值不到账，请联系客服</v>
      </c>
      <c r="C118" s="9" t="str">
        <f>IFERROR(VLOOKUP(表1[[#This Row],[唯一标示]],[1]!表1_83[#Data],4,FALSE),"EN."&amp;表1[[#This Row],[中文]])</f>
        <v>Mọi thắc mắc xin liên hệ hỗ trợ: 0962.788.222</v>
      </c>
      <c r="D118" s="10" t="str">
        <f>IFERROR(VLOOKUP(表1[[#This Row],[唯一标示]],[1]!表1_83[#Data],3,FALSE),"EN."&amp;表1[[#This Row],[中文]])</f>
        <v>Mọi thắc mắc xin liên hệ hỗ trợ: 0962.788.222</v>
      </c>
      <c r="E118" s="9" t="str">
        <f>IFERROR(VLOOKUP(表1[[#This Row],[唯一标示]],[1]!表1_83[#Data],5,FALSE),"EN."&amp;表1[[#This Row],[中文]])</f>
        <v>充值不到账，请联系客服</v>
      </c>
    </row>
    <row r="119" spans="1:5" x14ac:dyDescent="0.15">
      <c r="A119" s="8" t="s">
        <v>133</v>
      </c>
      <c r="B119" s="9" t="str">
        <f>IFERROR(VLOOKUP(表1[[#This Row],[唯一标示]],[1]!表1_83[#Data],2,FALSE),"EN."&amp;表1[[#This Row],[中文]])</f>
        <v>前往渔场</v>
      </c>
      <c r="C119" s="9" t="str">
        <f>IFERROR(VLOOKUP(表1[[#This Row],[唯一标示]],[1]!表1_83[#Data],4,FALSE),"EN."&amp;表1[[#This Row],[中文]])</f>
        <v>Ra Khơi</v>
      </c>
      <c r="D119" s="10" t="str">
        <f>IFERROR(VLOOKUP(表1[[#This Row],[唯一标示]],[1]!表1_83[#Data],3,FALSE),"EN."&amp;表1[[#This Row],[中文]])</f>
        <v>Ra Khơi</v>
      </c>
      <c r="E119" s="9" t="str">
        <f>IFERROR(VLOOKUP(表1[[#This Row],[唯一标示]],[1]!表1_83[#Data],5,FALSE),"EN."&amp;表1[[#This Row],[中文]])</f>
        <v>前往渔场</v>
      </c>
    </row>
    <row r="120" spans="1:5" x14ac:dyDescent="0.15">
      <c r="A120" s="8" t="s">
        <v>134</v>
      </c>
      <c r="B120" s="9" t="str">
        <f>IFERROR(VLOOKUP(表1[[#This Row],[唯一标示]],[1]!表1_83[#Data],2,FALSE),"EN."&amp;表1[[#This Row],[中文]])</f>
        <v>分享</v>
      </c>
      <c r="C120" s="9" t="str">
        <f>IFERROR(VLOOKUP(表1[[#This Row],[唯一标示]],[1]!表1_83[#Data],4,FALSE),"EN."&amp;表1[[#This Row],[中文]])</f>
        <v xml:space="preserve">Chia sẻ </v>
      </c>
      <c r="D120" s="10" t="str">
        <f>IFERROR(VLOOKUP(表1[[#This Row],[唯一标示]],[1]!表1_83[#Data],3,FALSE),"EN."&amp;表1[[#This Row],[中文]])</f>
        <v xml:space="preserve">Chia sẻ </v>
      </c>
      <c r="E120" s="9" t="str">
        <f>IFERROR(VLOOKUP(表1[[#This Row],[唯一标示]],[1]!表1_83[#Data],5,FALSE),"EN."&amp;表1[[#This Row],[中文]])</f>
        <v>分享</v>
      </c>
    </row>
    <row r="121" spans="1:5" x14ac:dyDescent="0.15">
      <c r="A121" s="8" t="s">
        <v>135</v>
      </c>
      <c r="B121" s="9" t="str">
        <f>IFERROR(VLOOKUP(表1[[#This Row],[唯一标示]],[1]!表1_83[#Data],2,FALSE),"EN."&amp;表1[[#This Row],[中文]])</f>
        <v>今日\n领取</v>
      </c>
      <c r="C121" s="9" t="str">
        <f>IFERROR(VLOOKUP(表1[[#This Row],[唯一标示]],[1]!表1_83[#Data],4,FALSE),"EN."&amp;表1[[#This Row],[中文]])</f>
        <v xml:space="preserve">Hôm nay\nNhận </v>
      </c>
      <c r="D121" s="10" t="str">
        <f>IFERROR(VLOOKUP(表1[[#This Row],[唯一标示]],[1]!表1_83[#Data],3,FALSE),"EN."&amp;表1[[#This Row],[中文]])</f>
        <v xml:space="preserve">Hôm nay\nNhận </v>
      </c>
      <c r="E121" s="9" t="str">
        <f>IFERROR(VLOOKUP(表1[[#This Row],[唯一标示]],[1]!表1_83[#Data],5,FALSE),"EN."&amp;表1[[#This Row],[中文]])</f>
        <v>今日\n领取</v>
      </c>
    </row>
    <row r="122" spans="1:5" x14ac:dyDescent="0.15">
      <c r="A122" s="8" t="s">
        <v>200</v>
      </c>
      <c r="B122" s="9" t="str">
        <f>IFERROR(VLOOKUP(表1[[#This Row],[唯一标示]],[1]!表1_83[#Data],2,FALSE),"EN."&amp;表1[[#This Row],[中文]])</f>
        <v>拥有：</v>
      </c>
      <c r="C122" s="9" t="str">
        <f>IFERROR(VLOOKUP(表1[[#This Row],[唯一标示]],[1]!表1_83[#Data],4,FALSE),"EN."&amp;表1[[#This Row],[中文]])</f>
        <v xml:space="preserve">Có: </v>
      </c>
      <c r="D122" s="10" t="str">
        <f>IFERROR(VLOOKUP(表1[[#This Row],[唯一标示]],[1]!表1_83[#Data],3,FALSE),"EN."&amp;表1[[#This Row],[中文]])</f>
        <v xml:space="preserve">Có: </v>
      </c>
      <c r="E122" s="9" t="str">
        <f>IFERROR(VLOOKUP(表1[[#This Row],[唯一标示]],[1]!表1_83[#Data],5,FALSE),"EN."&amp;表1[[#This Row],[中文]])</f>
        <v>拥有：</v>
      </c>
    </row>
    <row r="123" spans="1:5" x14ac:dyDescent="0.15">
      <c r="A123" s="8" t="s">
        <v>136</v>
      </c>
      <c r="B123" s="9" t="str">
        <f>IFERROR(VLOOKUP(表1[[#This Row],[唯一标示]],[1]!表1_83[#Data],2,FALSE),"EN."&amp;表1[[#This Row],[中文]])</f>
        <v>点此输入</v>
      </c>
      <c r="C123" s="9" t="str">
        <f>IFERROR(VLOOKUP(表1[[#This Row],[唯一标示]],[1]!表1_83[#Data],4,FALSE),"EN."&amp;表1[[#This Row],[中文]])</f>
        <v>Click để nhập</v>
      </c>
      <c r="D123" s="10" t="str">
        <f>IFERROR(VLOOKUP(表1[[#This Row],[唯一标示]],[1]!表1_83[#Data],3,FALSE),"EN."&amp;表1[[#This Row],[中文]])</f>
        <v>Click để nhập</v>
      </c>
      <c r="E123" s="9" t="str">
        <f>IFERROR(VLOOKUP(表1[[#This Row],[唯一标示]],[1]!表1_83[#Data],5,FALSE),"EN."&amp;表1[[#This Row],[中文]])</f>
        <v>点此输入</v>
      </c>
    </row>
    <row r="124" spans="1:5" x14ac:dyDescent="0.15">
      <c r="A124" s="8" t="s">
        <v>137</v>
      </c>
      <c r="B124" s="9" t="str">
        <f>IFERROR(VLOOKUP(表1[[#This Row],[唯一标示]],[1]!表1_83[#Data],2,FALSE),"EN."&amp;表1[[#This Row],[中文]])</f>
        <v>序列号</v>
      </c>
      <c r="C124" s="9" t="str">
        <f>IFERROR(VLOOKUP(表1[[#This Row],[唯一标示]],[1]!表1_83[#Data],4,FALSE),"EN."&amp;表1[[#This Row],[中文]])</f>
        <v>MÃ THẺ</v>
      </c>
      <c r="D124" s="10" t="str">
        <f>IFERROR(VLOOKUP(表1[[#This Row],[唯一标示]],[1]!表1_83[#Data],3,FALSE),"EN."&amp;表1[[#This Row],[中文]])</f>
        <v>MÃ THẺ</v>
      </c>
      <c r="E124" s="9" t="str">
        <f>IFERROR(VLOOKUP(表1[[#This Row],[唯一标示]],[1]!表1_83[#Data],5,FALSE),"EN."&amp;表1[[#This Row],[中文]])</f>
        <v>序列号</v>
      </c>
    </row>
    <row r="125" spans="1:5" x14ac:dyDescent="0.15">
      <c r="A125" s="8" t="s">
        <v>138</v>
      </c>
      <c r="B125" s="9" t="str">
        <f>IFERROR(VLOOKUP(表1[[#This Row],[唯一标示]],[1]!表1_83[#Data],2,FALSE),"EN."&amp;表1[[#This Row],[中文]])</f>
        <v>卡密</v>
      </c>
      <c r="C125" s="9" t="str">
        <f>IFERROR(VLOOKUP(表1[[#This Row],[唯一标示]],[1]!表1_83[#Data],4,FALSE),"EN."&amp;表1[[#This Row],[中文]])</f>
        <v>SERI</v>
      </c>
      <c r="D125" s="10" t="str">
        <f>IFERROR(VLOOKUP(表1[[#This Row],[唯一标示]],[1]!表1_83[#Data],3,FALSE),"EN."&amp;表1[[#This Row],[中文]])</f>
        <v>SERI</v>
      </c>
      <c r="E125" s="9" t="str">
        <f>IFERROR(VLOOKUP(表1[[#This Row],[唯一标示]],[1]!表1_83[#Data],5,FALSE),"EN."&amp;表1[[#This Row],[中文]])</f>
        <v>卡密</v>
      </c>
    </row>
    <row r="126" spans="1:5" x14ac:dyDescent="0.15">
      <c r="A126" s="8" t="s">
        <v>139</v>
      </c>
      <c r="B126" s="9" t="str">
        <f>IFERROR(VLOOKUP(表1[[#This Row],[唯一标示]],[1]!表1_83[#Data],2,FALSE),"EN."&amp;表1[[#This Row],[中文]])</f>
        <v>验证码</v>
      </c>
      <c r="C126" s="9" t="str">
        <f>IFERROR(VLOOKUP(表1[[#This Row],[唯一标示]],[1]!表1_83[#Data],4,FALSE),"EN."&amp;表1[[#This Row],[中文]])</f>
        <v>XÁC NHẬN</v>
      </c>
      <c r="D126" s="10" t="str">
        <f>IFERROR(VLOOKUP(表1[[#This Row],[唯一标示]],[1]!表1_83[#Data],3,FALSE),"EN."&amp;表1[[#This Row],[中文]])</f>
        <v>XÁC NHẬN</v>
      </c>
      <c r="E126" s="9" t="str">
        <f>IFERROR(VLOOKUP(表1[[#This Row],[唯一标示]],[1]!表1_83[#Data],5,FALSE),"EN."&amp;表1[[#This Row],[中文]])</f>
        <v>验证码</v>
      </c>
    </row>
    <row r="127" spans="1:5" x14ac:dyDescent="0.15">
      <c r="A127" s="8" t="s">
        <v>140</v>
      </c>
      <c r="B127" s="9" t="str">
        <f>IFERROR(VLOOKUP(表1[[#This Row],[唯一标示]],[1]!表1_83[#Data],2,FALSE),"EN."&amp;表1[[#This Row],[中文]])</f>
        <v>金额</v>
      </c>
      <c r="C127" s="9" t="str">
        <f>IFERROR(VLOOKUP(表1[[#This Row],[唯一标示]],[1]!表1_83[#Data],4,FALSE),"EN."&amp;表1[[#This Row],[中文]])</f>
        <v>Số tiền</v>
      </c>
      <c r="D127" s="10" t="str">
        <f>IFERROR(VLOOKUP(表1[[#This Row],[唯一标示]],[1]!表1_83[#Data],3,FALSE),"EN."&amp;表1[[#This Row],[中文]])</f>
        <v>Số tiền</v>
      </c>
      <c r="E127" s="9" t="str">
        <f>IFERROR(VLOOKUP(表1[[#This Row],[唯一标示]],[1]!表1_83[#Data],5,FALSE),"EN."&amp;表1[[#This Row],[中文]])</f>
        <v>金额</v>
      </c>
    </row>
    <row r="128" spans="1:5" x14ac:dyDescent="0.15">
      <c r="A128" s="8" t="s">
        <v>201</v>
      </c>
      <c r="B128" s="9" t="str">
        <f>IFERROR(VLOOKUP(表1[[#This Row],[唯一标示]],[1]!表1_83[#Data],2,FALSE),"EN."&amp;表1[[#This Row],[中文]])</f>
        <v>装备</v>
      </c>
      <c r="C128" s="9" t="str">
        <f>IFERROR(VLOOKUP(表1[[#This Row],[唯一标示]],[1]!表1_83[#Data],4,FALSE),"EN."&amp;表1[[#This Row],[中文]])</f>
        <v xml:space="preserve">Trang bị </v>
      </c>
      <c r="D128" s="10" t="str">
        <f>IFERROR(VLOOKUP(表1[[#This Row],[唯一标示]],[1]!表1_83[#Data],3,FALSE),"EN."&amp;表1[[#This Row],[中文]])</f>
        <v xml:space="preserve">Trang bị </v>
      </c>
      <c r="E128" s="9" t="str">
        <f>IFERROR(VLOOKUP(表1[[#This Row],[唯一标示]],[1]!表1_83[#Data],5,FALSE),"EN."&amp;表1[[#This Row],[中文]])</f>
        <v>装备</v>
      </c>
    </row>
    <row r="129" spans="1:5" x14ac:dyDescent="0.15">
      <c r="A129" s="8" t="s">
        <v>202</v>
      </c>
      <c r="B129" s="9" t="str">
        <f>IFERROR(VLOOKUP(表1[[#This Row],[唯一标示]],[1]!表1_83[#Data],2,FALSE),"EN."&amp;表1[[#This Row],[中文]])</f>
        <v>已装备</v>
      </c>
      <c r="C129" s="9" t="str">
        <f>IFERROR(VLOOKUP(表1[[#This Row],[唯一标示]],[1]!表1_83[#Data],4,FALSE),"EN."&amp;表1[[#This Row],[中文]])</f>
        <v xml:space="preserve">Đã trang bị </v>
      </c>
      <c r="D129" s="10" t="str">
        <f>IFERROR(VLOOKUP(表1[[#This Row],[唯一标示]],[1]!表1_83[#Data],3,FALSE),"EN."&amp;表1[[#This Row],[中文]])</f>
        <v xml:space="preserve">Đã trang bị </v>
      </c>
      <c r="E129" s="9" t="str">
        <f>IFERROR(VLOOKUP(表1[[#This Row],[唯一标示]],[1]!表1_83[#Data],5,FALSE),"EN."&amp;表1[[#This Row],[中文]])</f>
        <v>已装备</v>
      </c>
    </row>
    <row r="130" spans="1:5" x14ac:dyDescent="0.15">
      <c r="A130" s="8" t="s">
        <v>141</v>
      </c>
      <c r="B130" s="9" t="str">
        <f>IFERROR(VLOOKUP(表1[[#This Row],[唯一标示]],[1]!表1_83[#Data],2,FALSE),"EN."&amp;表1[[#This Row],[中文]])</f>
        <v>鱼场太火爆啦，预计&lt;color=#4ffe63&gt;%d&lt;/c&gt;人后即可闪亮登场</v>
      </c>
      <c r="C130" s="9" t="str">
        <f>IFERROR(VLOOKUP(表1[[#This Row],[唯一标示]],[1]!表1_83[#Data],4,FALSE),"EN."&amp;表1[[#This Row],[中文]])</f>
        <v>Ngư trường quá đông, dự kiến &lt;color=#4ffe63&gt;%d&lt;/c&gt; người sau có thể đăng nhập!</v>
      </c>
      <c r="D130" s="10" t="str">
        <f>IFERROR(VLOOKUP(表1[[#This Row],[唯一标示]],[1]!表1_83[#Data],3,FALSE),"EN."&amp;表1[[#This Row],[中文]])</f>
        <v>Ngư trường quá đông, dự kiến &lt;color=#4ffe63&gt;%d&lt;/c&gt; người sau có thể đăng nhập!</v>
      </c>
      <c r="E130" s="9" t="str">
        <f>IFERROR(VLOOKUP(表1[[#This Row],[唯一标示]],[1]!表1_83[#Data],5,FALSE),"EN."&amp;表1[[#This Row],[中文]])</f>
        <v>鱼场太火爆啦，预计&lt;color=#4ffe63&gt;%d&lt;/c&gt;人后即可闪亮登场</v>
      </c>
    </row>
    <row r="131" spans="1:5" x14ac:dyDescent="0.15">
      <c r="A131" s="8" t="s">
        <v>190</v>
      </c>
      <c r="B131" s="9" t="str">
        <f>IFERROR(VLOOKUP(表1[[#This Row],[唯一标示]],[1]!表1_83[#Data],2,FALSE),"EN."&amp;表1[[#This Row],[中文]])</f>
        <v>赛季奖励</v>
      </c>
      <c r="C131" s="9" t="str">
        <f>IFERROR(VLOOKUP(表1[[#This Row],[唯一标示]],[1]!表1_83[#Data],4,FALSE),"EN."&amp;表1[[#This Row],[中文]])</f>
        <v xml:space="preserve">Phần thưởng season </v>
      </c>
      <c r="D131" s="10" t="str">
        <f>IFERROR(VLOOKUP(表1[[#This Row],[唯一标示]],[1]!表1_83[#Data],3,FALSE),"EN."&amp;表1[[#This Row],[中文]])</f>
        <v xml:space="preserve">Phần thưởng season </v>
      </c>
      <c r="E131" s="9" t="str">
        <f>IFERROR(VLOOKUP(表1[[#This Row],[唯一标示]],[1]!表1_83[#Data],5,FALSE),"EN."&amp;表1[[#This Row],[中文]])</f>
        <v>赛季奖励</v>
      </c>
    </row>
    <row r="132" spans="1:5" x14ac:dyDescent="0.15">
      <c r="A132" s="8" t="s">
        <v>142</v>
      </c>
      <c r="B132" s="9" t="str">
        <f>IFERROR(VLOOKUP(表1[[#This Row],[唯一标示]],[1]!表1_83[#Data],2,FALSE),"EN."&amp;表1[[#This Row],[中文]])</f>
        <v>体型越大，获得的奖励越高！</v>
      </c>
      <c r="C132" s="9" t="str">
        <f>IFERROR(VLOOKUP(表1[[#This Row],[唯一标示]],[1]!表1_83[#Data],4,FALSE),"EN."&amp;表1[[#This Row],[中文]])</f>
        <v>Kích thước càng lớn, nhận thưởng càng bự!</v>
      </c>
      <c r="D132" s="10" t="str">
        <f>IFERROR(VLOOKUP(表1[[#This Row],[唯一标示]],[1]!表1_83[#Data],3,FALSE),"EN."&amp;表1[[#This Row],[中文]])</f>
        <v>Kích thước càng lớn, nhận thưởng càng bự!</v>
      </c>
      <c r="E132" s="9" t="str">
        <f>IFERROR(VLOOKUP(表1[[#This Row],[唯一标示]],[1]!表1_83[#Data],5,FALSE),"EN."&amp;表1[[#This Row],[中文]])</f>
        <v>体型越大，获得的奖励越高！</v>
      </c>
    </row>
    <row r="133" spans="1:5" x14ac:dyDescent="0.15">
      <c r="A133" s="8" t="s">
        <v>143</v>
      </c>
      <c r="B133" s="9" t="str">
        <f>IFERROR(VLOOKUP(表1[[#This Row],[唯一标示]],[1]!表1_83[#Data],2,FALSE),"EN."&amp;表1[[#This Row],[中文]])</f>
        <v>30级可以使用</v>
      </c>
      <c r="C133" s="9" t="str">
        <f>IFERROR(VLOOKUP(表1[[#This Row],[唯一标示]],[1]!表1_83[#Data],4,FALSE),"EN."&amp;表1[[#This Row],[中文]])</f>
        <v>Cấp 30 có thể sử dụng</v>
      </c>
      <c r="D133" s="10" t="str">
        <f>IFERROR(VLOOKUP(表1[[#This Row],[唯一标示]],[1]!表1_83[#Data],3,FALSE),"EN."&amp;表1[[#This Row],[中文]])</f>
        <v>Cấp 30 có thể sử dụng</v>
      </c>
      <c r="E133" s="9" t="str">
        <f>IFERROR(VLOOKUP(表1[[#This Row],[唯一标示]],[1]!表1_83[#Data],5,FALSE),"EN."&amp;表1[[#This Row],[中文]])</f>
        <v>30级可以使用</v>
      </c>
    </row>
    <row r="134" spans="1:5" x14ac:dyDescent="0.15">
      <c r="A134" s="8" t="s">
        <v>144</v>
      </c>
      <c r="B134" s="9" t="str">
        <f>IFERROR(VLOOKUP(表1[[#This Row],[唯一标示]],[1]!表1_83[#Data],2,FALSE),"EN."&amp;表1[[#This Row],[中文]])</f>
        <v>今日剩余购买次数：</v>
      </c>
      <c r="C134" s="9" t="str">
        <f>IFERROR(VLOOKUP(表1[[#This Row],[唯一标示]],[1]!表1_83[#Data],4,FALSE),"EN."&amp;表1[[#This Row],[中文]])</f>
        <v xml:space="preserve">Hôm nay có thể mua: </v>
      </c>
      <c r="D134" s="10" t="str">
        <f>IFERROR(VLOOKUP(表1[[#This Row],[唯一标示]],[1]!表1_83[#Data],3,FALSE),"EN."&amp;表1[[#This Row],[中文]])</f>
        <v xml:space="preserve">Hôm nay có thể mua: </v>
      </c>
      <c r="E134" s="9" t="str">
        <f>IFERROR(VLOOKUP(表1[[#This Row],[唯一标示]],[1]!表1_83[#Data],5,FALSE),"EN."&amp;表1[[#This Row],[中文]])</f>
        <v>今日剩余购买次数：</v>
      </c>
    </row>
    <row r="135" spans="1:5" x14ac:dyDescent="0.15">
      <c r="A135" s="8" t="s">
        <v>145</v>
      </c>
      <c r="B135" s="9" t="str">
        <f>IFERROR(VLOOKUP(表1[[#This Row],[唯一标示]],[1]!表1_83[#Data],2,FALSE),"EN."&amp;表1[[#This Row],[中文]])</f>
        <v>可获得</v>
      </c>
      <c r="C135" s="9" t="str">
        <f>IFERROR(VLOOKUP(表1[[#This Row],[唯一标示]],[1]!表1_83[#Data],4,FALSE),"EN."&amp;表1[[#This Row],[中文]])</f>
        <v xml:space="preserve">Có thể nhận </v>
      </c>
      <c r="D135" s="10" t="str">
        <f>IFERROR(VLOOKUP(表1[[#This Row],[唯一标示]],[1]!表1_83[#Data],3,FALSE),"EN."&amp;表1[[#This Row],[中文]])</f>
        <v xml:space="preserve">Có thể nhận </v>
      </c>
      <c r="E135" s="9" t="str">
        <f>IFERROR(VLOOKUP(表1[[#This Row],[唯一标示]],[1]!表1_83[#Data],5,FALSE),"EN."&amp;表1[[#This Row],[中文]])</f>
        <v>可获得</v>
      </c>
    </row>
    <row r="136" spans="1:5" x14ac:dyDescent="0.15">
      <c r="A136" s="8" t="s">
        <v>146</v>
      </c>
      <c r="B136" s="9" t="str">
        <f>IFERROR(VLOOKUP(表1[[#This Row],[唯一标示]],[1]!表1_83[#Data],2,FALSE),"EN."&amp;表1[[#This Row],[中文]])</f>
        <v>购买5次</v>
      </c>
      <c r="C136" s="9" t="str">
        <f>IFERROR(VLOOKUP(表1[[#This Row],[唯一标示]],[1]!表1_83[#Data],4,FALSE),"EN."&amp;表1[[#This Row],[中文]])</f>
        <v xml:space="preserve">Mua 5 lần </v>
      </c>
      <c r="D136" s="10" t="str">
        <f>IFERROR(VLOOKUP(表1[[#This Row],[唯一标示]],[1]!表1_83[#Data],3,FALSE),"EN."&amp;表1[[#This Row],[中文]])</f>
        <v xml:space="preserve">Mua 5 lần </v>
      </c>
      <c r="E136" s="9" t="str">
        <f>IFERROR(VLOOKUP(表1[[#This Row],[唯一标示]],[1]!表1_83[#Data],5,FALSE),"EN."&amp;表1[[#This Row],[中文]])</f>
        <v>购买5次</v>
      </c>
    </row>
    <row r="137" spans="1:5" x14ac:dyDescent="0.15">
      <c r="A137" s="8" t="s">
        <v>147</v>
      </c>
      <c r="B137" s="9" t="str">
        <f>IFERROR(VLOOKUP(表1[[#This Row],[唯一标示]],[1]!表1_83[#Data],2,FALSE),"EN."&amp;表1[[#This Row],[中文]])</f>
        <v>购买1次</v>
      </c>
      <c r="C137" s="9" t="str">
        <f>IFERROR(VLOOKUP(表1[[#This Row],[唯一标示]],[1]!表1_83[#Data],4,FALSE),"EN."&amp;表1[[#This Row],[中文]])</f>
        <v xml:space="preserve">Mua 1 lần </v>
      </c>
      <c r="D137" s="10" t="str">
        <f>IFERROR(VLOOKUP(表1[[#This Row],[唯一标示]],[1]!表1_83[#Data],3,FALSE),"EN."&amp;表1[[#This Row],[中文]])</f>
        <v xml:space="preserve">Mua 1 lần </v>
      </c>
      <c r="E137" s="9" t="str">
        <f>IFERROR(VLOOKUP(表1[[#This Row],[唯一标示]],[1]!表1_83[#Data],5,FALSE),"EN."&amp;表1[[#This Row],[中文]])</f>
        <v>购买1次</v>
      </c>
    </row>
    <row r="138" spans="1:5" x14ac:dyDescent="0.15">
      <c r="A138" s="8" t="s">
        <v>148</v>
      </c>
      <c r="B138" s="9" t="str">
        <f>IFERROR(VLOOKUP(表1[[#This Row],[唯一标示]],[1]!表1_83[#Data],2,FALSE),"EN."&amp;表1[[#This Row],[中文]])</f>
        <v>免费钻石获得途径</v>
      </c>
      <c r="C138" s="9" t="str">
        <f>IFERROR(VLOOKUP(表1[[#This Row],[唯一标示]],[1]!表1_83[#Data],4,FALSE),"EN."&amp;表1[[#This Row],[中文]])</f>
        <v>Nhận Quà</v>
      </c>
      <c r="D138" s="10" t="str">
        <f>IFERROR(VLOOKUP(表1[[#This Row],[唯一标示]],[1]!表1_83[#Data],3,FALSE),"EN."&amp;表1[[#This Row],[中文]])</f>
        <v>Nhận Quà</v>
      </c>
      <c r="E138" s="9" t="str">
        <f>IFERROR(VLOOKUP(表1[[#This Row],[唯一标示]],[1]!表1_83[#Data],5,FALSE),"EN."&amp;表1[[#This Row],[中文]])</f>
        <v>免费钻石获得途径</v>
      </c>
    </row>
    <row r="139" spans="1:5" x14ac:dyDescent="0.15">
      <c r="A139" s="8" t="s">
        <v>149</v>
      </c>
      <c r="B139" s="9" t="str">
        <f>IFERROR(VLOOKUP(表1[[#This Row],[唯一标示]],[1]!表1_83[#Data],2,FALSE),"EN."&amp;表1[[#This Row],[中文]])</f>
        <v>日常任务</v>
      </c>
      <c r="C139" s="9" t="str">
        <f>IFERROR(VLOOKUP(表1[[#This Row],[唯一标示]],[1]!表1_83[#Data],4,FALSE),"EN."&amp;表1[[#This Row],[中文]])</f>
        <v>Hàng ngày</v>
      </c>
      <c r="D139" s="10" t="str">
        <f>IFERROR(VLOOKUP(表1[[#This Row],[唯一标示]],[1]!表1_83[#Data],3,FALSE),"EN."&amp;表1[[#This Row],[中文]])</f>
        <v>Hàng ngày</v>
      </c>
      <c r="E139" s="9" t="str">
        <f>IFERROR(VLOOKUP(表1[[#This Row],[唯一标示]],[1]!表1_83[#Data],5,FALSE),"EN."&amp;表1[[#This Row],[中文]])</f>
        <v>日常任务</v>
      </c>
    </row>
    <row r="140" spans="1:5" x14ac:dyDescent="0.15">
      <c r="A140" s="8" t="s">
        <v>150</v>
      </c>
      <c r="B140" s="9" t="str">
        <f>IFERROR(VLOOKUP(表1[[#This Row],[唯一标示]],[1]!表1_83[#Data],2,FALSE),"EN."&amp;表1[[#This Row],[中文]])</f>
        <v>成就任务</v>
      </c>
      <c r="C140" s="9" t="str">
        <f>IFERROR(VLOOKUP(表1[[#This Row],[唯一标示]],[1]!表1_83[#Data],4,FALSE),"EN."&amp;表1[[#This Row],[中文]])</f>
        <v>Thành tựu</v>
      </c>
      <c r="D140" s="10" t="str">
        <f>IFERROR(VLOOKUP(表1[[#This Row],[唯一标示]],[1]!表1_83[#Data],3,FALSE),"EN."&amp;表1[[#This Row],[中文]])</f>
        <v>Thành tựu</v>
      </c>
      <c r="E140" s="9" t="str">
        <f>IFERROR(VLOOKUP(表1[[#This Row],[唯一标示]],[1]!表1_83[#Data],5,FALSE),"EN."&amp;表1[[#This Row],[中文]])</f>
        <v>成就任务</v>
      </c>
    </row>
    <row r="141" spans="1:5" x14ac:dyDescent="0.15">
      <c r="A141" s="8" t="s">
        <v>151</v>
      </c>
      <c r="B141" s="9" t="str">
        <f>IFERROR(VLOOKUP(表1[[#This Row],[唯一标示]],[1]!表1_83[#Data],2,FALSE),"EN."&amp;表1[[#This Row],[中文]])</f>
        <v>救济金</v>
      </c>
      <c r="C141" s="9" t="str">
        <f>IFERROR(VLOOKUP(表1[[#This Row],[唯一标示]],[1]!表1_83[#Data],4,FALSE),"EN."&amp;表1[[#This Row],[中文]])</f>
        <v>Viện trợ</v>
      </c>
      <c r="D141" s="10" t="str">
        <f>IFERROR(VLOOKUP(表1[[#This Row],[唯一标示]],[1]!表1_83[#Data],3,FALSE),"EN."&amp;表1[[#This Row],[中文]])</f>
        <v>Viện trợ</v>
      </c>
      <c r="E141" s="9" t="str">
        <f>IFERROR(VLOOKUP(表1[[#This Row],[唯一标示]],[1]!表1_83[#Data],5,FALSE),"EN."&amp;表1[[#This Row],[中文]])</f>
        <v>救济金</v>
      </c>
    </row>
    <row r="142" spans="1:5" x14ac:dyDescent="0.15">
      <c r="A142" s="8" t="s">
        <v>152</v>
      </c>
      <c r="B142" s="9" t="str">
        <f>IFERROR(VLOOKUP(表1[[#This Row],[唯一标示]],[1]!表1_83[#Data],2,FALSE),"EN."&amp;表1[[#This Row],[中文]])</f>
        <v>水族馆</v>
      </c>
      <c r="C142" s="9" t="str">
        <f>IFERROR(VLOOKUP(表1[[#This Row],[唯一标示]],[1]!表1_83[#Data],4,FALSE),"EN."&amp;表1[[#This Row],[中文]])</f>
        <v xml:space="preserve">Hồ Cá </v>
      </c>
      <c r="D142" s="10" t="str">
        <f>IFERROR(VLOOKUP(表1[[#This Row],[唯一标示]],[1]!表1_83[#Data],3,FALSE),"EN."&amp;表1[[#This Row],[中文]])</f>
        <v xml:space="preserve">Hồ Cá </v>
      </c>
      <c r="E142" s="9" t="str">
        <f>IFERROR(VLOOKUP(表1[[#This Row],[唯一标示]],[1]!表1_83[#Data],5,FALSE),"EN."&amp;表1[[#This Row],[中文]])</f>
        <v>水族馆</v>
      </c>
    </row>
    <row r="143" spans="1:5" x14ac:dyDescent="0.15">
      <c r="A143" s="8" t="s">
        <v>153</v>
      </c>
      <c r="B143" s="9" t="str">
        <f>IFERROR(VLOOKUP(表1[[#This Row],[唯一标示]],[1]!表1_83[#Data],2,FALSE),"EN."&amp;表1[[#This Row],[中文]])</f>
        <v>前往</v>
      </c>
      <c r="C143" s="9" t="str">
        <f>IFERROR(VLOOKUP(表1[[#This Row],[唯一标示]],[1]!表1_83[#Data],4,FALSE),"EN."&amp;表1[[#This Row],[中文]])</f>
        <v>Xem</v>
      </c>
      <c r="D143" s="10" t="str">
        <f>IFERROR(VLOOKUP(表1[[#This Row],[唯一标示]],[1]!表1_83[#Data],3,FALSE),"EN."&amp;表1[[#This Row],[中文]])</f>
        <v>Xem</v>
      </c>
      <c r="E143" s="9" t="str">
        <f>IFERROR(VLOOKUP(表1[[#This Row],[唯一标示]],[1]!表1_83[#Data],5,FALSE),"EN."&amp;表1[[#This Row],[中文]])</f>
        <v>前往</v>
      </c>
    </row>
    <row r="144" spans="1:5" x14ac:dyDescent="0.15">
      <c r="A144" s="8" t="s">
        <v>197</v>
      </c>
      <c r="B144" s="9" t="str">
        <f>IFERROR(VLOOKUP(表1[[#This Row],[唯一标示]],[1]!表1_83[#Data],2,FALSE),"EN."&amp;表1[[#This Row],[中文]])</f>
        <v>打赏</v>
      </c>
      <c r="C144" s="9" t="str">
        <f>IFERROR(VLOOKUP(表1[[#This Row],[唯一标示]],[1]!表1_83[#Data],4,FALSE),"EN."&amp;表1[[#This Row],[中文]])</f>
        <v>Tip</v>
      </c>
      <c r="D144" s="10" t="str">
        <f>IFERROR(VLOOKUP(表1[[#This Row],[唯一标示]],[1]!表1_83[#Data],3,FALSE),"EN."&amp;表1[[#This Row],[中文]])</f>
        <v>Tip</v>
      </c>
      <c r="E144" s="9" t="str">
        <f>IFERROR(VLOOKUP(表1[[#This Row],[唯一标示]],[1]!表1_83[#Data],5,FALSE),"EN."&amp;表1[[#This Row],[中文]])</f>
        <v>打赏</v>
      </c>
    </row>
    <row r="145" spans="1:5" x14ac:dyDescent="0.15">
      <c r="A145" s="8" t="s">
        <v>154</v>
      </c>
      <c r="B145" s="9" t="str">
        <f>IFERROR(VLOOKUP(表1[[#This Row],[唯一标示]],[1]!表1_83[#Data],2,FALSE),"EN."&amp;表1[[#This Row],[中文]])</f>
        <v>这个宝箱是你的了，我还会回来的</v>
      </c>
      <c r="C145" s="9" t="str">
        <f>IFERROR(VLOOKUP(表1[[#This Row],[唯一标示]],[1]!表1_83[#Data],4,FALSE),"EN."&amp;表1[[#This Row],[中文]])</f>
        <v>Bảo rương là của bạn, nhưng tôi còn sẽ Quay lại</v>
      </c>
      <c r="D145" s="10" t="str">
        <f>IFERROR(VLOOKUP(表1[[#This Row],[唯一标示]],[1]!表1_83[#Data],3,FALSE),"EN."&amp;表1[[#This Row],[中文]])</f>
        <v>Bảo rương là của bạn, nhưng tôi còn sẽ Quay lại</v>
      </c>
      <c r="E145" s="9" t="str">
        <f>IFERROR(VLOOKUP(表1[[#This Row],[唯一标示]],[1]!表1_83[#Data],5,FALSE),"EN."&amp;表1[[#This Row],[中文]])</f>
        <v>这个宝箱是你的了，我还会回来的</v>
      </c>
    </row>
    <row r="146" spans="1:5" x14ac:dyDescent="0.15">
      <c r="A146" s="8" t="s">
        <v>155</v>
      </c>
      <c r="B146" s="9" t="str">
        <f>IFERROR(VLOOKUP(表1[[#This Row],[唯一标示]],[1]!表1_83[#Data],2,FALSE),"EN."&amp;表1[[#This Row],[中文]])</f>
        <v>在下面输入并发表，其他玩家也可看见哟！</v>
      </c>
      <c r="C146" s="9" t="str">
        <f>IFERROR(VLOOKUP(表1[[#This Row],[唯一标示]],[1]!表1_83[#Data],4,FALSE),"EN."&amp;表1[[#This Row],[中文]])</f>
        <v>在下面输入并发表，其他玩家也可看见哟！</v>
      </c>
      <c r="D146" s="10" t="str">
        <f>IFERROR(VLOOKUP(表1[[#This Row],[唯一标示]],[1]!表1_83[#Data],3,FALSE),"EN."&amp;表1[[#This Row],[中文]])</f>
        <v>在下面输入并发表，其他玩家也可看见哟！</v>
      </c>
      <c r="E146" s="9" t="str">
        <f>IFERROR(VLOOKUP(表1[[#This Row],[唯一标示]],[1]!表1_83[#Data],5,FALSE),"EN."&amp;表1[[#This Row],[中文]])</f>
        <v>在下面输入并发表，其他玩家也可看见哟！</v>
      </c>
    </row>
    <row r="147" spans="1:5" x14ac:dyDescent="0.15">
      <c r="A147" s="8" t="s">
        <v>156</v>
      </c>
      <c r="B147" s="9" t="str">
        <f>IFERROR(VLOOKUP(表1[[#This Row],[唯一标示]],[1]!表1_83[#Data],2,FALSE),"EN."&amp;表1[[#This Row],[中文]])</f>
        <v>亲爱的玩家:</v>
      </c>
      <c r="C147" s="9" t="str">
        <f>IFERROR(VLOOKUP(表1[[#This Row],[唯一标示]],[1]!表1_83[#Data],4,FALSE),"EN."&amp;表1[[#This Row],[中文]])</f>
        <v>BQT Thợ Săn Cá</v>
      </c>
      <c r="D147" s="10" t="str">
        <f>IFERROR(VLOOKUP(表1[[#This Row],[唯一标示]],[1]!表1_83[#Data],3,FALSE),"EN."&amp;表1[[#This Row],[中文]])</f>
        <v>BQT Thợ Săn Cá</v>
      </c>
      <c r="E147" s="9" t="str">
        <f>IFERROR(VLOOKUP(表1[[#This Row],[唯一标示]],[1]!表1_83[#Data],5,FALSE),"EN."&amp;表1[[#This Row],[中文]])</f>
        <v>亲爱的玩家:</v>
      </c>
    </row>
    <row r="148" spans="1:5" x14ac:dyDescent="0.15">
      <c r="A148" s="11" t="s">
        <v>214</v>
      </c>
      <c r="B148" s="9" t="str">
        <f>IFERROR(VLOOKUP(表1[[#This Row],[唯一标示]],[1]!表1_83[#Data],2,FALSE),"EN."&amp;表1[[#This Row],[中文]])</f>
        <v>查看更多</v>
      </c>
      <c r="C148" s="9" t="str">
        <f>IFERROR(VLOOKUP(表1[[#This Row],[唯一标示]],[1]!表1_83[#Data],4,FALSE),"EN."&amp;表1[[#This Row],[中文]])</f>
        <v>Xem thêm</v>
      </c>
      <c r="D148" s="10" t="str">
        <f>IFERROR(VLOOKUP(表1[[#This Row],[唯一标示]],[1]!表1_83[#Data],3,FALSE),"EN."&amp;表1[[#This Row],[中文]])</f>
        <v>Xem thêm</v>
      </c>
      <c r="E148" s="9" t="str">
        <f>IFERROR(VLOOKUP(表1[[#This Row],[唯一标示]],[1]!表1_83[#Data],5,FALSE),"EN."&amp;表1[[#This Row],[中文]])</f>
        <v>查看更多</v>
      </c>
    </row>
    <row r="149" spans="1:5" x14ac:dyDescent="0.15">
      <c r="A149" s="11" t="s">
        <v>157</v>
      </c>
      <c r="B149" s="9" t="str">
        <f>IFERROR(VLOOKUP(表1[[#This Row],[唯一标示]],[1]!表1_83[#Data],2,FALSE),"EN."&amp;表1[[#This Row],[中文]])</f>
        <v>账号:</v>
      </c>
      <c r="C149" s="9" t="str">
        <f>IFERROR(VLOOKUP(表1[[#This Row],[唯一标示]],[1]!表1_83[#Data],4,FALSE),"EN."&amp;表1[[#This Row],[中文]])</f>
        <v>Tài khoản:</v>
      </c>
      <c r="D149" s="10" t="str">
        <f>IFERROR(VLOOKUP(表1[[#This Row],[唯一标示]],[1]!表1_83[#Data],3,FALSE),"EN."&amp;表1[[#This Row],[中文]])</f>
        <v>Tài khoản:</v>
      </c>
      <c r="E149" s="9" t="str">
        <f>IFERROR(VLOOKUP(表1[[#This Row],[唯一标示]],[1]!表1_83[#Data],5,FALSE),"EN."&amp;表1[[#This Row],[中文]])</f>
        <v>账号:</v>
      </c>
    </row>
    <row r="150" spans="1:5" x14ac:dyDescent="0.15">
      <c r="A150" s="11" t="s">
        <v>158</v>
      </c>
      <c r="B150" s="9" t="str">
        <f>IFERROR(VLOOKUP(表1[[#This Row],[唯一标示]],[1]!表1_83[#Data],2,FALSE),"EN."&amp;表1[[#This Row],[中文]])</f>
        <v>密码:</v>
      </c>
      <c r="C150" s="9" t="str">
        <f>IFERROR(VLOOKUP(表1[[#This Row],[唯一标示]],[1]!表1_83[#Data],4,FALSE),"EN."&amp;表1[[#This Row],[中文]])</f>
        <v>Mật mã:</v>
      </c>
      <c r="D150" s="10" t="str">
        <f>IFERROR(VLOOKUP(表1[[#This Row],[唯一标示]],[1]!表1_83[#Data],3,FALSE),"EN."&amp;表1[[#This Row],[中文]])</f>
        <v>Mật mã:</v>
      </c>
      <c r="E150" s="9" t="str">
        <f>IFERROR(VLOOKUP(表1[[#This Row],[唯一标示]],[1]!表1_83[#Data],5,FALSE),"EN."&amp;表1[[#This Row],[中文]])</f>
        <v>密码:</v>
      </c>
    </row>
    <row r="151" spans="1:5" x14ac:dyDescent="0.15">
      <c r="A151" s="11" t="s">
        <v>159</v>
      </c>
      <c r="B151" s="9" t="str">
        <f>IFERROR(VLOOKUP(表1[[#This Row],[唯一标示]],[1]!表1_83[#Data],2,FALSE),"EN."&amp;表1[[#This Row],[中文]])</f>
        <v>注册账号</v>
      </c>
      <c r="C151" s="9" t="str">
        <f>IFERROR(VLOOKUP(表1[[#This Row],[唯一标示]],[1]!表1_83[#Data],4,FALSE),"EN."&amp;表1[[#This Row],[中文]])</f>
        <v>Đăng ký</v>
      </c>
      <c r="D151" s="10" t="str">
        <f>IFERROR(VLOOKUP(表1[[#This Row],[唯一标示]],[1]!表1_83[#Data],3,FALSE),"EN."&amp;表1[[#This Row],[中文]])</f>
        <v>Đăng ký</v>
      </c>
      <c r="E151" s="9" t="str">
        <f>IFERROR(VLOOKUP(表1[[#This Row],[唯一标示]],[1]!表1_83[#Data],5,FALSE),"EN."&amp;表1[[#This Row],[中文]])</f>
        <v>注册账号</v>
      </c>
    </row>
    <row r="152" spans="1:5" x14ac:dyDescent="0.15">
      <c r="A152" s="11" t="s">
        <v>160</v>
      </c>
      <c r="B152" s="9" t="str">
        <f>IFERROR(VLOOKUP(表1[[#This Row],[唯一标示]],[1]!表1_83[#Data],2,FALSE),"EN."&amp;表1[[#This Row],[中文]])</f>
        <v>修改密码</v>
      </c>
      <c r="C152" s="9" t="str">
        <f>IFERROR(VLOOKUP(表1[[#This Row],[唯一标示]],[1]!表1_83[#Data],4,FALSE),"EN."&amp;表1[[#This Row],[中文]])</f>
        <v>Sửa mật mã</v>
      </c>
      <c r="D152" s="10" t="str">
        <f>IFERROR(VLOOKUP(表1[[#This Row],[唯一标示]],[1]!表1_83[#Data],3,FALSE),"EN."&amp;表1[[#This Row],[中文]])</f>
        <v>Sửa mật mã</v>
      </c>
      <c r="E152" s="9" t="str">
        <f>IFERROR(VLOOKUP(表1[[#This Row],[唯一标示]],[1]!表1_83[#Data],5,FALSE),"EN."&amp;表1[[#This Row],[中文]])</f>
        <v>修改密码</v>
      </c>
    </row>
    <row r="153" spans="1:5" x14ac:dyDescent="0.15">
      <c r="A153" s="11" t="s">
        <v>161</v>
      </c>
      <c r="B153" s="9" t="str">
        <f>IFERROR(VLOOKUP(表1[[#This Row],[唯一标示]],[1]!表1_83[#Data],2,FALSE),"EN."&amp;表1[[#This Row],[中文]])</f>
        <v>登录</v>
      </c>
      <c r="C153" s="9" t="str">
        <f>IFERROR(VLOOKUP(表1[[#This Row],[唯一标示]],[1]!表1_83[#Data],4,FALSE),"EN."&amp;表1[[#This Row],[中文]])</f>
        <v>Đăng nhập</v>
      </c>
      <c r="D153" s="10" t="str">
        <f>IFERROR(VLOOKUP(表1[[#This Row],[唯一标示]],[1]!表1_83[#Data],3,FALSE),"EN."&amp;表1[[#This Row],[中文]])</f>
        <v>Đăng nhập</v>
      </c>
      <c r="E153" s="9" t="str">
        <f>IFERROR(VLOOKUP(表1[[#This Row],[唯一标示]],[1]!表1_83[#Data],5,FALSE),"EN."&amp;表1[[#This Row],[中文]])</f>
        <v>登录</v>
      </c>
    </row>
    <row r="154" spans="1:5" x14ac:dyDescent="0.15">
      <c r="A154" s="11" t="s">
        <v>162</v>
      </c>
      <c r="B154" s="9" t="str">
        <f>IFERROR(VLOOKUP(表1[[#This Row],[唯一标示]],[1]!表1_83[#Data],2,FALSE),"EN."&amp;表1[[#This Row],[中文]])</f>
        <v>使用其他方式登录</v>
      </c>
      <c r="C154" s="9" t="str">
        <f>IFERROR(VLOOKUP(表1[[#This Row],[唯一标示]],[1]!表1_83[#Data],4,FALSE),"EN."&amp;表1[[#This Row],[中文]])</f>
        <v>Quay lại</v>
      </c>
      <c r="D154" s="10" t="str">
        <f>IFERROR(VLOOKUP(表1[[#This Row],[唯一标示]],[1]!表1_83[#Data],3,FALSE),"EN."&amp;表1[[#This Row],[中文]])</f>
        <v>Quay lại</v>
      </c>
      <c r="E154" s="9" t="str">
        <f>IFERROR(VLOOKUP(表1[[#This Row],[唯一标示]],[1]!表1_83[#Data],5,FALSE),"EN."&amp;表1[[#This Row],[中文]])</f>
        <v>使用其他方式登录</v>
      </c>
    </row>
    <row r="155" spans="1:5" x14ac:dyDescent="0.15">
      <c r="A155" s="11" t="s">
        <v>163</v>
      </c>
      <c r="B155" s="9" t="str">
        <f>IFERROR(VLOOKUP(表1[[#This Row],[唯一标示]],[1]!表1_83[#Data],2,FALSE),"EN."&amp;表1[[#This Row],[中文]])</f>
        <v>确认密码:</v>
      </c>
      <c r="C155" s="9" t="str">
        <f>IFERROR(VLOOKUP(表1[[#This Row],[唯一标示]],[1]!表1_83[#Data],4,FALSE),"EN."&amp;表1[[#This Row],[中文]])</f>
        <v>Xác nhận mật mã:</v>
      </c>
      <c r="D155" s="10" t="str">
        <f>IFERROR(VLOOKUP(表1[[#This Row],[唯一标示]],[1]!表1_83[#Data],3,FALSE),"EN."&amp;表1[[#This Row],[中文]])</f>
        <v>Xác nhận mật mã:</v>
      </c>
      <c r="E155" s="9" t="str">
        <f>IFERROR(VLOOKUP(表1[[#This Row],[唯一标示]],[1]!表1_83[#Data],5,FALSE),"EN."&amp;表1[[#This Row],[中文]])</f>
        <v>确认密码:</v>
      </c>
    </row>
    <row r="156" spans="1:5" x14ac:dyDescent="0.15">
      <c r="A156" s="11" t="s">
        <v>164</v>
      </c>
      <c r="B156" s="9" t="str">
        <f>IFERROR(VLOOKUP(表1[[#This Row],[唯一标示]],[1]!表1_83[#Data],2,FALSE),"EN."&amp;表1[[#This Row],[中文]])</f>
        <v>手机验证：</v>
      </c>
      <c r="C156" s="9" t="str">
        <f>IFERROR(VLOOKUP(表1[[#This Row],[唯一标示]],[1]!表1_83[#Data],4,FALSE),"EN."&amp;表1[[#This Row],[中文]])</f>
        <v>Kiểm chứng SĐT:</v>
      </c>
      <c r="D156" s="10" t="str">
        <f>IFERROR(VLOOKUP(表1[[#This Row],[唯一标示]],[1]!表1_83[#Data],3,FALSE),"EN."&amp;表1[[#This Row],[中文]])</f>
        <v>Kiểm chứng SĐT:</v>
      </c>
      <c r="E156" s="9" t="str">
        <f>IFERROR(VLOOKUP(表1[[#This Row],[唯一标示]],[1]!表1_83[#Data],5,FALSE),"EN."&amp;表1[[#This Row],[中文]])</f>
        <v>手机验证：</v>
      </c>
    </row>
    <row r="157" spans="1:5" x14ac:dyDescent="0.15">
      <c r="A157" s="11" t="s">
        <v>165</v>
      </c>
      <c r="B157" s="9" t="str">
        <f>IFERROR(VLOOKUP(表1[[#This Row],[唯一标示]],[1]!表1_83[#Data],2,FALSE),"EN."&amp;表1[[#This Row],[中文]])</f>
        <v>获取验证码</v>
      </c>
      <c r="C157" s="9" t="str">
        <f>IFERROR(VLOOKUP(表1[[#This Row],[唯一标示]],[1]!表1_83[#Data],4,FALSE),"EN."&amp;表1[[#This Row],[中文]])</f>
        <v>Nhận mã kiểm chứng</v>
      </c>
      <c r="D157" s="10" t="str">
        <f>IFERROR(VLOOKUP(表1[[#This Row],[唯一标示]],[1]!表1_83[#Data],3,FALSE),"EN."&amp;表1[[#This Row],[中文]])</f>
        <v>Nhận mã kiểm chứng</v>
      </c>
      <c r="E157" s="9" t="str">
        <f>IFERROR(VLOOKUP(表1[[#This Row],[唯一标示]],[1]!表1_83[#Data],5,FALSE),"EN."&amp;表1[[#This Row],[中文]])</f>
        <v>获取验证码</v>
      </c>
    </row>
    <row r="158" spans="1:5" x14ac:dyDescent="0.15">
      <c r="A158" s="11" t="s">
        <v>166</v>
      </c>
      <c r="B158" s="9" t="str">
        <f>IFERROR(VLOOKUP(表1[[#This Row],[唯一标示]],[1]!表1_83[#Data],2,FALSE),"EN."&amp;表1[[#This Row],[中文]])</f>
        <v>输入账号</v>
      </c>
      <c r="C158" s="9" t="str">
        <f>IFERROR(VLOOKUP(表1[[#This Row],[唯一标示]],[1]!表1_83[#Data],4,FALSE),"EN."&amp;表1[[#This Row],[中文]])</f>
        <v>Nhập tài khoản</v>
      </c>
      <c r="D158" s="10" t="str">
        <f>IFERROR(VLOOKUP(表1[[#This Row],[唯一标示]],[1]!表1_83[#Data],3,FALSE),"EN."&amp;表1[[#This Row],[中文]])</f>
        <v>Nhập tài khoản</v>
      </c>
      <c r="E158" s="9" t="str">
        <f>IFERROR(VLOOKUP(表1[[#This Row],[唯一标示]],[1]!表1_83[#Data],5,FALSE),"EN."&amp;表1[[#This Row],[中文]])</f>
        <v>输入账号</v>
      </c>
    </row>
    <row r="159" spans="1:5" x14ac:dyDescent="0.15">
      <c r="A159" s="11" t="s">
        <v>167</v>
      </c>
      <c r="B159" s="9" t="str">
        <f>IFERROR(VLOOKUP(表1[[#This Row],[唯一标示]],[1]!表1_83[#Data],2,FALSE),"EN."&amp;表1[[#This Row],[中文]])</f>
        <v>输入密码</v>
      </c>
      <c r="C159" s="9" t="str">
        <f>IFERROR(VLOOKUP(表1[[#This Row],[唯一标示]],[1]!表1_83[#Data],4,FALSE),"EN."&amp;表1[[#This Row],[中文]])</f>
        <v>Nhập mật mã</v>
      </c>
      <c r="D159" s="10" t="str">
        <f>IFERROR(VLOOKUP(表1[[#This Row],[唯一标示]],[1]!表1_83[#Data],3,FALSE),"EN."&amp;表1[[#This Row],[中文]])</f>
        <v>Nhập mật mã</v>
      </c>
      <c r="E159" s="9" t="str">
        <f>IFERROR(VLOOKUP(表1[[#This Row],[唯一标示]],[1]!表1_83[#Data],5,FALSE),"EN."&amp;表1[[#This Row],[中文]])</f>
        <v>输入密码</v>
      </c>
    </row>
    <row r="160" spans="1:5" x14ac:dyDescent="0.15">
      <c r="A160" s="11" t="s">
        <v>168</v>
      </c>
      <c r="B160" s="9" t="str">
        <f>IFERROR(VLOOKUP(表1[[#This Row],[唯一标示]],[1]!表1_83[#Data],2,FALSE),"EN."&amp;表1[[#This Row],[中文]])</f>
        <v>输入验证码</v>
      </c>
      <c r="C160" s="9" t="str">
        <f>IFERROR(VLOOKUP(表1[[#This Row],[唯一标示]],[1]!表1_83[#Data],4,FALSE),"EN."&amp;表1[[#This Row],[中文]])</f>
        <v>Nhập SĐT</v>
      </c>
      <c r="D160" s="10" t="str">
        <f>IFERROR(VLOOKUP(表1[[#This Row],[唯一标示]],[1]!表1_83[#Data],3,FALSE),"EN."&amp;表1[[#This Row],[中文]])</f>
        <v>Nhập SĐT</v>
      </c>
      <c r="E160" s="9" t="str">
        <f>IFERROR(VLOOKUP(表1[[#This Row],[唯一标示]],[1]!表1_83[#Data],5,FALSE),"EN."&amp;表1[[#This Row],[中文]])</f>
        <v>输入验证码</v>
      </c>
    </row>
    <row r="161" spans="1:5" x14ac:dyDescent="0.15">
      <c r="A161" s="11" t="s">
        <v>169</v>
      </c>
      <c r="B161" s="9" t="str">
        <f>IFERROR(VLOOKUP(表1[[#This Row],[唯一标示]],[1]!表1_83[#Data],2,FALSE),"EN."&amp;表1[[#This Row],[中文]])</f>
        <v>输入手机号码</v>
      </c>
      <c r="C161" s="9" t="str">
        <f>IFERROR(VLOOKUP(表1[[#This Row],[唯一标示]],[1]!表1_83[#Data],4,FALSE),"EN."&amp;表1[[#This Row],[中文]])</f>
        <v>Nhập SĐT</v>
      </c>
      <c r="D161" s="10" t="str">
        <f>IFERROR(VLOOKUP(表1[[#This Row],[唯一标示]],[1]!表1_83[#Data],3,FALSE),"EN."&amp;表1[[#This Row],[中文]])</f>
        <v>Nhập SĐT</v>
      </c>
      <c r="E161" s="9" t="str">
        <f>IFERROR(VLOOKUP(表1[[#This Row],[唯一标示]],[1]!表1_83[#Data],5,FALSE),"EN."&amp;表1[[#This Row],[中文]])</f>
        <v>输入手机号码</v>
      </c>
    </row>
    <row r="162" spans="1:5" x14ac:dyDescent="0.15">
      <c r="A162" s="11" t="s">
        <v>170</v>
      </c>
      <c r="B162" s="9" t="str">
        <f>IFERROR(VLOOKUP(表1[[#This Row],[唯一标示]],[1]!表1_83[#Data],2,FALSE),"EN."&amp;表1[[#This Row],[中文]])</f>
        <v>绑定手机</v>
      </c>
      <c r="C162" s="9" t="str">
        <f>IFERROR(VLOOKUP(表1[[#This Row],[唯一标示]],[1]!表1_83[#Data],4,FALSE),"EN."&amp;表1[[#This Row],[中文]])</f>
        <v>Cập nhật SĐT</v>
      </c>
      <c r="D162" s="10" t="str">
        <f>IFERROR(VLOOKUP(表1[[#This Row],[唯一标示]],[1]!表1_83[#Data],3,FALSE),"EN."&amp;表1[[#This Row],[中文]])</f>
        <v>Cập nhật SĐT</v>
      </c>
      <c r="E162" s="9" t="str">
        <f>IFERROR(VLOOKUP(表1[[#This Row],[唯一标示]],[1]!表1_83[#Data],5,FALSE),"EN."&amp;表1[[#This Row],[中文]])</f>
        <v>绑定手机</v>
      </c>
    </row>
    <row r="163" spans="1:5" x14ac:dyDescent="0.15">
      <c r="A163" s="11" t="s">
        <v>171</v>
      </c>
      <c r="B163" s="9" t="str">
        <f>IFERROR(VLOOKUP(表1[[#This Row],[唯一标示]],[1]!表1_83[#Data],2,FALSE),"EN."&amp;表1[[#This Row],[中文]])</f>
        <v>注册</v>
      </c>
      <c r="C163" s="9" t="str">
        <f>IFERROR(VLOOKUP(表1[[#This Row],[唯一标示]],[1]!表1_83[#Data],4,FALSE),"EN."&amp;表1[[#This Row],[中文]])</f>
        <v xml:space="preserve">Đăng ký </v>
      </c>
      <c r="D163" s="10" t="str">
        <f>IFERROR(VLOOKUP(表1[[#This Row],[唯一标示]],[1]!表1_83[#Data],3,FALSE),"EN."&amp;表1[[#This Row],[中文]])</f>
        <v xml:space="preserve">Đăng ký </v>
      </c>
      <c r="E163" s="9" t="str">
        <f>IFERROR(VLOOKUP(表1[[#This Row],[唯一标示]],[1]!表1_83[#Data],5,FALSE),"EN."&amp;表1[[#This Row],[中文]])</f>
        <v>注册</v>
      </c>
    </row>
    <row r="164" spans="1:5" x14ac:dyDescent="0.15">
      <c r="A164" s="11" t="s">
        <v>172</v>
      </c>
      <c r="B164" s="9" t="str">
        <f>IFERROR(VLOOKUP(表1[[#This Row],[唯一标示]],[1]!表1_83[#Data],2,FALSE),"EN."&amp;表1[[#This Row],[中文]])</f>
        <v>验证码：</v>
      </c>
      <c r="C164" s="9" t="str">
        <f>IFERROR(VLOOKUP(表1[[#This Row],[唯一标示]],[1]!表1_83[#Data],4,FALSE),"EN."&amp;表1[[#This Row],[中文]])</f>
        <v>Số Điện Thoại:</v>
      </c>
      <c r="D164" s="10" t="str">
        <f>IFERROR(VLOOKUP(表1[[#This Row],[唯一标示]],[1]!表1_83[#Data],3,FALSE),"EN."&amp;表1[[#This Row],[中文]])</f>
        <v>Số Điện Thoại:</v>
      </c>
      <c r="E164" s="9" t="str">
        <f>IFERROR(VLOOKUP(表1[[#This Row],[唯一标示]],[1]!表1_83[#Data],5,FALSE),"EN."&amp;表1[[#This Row],[中文]])</f>
        <v>验证码：</v>
      </c>
    </row>
    <row r="165" spans="1:5" x14ac:dyDescent="0.15">
      <c r="A165" s="11" t="s">
        <v>173</v>
      </c>
      <c r="B165" s="9" t="str">
        <f>IFERROR(VLOOKUP(表1[[#This Row],[唯一标示]],[1]!表1_83[#Data],2,FALSE),"EN."&amp;表1[[#This Row],[中文]])</f>
        <v>玩家昵称：</v>
      </c>
      <c r="C165" s="9" t="str">
        <f>IFERROR(VLOOKUP(表1[[#This Row],[唯一标示]],[1]!表1_83[#Data],4,FALSE),"EN."&amp;表1[[#This Row],[中文]])</f>
        <v>Tên hiển thị：</v>
      </c>
      <c r="D165" s="10" t="str">
        <f>IFERROR(VLOOKUP(表1[[#This Row],[唯一标示]],[1]!表1_83[#Data],3,FALSE),"EN."&amp;表1[[#This Row],[中文]])</f>
        <v>Tên hiển thị：</v>
      </c>
      <c r="E165" s="9" t="str">
        <f>IFERROR(VLOOKUP(表1[[#This Row],[唯一标示]],[1]!表1_83[#Data],5,FALSE),"EN."&amp;表1[[#This Row],[中文]])</f>
        <v>玩家昵称：</v>
      </c>
    </row>
    <row r="166" spans="1:5" x14ac:dyDescent="0.15">
      <c r="A166" s="11" t="s">
        <v>174</v>
      </c>
      <c r="B166" s="9" t="str">
        <f>IFERROR(VLOOKUP(表1[[#This Row],[唯一标示]],[1]!表1_83[#Data],2,FALSE),"EN."&amp;表1[[#This Row],[中文]])</f>
        <v>输入玩家昵称</v>
      </c>
      <c r="C166" s="9" t="str">
        <f>IFERROR(VLOOKUP(表1[[#This Row],[唯一标示]],[1]!表1_83[#Data],4,FALSE),"EN."&amp;表1[[#This Row],[中文]])</f>
        <v>Nhập tên hiển thị</v>
      </c>
      <c r="D166" s="10" t="str">
        <f>IFERROR(VLOOKUP(表1[[#This Row],[唯一标示]],[1]!表1_83[#Data],3,FALSE),"EN."&amp;表1[[#This Row],[中文]])</f>
        <v>Nhập tên hiển thị</v>
      </c>
      <c r="E166" s="9" t="str">
        <f>IFERROR(VLOOKUP(表1[[#This Row],[唯一标示]],[1]!表1_83[#Data],5,FALSE),"EN."&amp;表1[[#This Row],[中文]])</f>
        <v>输入玩家昵称</v>
      </c>
    </row>
    <row r="167" spans="1:5" x14ac:dyDescent="0.15">
      <c r="A167" s="11" t="s">
        <v>175</v>
      </c>
      <c r="B167" s="9" t="str">
        <f>IFERROR(VLOOKUP(表1[[#This Row],[唯一标示]],[1]!表1_83[#Data],2,FALSE),"EN."&amp;表1[[#This Row],[中文]])</f>
        <v>(陌生人)</v>
      </c>
      <c r="C167" s="9" t="str">
        <f>IFERROR(VLOOKUP(表1[[#This Row],[唯一标示]],[1]!表1_83[#Data],4,FALSE),"EN."&amp;表1[[#This Row],[中文]])</f>
        <v>( Người lạ )</v>
      </c>
      <c r="D167" s="10" t="str">
        <f>IFERROR(VLOOKUP(表1[[#This Row],[唯一标示]],[1]!表1_83[#Data],3,FALSE),"EN."&amp;表1[[#This Row],[中文]])</f>
        <v>( Người lạ )</v>
      </c>
      <c r="E167" s="9" t="str">
        <f>IFERROR(VLOOKUP(表1[[#This Row],[唯一标示]],[1]!表1_83[#Data],5,FALSE),"EN."&amp;表1[[#This Row],[中文]])</f>
        <v>(陌生人)</v>
      </c>
    </row>
    <row r="168" spans="1:5" x14ac:dyDescent="0.15">
      <c r="A168" s="11" t="s">
        <v>176</v>
      </c>
      <c r="B168" s="9" t="str">
        <f>IFERROR(VLOOKUP(表1[[#This Row],[唯一标示]],[1]!表1_83[#Data],2,FALSE),"EN."&amp;表1[[#This Row],[中文]])</f>
        <v>金币</v>
      </c>
      <c r="C168" s="9" t="str">
        <f>IFERROR(VLOOKUP(表1[[#This Row],[唯一标示]],[1]!表1_83[#Data],4,FALSE),"EN."&amp;表1[[#This Row],[中文]])</f>
        <v xml:space="preserve">Vàng </v>
      </c>
      <c r="D168" s="10" t="str">
        <f>IFERROR(VLOOKUP(表1[[#This Row],[唯一标示]],[1]!表1_83[#Data],3,FALSE),"EN."&amp;表1[[#This Row],[中文]])</f>
        <v>Ruby</v>
      </c>
      <c r="E168" s="9" t="str">
        <f>IFERROR(VLOOKUP(表1[[#This Row],[唯一标示]],[1]!表1_83[#Data],5,FALSE),"EN."&amp;表1[[#This Row],[中文]])</f>
        <v>金币</v>
      </c>
    </row>
    <row r="169" spans="1:5" x14ac:dyDescent="0.15">
      <c r="A169" s="11" t="s">
        <v>177</v>
      </c>
      <c r="B169" s="9" t="str">
        <f>IFERROR(VLOOKUP(表1[[#This Row],[唯一标示]],[1]!表1_83[#Data],2,FALSE),"EN."&amp;表1[[#This Row],[中文]])</f>
        <v>退出房间</v>
      </c>
      <c r="C169" s="9" t="str">
        <f>IFERROR(VLOOKUP(表1[[#This Row],[唯一标示]],[1]!表1_83[#Data],4,FALSE),"EN."&amp;表1[[#This Row],[中文]])</f>
        <v>Thoát khỏi\nphòng</v>
      </c>
      <c r="D169" s="10" t="str">
        <f>IFERROR(VLOOKUP(表1[[#This Row],[唯一标示]],[1]!表1_83[#Data],3,FALSE),"EN."&amp;表1[[#This Row],[中文]])</f>
        <v>Thoát khỏi\nphòng</v>
      </c>
      <c r="E169" s="9" t="str">
        <f>IFERROR(VLOOKUP(表1[[#This Row],[唯一标示]],[1]!表1_83[#Data],5,FALSE),"EN."&amp;表1[[#This Row],[中文]])</f>
        <v>退出房间</v>
      </c>
    </row>
    <row r="170" spans="1:5" x14ac:dyDescent="0.15">
      <c r="A170" s="11" t="s">
        <v>178</v>
      </c>
      <c r="B170" s="9" t="str">
        <f>IFERROR(VLOOKUP(表1[[#This Row],[唯一标示]],[1]!表1_83[#Data],2,FALSE),"EN."&amp;表1[[#This Row],[中文]])</f>
        <v>继续开炮</v>
      </c>
      <c r="C170" s="9" t="str">
        <f>IFERROR(VLOOKUP(表1[[#This Row],[唯一标示]],[1]!表1_83[#Data],4,FALSE),"EN."&amp;表1[[#This Row],[中文]])</f>
        <v>Tiếp tục\nsăn cá</v>
      </c>
      <c r="D170" s="10" t="str">
        <f>IFERROR(VLOOKUP(表1[[#This Row],[唯一标示]],[1]!表1_83[#Data],3,FALSE),"EN."&amp;表1[[#This Row],[中文]])</f>
        <v>Tiếp tục\nsăn cá</v>
      </c>
      <c r="E170" s="9" t="str">
        <f>IFERROR(VLOOKUP(表1[[#This Row],[唯一标示]],[1]!表1_83[#Data],5,FALSE),"EN."&amp;表1[[#This Row],[中文]])</f>
        <v>继续开炮</v>
      </c>
    </row>
    <row r="171" spans="1:5" x14ac:dyDescent="0.15">
      <c r="A171" s="11" t="s">
        <v>179</v>
      </c>
      <c r="B171" s="9" t="str">
        <f>IFERROR(VLOOKUP(表1[[#This Row],[唯一标示]],[1]!表1_83[#Data],2,FALSE),"EN."&amp;表1[[#This Row],[中文]])</f>
        <v>旧密码</v>
      </c>
      <c r="C171" s="9" t="str">
        <f>IFERROR(VLOOKUP(表1[[#This Row],[唯一标示]],[1]!表1_83[#Data],4,FALSE),"EN."&amp;表1[[#This Row],[中文]])</f>
        <v>Mật mã cũ</v>
      </c>
      <c r="D171" s="10" t="str">
        <f>IFERROR(VLOOKUP(表1[[#This Row],[唯一标示]],[1]!表1_83[#Data],3,FALSE),"EN."&amp;表1[[#This Row],[中文]])</f>
        <v>Mật mã cũ</v>
      </c>
      <c r="E171" s="9" t="str">
        <f>IFERROR(VLOOKUP(表1[[#This Row],[唯一标示]],[1]!表1_83[#Data],5,FALSE),"EN."&amp;表1[[#This Row],[中文]])</f>
        <v>旧密码</v>
      </c>
    </row>
    <row r="172" spans="1:5" x14ac:dyDescent="0.15">
      <c r="A172" s="11" t="s">
        <v>180</v>
      </c>
      <c r="B172" s="9" t="str">
        <f>IFERROR(VLOOKUP(表1[[#This Row],[唯一标示]],[1]!表1_83[#Data],2,FALSE),"EN."&amp;表1[[#This Row],[中文]])</f>
        <v>输入旧密码</v>
      </c>
      <c r="C172" s="9" t="str">
        <f>IFERROR(VLOOKUP(表1[[#This Row],[唯一标示]],[1]!表1_83[#Data],4,FALSE),"EN."&amp;表1[[#This Row],[中文]])</f>
        <v>nhập Mật khẩu cũ</v>
      </c>
      <c r="D172" s="10" t="str">
        <f>IFERROR(VLOOKUP(表1[[#This Row],[唯一标示]],[1]!表1_83[#Data],3,FALSE),"EN."&amp;表1[[#This Row],[中文]])</f>
        <v>nhập Mật khẩu cũ</v>
      </c>
      <c r="E172" s="9" t="str">
        <f>IFERROR(VLOOKUP(表1[[#This Row],[唯一标示]],[1]!表1_83[#Data],5,FALSE),"EN."&amp;表1[[#This Row],[中文]])</f>
        <v>输入旧密码</v>
      </c>
    </row>
    <row r="173" spans="1:5" x14ac:dyDescent="0.15">
      <c r="A173" s="11" t="s">
        <v>181</v>
      </c>
      <c r="B173" s="9" t="str">
        <f>IFERROR(VLOOKUP(表1[[#This Row],[唯一标示]],[1]!表1_83[#Data],2,FALSE),"EN."&amp;表1[[#This Row],[中文]])</f>
        <v>新密码</v>
      </c>
      <c r="C173" s="9" t="str">
        <f>IFERROR(VLOOKUP(表1[[#This Row],[唯一标示]],[1]!表1_83[#Data],4,FALSE),"EN."&amp;表1[[#This Row],[中文]])</f>
        <v>Mật mã mới</v>
      </c>
      <c r="D173" s="10" t="str">
        <f>IFERROR(VLOOKUP(表1[[#This Row],[唯一标示]],[1]!表1_83[#Data],3,FALSE),"EN."&amp;表1[[#This Row],[中文]])</f>
        <v>Mật mã mới</v>
      </c>
      <c r="E173" s="9" t="str">
        <f>IFERROR(VLOOKUP(表1[[#This Row],[唯一标示]],[1]!表1_83[#Data],5,FALSE),"EN."&amp;表1[[#This Row],[中文]])</f>
        <v>新密码</v>
      </c>
    </row>
    <row r="174" spans="1:5" x14ac:dyDescent="0.15">
      <c r="A174" s="11" t="s">
        <v>182</v>
      </c>
      <c r="B174" s="9" t="str">
        <f>IFERROR(VLOOKUP(表1[[#This Row],[唯一标示]],[1]!表1_83[#Data],2,FALSE),"EN."&amp;表1[[#This Row],[中文]])</f>
        <v>输入新密码</v>
      </c>
      <c r="C174" s="9" t="str">
        <f>IFERROR(VLOOKUP(表1[[#This Row],[唯一标示]],[1]!表1_83[#Data],4,FALSE),"EN."&amp;表1[[#This Row],[中文]])</f>
        <v>Nhập mật mã mới</v>
      </c>
      <c r="D174" s="10" t="str">
        <f>IFERROR(VLOOKUP(表1[[#This Row],[唯一标示]],[1]!表1_83[#Data],3,FALSE),"EN."&amp;表1[[#This Row],[中文]])</f>
        <v>Nhập mật mã mới</v>
      </c>
      <c r="E174" s="9" t="str">
        <f>IFERROR(VLOOKUP(表1[[#This Row],[唯一标示]],[1]!表1_83[#Data],5,FALSE),"EN."&amp;表1[[#This Row],[中文]])</f>
        <v>输入新密码</v>
      </c>
    </row>
    <row r="175" spans="1:5" x14ac:dyDescent="0.15">
      <c r="A175" s="11" t="s">
        <v>183</v>
      </c>
      <c r="B175" s="9" t="str">
        <f>IFERROR(VLOOKUP(表1[[#This Row],[唯一标示]],[1]!表1_83[#Data],2,FALSE),"EN."&amp;表1[[#This Row],[中文]])</f>
        <v>再次输入新密码</v>
      </c>
      <c r="C175" s="9" t="str">
        <f>IFERROR(VLOOKUP(表1[[#This Row],[唯一标示]],[1]!表1_83[#Data],4,FALSE),"EN."&amp;表1[[#This Row],[中文]])</f>
        <v>Nhập lại mật mã mới</v>
      </c>
      <c r="D175" s="10" t="str">
        <f>IFERROR(VLOOKUP(表1[[#This Row],[唯一标示]],[1]!表1_83[#Data],3,FALSE),"EN."&amp;表1[[#This Row],[中文]])</f>
        <v>Nhập lại mật mã mới</v>
      </c>
      <c r="E175" s="9" t="str">
        <f>IFERROR(VLOOKUP(表1[[#This Row],[唯一标示]],[1]!表1_83[#Data],5,FALSE),"EN."&amp;表1[[#This Row],[中文]])</f>
        <v>再次输入新密码</v>
      </c>
    </row>
    <row r="176" spans="1:5" x14ac:dyDescent="0.15">
      <c r="A176" s="11" t="s">
        <v>184</v>
      </c>
      <c r="B176" s="9" t="str">
        <f>IFERROR(VLOOKUP(表1[[#This Row],[唯一标示]],[1]!表1_83[#Data],2,FALSE),"EN."&amp;表1[[#This Row],[中文]])</f>
        <v>输入兑换码</v>
      </c>
      <c r="C176" s="9" t="str">
        <f>IFERROR(VLOOKUP(表1[[#This Row],[唯一标示]],[1]!表1_83[#Data],4,FALSE),"EN."&amp;表1[[#This Row],[中文]])</f>
        <v>Nhập Giftcode</v>
      </c>
      <c r="D176" s="10" t="str">
        <f>IFERROR(VLOOKUP(表1[[#This Row],[唯一标示]],[1]!表1_83[#Data],3,FALSE),"EN."&amp;表1[[#This Row],[中文]])</f>
        <v>Nhập Giftcode</v>
      </c>
      <c r="E176" s="9" t="str">
        <f>IFERROR(VLOOKUP(表1[[#This Row],[唯一标示]],[1]!表1_83[#Data],5,FALSE),"EN."&amp;表1[[#This Row],[中文]])</f>
        <v>输入兑换码</v>
      </c>
    </row>
    <row r="177" spans="1:5" x14ac:dyDescent="0.15">
      <c r="A177" s="11" t="s">
        <v>185</v>
      </c>
      <c r="B177" s="9" t="str">
        <f>IFERROR(VLOOKUP(表1[[#This Row],[唯一标示]],[1]!表1_83[#Data],2,FALSE),"EN."&amp;表1[[#This Row],[中文]])</f>
        <v>保留账号</v>
      </c>
      <c r="C177" s="9" t="str">
        <f>IFERROR(VLOOKUP(表1[[#This Row],[唯一标示]],[1]!表1_83[#Data],4,FALSE),"EN."&amp;表1[[#This Row],[中文]])</f>
        <v>Lưu mật mã</v>
      </c>
      <c r="D177" s="10" t="str">
        <f>IFERROR(VLOOKUP(表1[[#This Row],[唯一标示]],[1]!表1_83[#Data],3,FALSE),"EN."&amp;表1[[#This Row],[中文]])</f>
        <v>Lưu mật mã</v>
      </c>
      <c r="E177" s="9" t="str">
        <f>IFERROR(VLOOKUP(表1[[#This Row],[唯一标示]],[1]!表1_83[#Data],5,FALSE),"EN."&amp;表1[[#This Row],[中文]])</f>
        <v>保留账号</v>
      </c>
    </row>
    <row r="178" spans="1:5" x14ac:dyDescent="0.15">
      <c r="A178" s="11" t="s">
        <v>186</v>
      </c>
      <c r="B178" s="9" t="str">
        <f>IFERROR(VLOOKUP(表1[[#This Row],[唯一标示]],[1]!表1_83[#Data],2,FALSE),"EN."&amp;表1[[#This Row],[中文]])</f>
        <v>再充钱</v>
      </c>
      <c r="C178" s="9" t="str">
        <f>IFERROR(VLOOKUP(表1[[#This Row],[唯一标示]],[1]!表1_83[#Data],4,FALSE),"EN."&amp;表1[[#This Row],[中文]])</f>
        <v>Nạp lại</v>
      </c>
      <c r="D178" s="10" t="str">
        <f>IFERROR(VLOOKUP(表1[[#This Row],[唯一标示]],[1]!表1_83[#Data],3,FALSE),"EN."&amp;表1[[#This Row],[中文]])</f>
        <v>Nạp lại</v>
      </c>
      <c r="E178" s="9" t="str">
        <f>IFERROR(VLOOKUP(表1[[#This Row],[唯一标示]],[1]!表1_83[#Data],5,FALSE),"EN."&amp;表1[[#This Row],[中文]])</f>
        <v>再充钱</v>
      </c>
    </row>
    <row r="179" spans="1:5" x14ac:dyDescent="0.15">
      <c r="A179" s="11" t="s">
        <v>187</v>
      </c>
      <c r="B179" s="9" t="str">
        <f>IFERROR(VLOOKUP(表1[[#This Row],[唯一标示]],[1]!表1_83[#Data],2,FALSE),"EN."&amp;表1[[#This Row],[中文]])</f>
        <v>15级才能抽奖</v>
      </c>
      <c r="C179" s="9" t="str">
        <f>IFERROR(VLOOKUP(表1[[#This Row],[唯一标示]],[1]!表1_83[#Data],4,FALSE),"EN."&amp;表1[[#This Row],[中文]])</f>
        <v>Cấp 15 mới có thể rút thưởng</v>
      </c>
      <c r="D179" s="10" t="str">
        <f>IFERROR(VLOOKUP(表1[[#This Row],[唯一标示]],[1]!表1_83[#Data],3,FALSE),"EN."&amp;表1[[#This Row],[中文]])</f>
        <v>Cấp 15 mới có thể rút thưởng</v>
      </c>
      <c r="E179" s="9" t="str">
        <f>IFERROR(VLOOKUP(表1[[#This Row],[唯一标示]],[1]!表1_83[#Data],5,FALSE),"EN."&amp;表1[[#This Row],[中文]])</f>
        <v>15级才能抽奖</v>
      </c>
    </row>
    <row r="180" spans="1:5" x14ac:dyDescent="0.15">
      <c r="A180" s="11" t="s">
        <v>188</v>
      </c>
      <c r="B180" s="9" t="str">
        <f>IFERROR(VLOOKUP(表1[[#This Row],[唯一标示]],[1]!表1_83[#Data],2,FALSE),"EN."&amp;表1[[#This Row],[中文]])</f>
        <v>发出邀请或分享后，他人点击进入游戏视为邀请\n包括老玩家，但每个账号每天只会记录1次</v>
      </c>
      <c r="C180" s="9">
        <f>IFERROR(VLOOKUP(表1[[#This Row],[唯一标示]],[1]!表1_83[#Data],4,FALSE),"EN."&amp;表1[[#This Row],[中文]])</f>
        <v>0</v>
      </c>
      <c r="D180" s="10">
        <f>IFERROR(VLOOKUP(表1[[#This Row],[唯一标示]],[1]!表1_83[#Data],3,FALSE),"EN."&amp;表1[[#This Row],[中文]])</f>
        <v>0</v>
      </c>
      <c r="E180" s="9" t="str">
        <f>IFERROR(VLOOKUP(表1[[#This Row],[唯一标示]],[1]!表1_83[#Data],5,FALSE),"EN."&amp;表1[[#This Row],[中文]])</f>
        <v>发出邀请或分享后，他人点击进入游戏视为邀请\n包括老玩家，但每个账号每天只会记录1次</v>
      </c>
    </row>
    <row r="181" spans="1:5" x14ac:dyDescent="0.15">
      <c r="A181" s="9" t="s">
        <v>126</v>
      </c>
      <c r="B181" s="9" t="str">
        <f>IFERROR(VLOOKUP(表1[[#This Row],[唯一标示]],[1]!表1_83[#Data],2,FALSE),"EN."&amp;表1[[#This Row],[中文]])</f>
        <v>连接超时！</v>
      </c>
      <c r="C181" s="9" t="str">
        <f>IFERROR(VLOOKUP(表1[[#This Row],[唯一标示]],[1]!表1_83[#Data],4,FALSE),"EN."&amp;表1[[#This Row],[中文]])</f>
        <v xml:space="preserve">Quá giờ kết nối! </v>
      </c>
      <c r="D181" s="10" t="str">
        <f>IFERROR(VLOOKUP(表1[[#This Row],[唯一标示]],[1]!表1_83[#Data],3,FALSE),"EN."&amp;表1[[#This Row],[中文]])</f>
        <v xml:space="preserve">Quá giờ kết nối! </v>
      </c>
      <c r="E181" s="9" t="str">
        <f>IFERROR(VLOOKUP(表1[[#This Row],[唯一标示]],[1]!表1_83[#Data],5,FALSE),"EN."&amp;表1[[#This Row],[中文]])</f>
        <v>连接超时！</v>
      </c>
    </row>
    <row r="182" spans="1:5" x14ac:dyDescent="0.15">
      <c r="A182" s="9" t="s">
        <v>127</v>
      </c>
      <c r="B182" s="9" t="str">
        <f>IFERROR(VLOOKUP(表1[[#This Row],[唯一标示]],[1]!表1_83[#Data],2,FALSE),"EN."&amp;表1[[#This Row],[中文]])</f>
        <v>连接错误！</v>
      </c>
      <c r="C182" s="9" t="str">
        <f>IFERROR(VLOOKUP(表1[[#This Row],[唯一标示]],[1]!表1_83[#Data],4,FALSE),"EN."&amp;表1[[#This Row],[中文]])</f>
        <v>Kết nối sai!</v>
      </c>
      <c r="D182" s="10" t="str">
        <f>IFERROR(VLOOKUP(表1[[#This Row],[唯一标示]],[1]!表1_83[#Data],3,FALSE),"EN."&amp;表1[[#This Row],[中文]])</f>
        <v>Kết nối sai!</v>
      </c>
      <c r="E182" s="9" t="str">
        <f>IFERROR(VLOOKUP(表1[[#This Row],[唯一标示]],[1]!表1_83[#Data],5,FALSE),"EN."&amp;表1[[#This Row],[中文]])</f>
        <v>连接错误！</v>
      </c>
    </row>
    <row r="183" spans="1:5" x14ac:dyDescent="0.15">
      <c r="A183" s="8" t="s">
        <v>129</v>
      </c>
      <c r="B183" s="9" t="str">
        <f>IFERROR(VLOOKUP(表1[[#This Row],[唯一标示]],[1]!表1_83[#Data],2,FALSE),"EN."&amp;表1[[#This Row],[中文]])</f>
        <v>自动登录中，请稍候。。。</v>
      </c>
      <c r="C183" s="9" t="str">
        <f>IFERROR(VLOOKUP(表1[[#This Row],[唯一标示]],[1]!表1_83[#Data],4,FALSE),"EN."&amp;表1[[#This Row],[中文]])</f>
        <v>Đang tự động đăng nhập, vui lòng đợi...</v>
      </c>
      <c r="D183" s="10" t="str">
        <f>IFERROR(VLOOKUP(表1[[#This Row],[唯一标示]],[1]!表1_83[#Data],3,FALSE),"EN."&amp;表1[[#This Row],[中文]])</f>
        <v>Đang tự động đăng nhập, vui lòng đợi...</v>
      </c>
      <c r="E183" s="9" t="str">
        <f>IFERROR(VLOOKUP(表1[[#This Row],[唯一标示]],[1]!表1_83[#Data],5,FALSE),"EN."&amp;表1[[#This Row],[中文]])</f>
        <v>自动登录中，请稍候。。。</v>
      </c>
    </row>
    <row r="184" spans="1:5" x14ac:dyDescent="0.15">
      <c r="A184" s="8" t="s">
        <v>128</v>
      </c>
      <c r="B184" s="9" t="str">
        <f>IFERROR(VLOOKUP(表1[[#This Row],[唯一标示]],[1]!表1_83[#Data],2,FALSE),"EN."&amp;表1[[#This Row],[中文]])</f>
        <v>正在检查更新：</v>
      </c>
      <c r="C184" s="9" t="str">
        <f>IFERROR(VLOOKUP(表1[[#This Row],[唯一标示]],[1]!表1_83[#Data],4,FALSE),"EN."&amp;表1[[#This Row],[中文]])</f>
        <v>Đang kiểm tra update:</v>
      </c>
      <c r="D184" s="9" t="str">
        <f>IFERROR(VLOOKUP(表1[[#This Row],[唯一标示]],[1]!表1_83[#Data],3,FALSE),"EN."&amp;表1[[#This Row],[中文]])</f>
        <v>Đang kiểm tra update:</v>
      </c>
      <c r="E184" s="9" t="str">
        <f>IFERROR(VLOOKUP(表1[[#This Row],[唯一标示]],[1]!表1_83[#Data],5,FALSE),"EN."&amp;表1[[#This Row],[中文]])</f>
        <v>正在检查更新：</v>
      </c>
    </row>
    <row r="185" spans="1:5" x14ac:dyDescent="0.15">
      <c r="A185" s="8" t="s">
        <v>189</v>
      </c>
      <c r="B185" s="10" t="str">
        <f>IFERROR(VLOOKUP(表1[[#This Row],[唯一标示]],[1]!表1_83[#Data],2,FALSE),"EN."&amp;表1[[#This Row],[中文]])</f>
        <v>(关闭当前窗口也可继续匹配比赛)</v>
      </c>
      <c r="C185" s="10" t="str">
        <f>IFERROR(VLOOKUP(表1[[#This Row],[唯一标示]],[1]!表1_83[#Data],4,FALSE),"EN."&amp;表1[[#This Row],[中文]])</f>
        <v>(Đóng cửa sổ có thể thi đấu tiếp)</v>
      </c>
      <c r="D185" s="10" t="str">
        <f>IFERROR(VLOOKUP(表1[[#This Row],[唯一标示]],[1]!表1_83[#Data],3,FALSE),"EN."&amp;表1[[#This Row],[中文]])</f>
        <v>(Đóng cửa sổ có thể thi đấu tiếp)</v>
      </c>
      <c r="E185" s="10" t="str">
        <f>IFERROR(VLOOKUP(表1[[#This Row],[唯一标示]],[1]!表1_83[#Data],5,FALSE),"EN."&amp;表1[[#This Row],[中文]])</f>
        <v>(关闭当前窗口也可继续匹配比赛)</v>
      </c>
    </row>
    <row r="186" spans="1:5" x14ac:dyDescent="0.15">
      <c r="A186" s="8" t="s">
        <v>191</v>
      </c>
      <c r="B186" s="10" t="str">
        <f>IFERROR(VLOOKUP(表1[[#This Row],[唯一标示]],[1]!表1_83[#Data],2,FALSE),"EN."&amp;表1[[#This Row],[中文]])</f>
        <v>话费奖励</v>
      </c>
      <c r="C186" s="10" t="str">
        <f>IFERROR(VLOOKUP(表1[[#This Row],[唯一标示]],[1]!表1_83[#Data],4,FALSE),"EN."&amp;表1[[#This Row],[中文]])</f>
        <v>Thưởng xếp hạng</v>
      </c>
      <c r="D186" s="10" t="str">
        <f>IFERROR(VLOOKUP(表1[[#This Row],[唯一标示]],[1]!表1_83[#Data],3,FALSE),"EN."&amp;表1[[#This Row],[中文]])</f>
        <v>Thưởng xếp hạng</v>
      </c>
      <c r="E186" s="10" t="str">
        <f>IFERROR(VLOOKUP(表1[[#This Row],[唯一标示]],[1]!表1_83[#Data],5,FALSE),"EN."&amp;表1[[#This Row],[中文]])</f>
        <v>话费奖励</v>
      </c>
    </row>
    <row r="187" spans="1:5" x14ac:dyDescent="0.15">
      <c r="A187" s="8" t="s">
        <v>192</v>
      </c>
      <c r="B187" s="10" t="str">
        <f>IFERROR(VLOOKUP(表1[[#This Row],[唯一标示]],[1]!表1_83[#Data],2,FALSE),"EN."&amp;表1[[#This Row],[中文]])</f>
        <v>陨石精华</v>
      </c>
      <c r="C187" s="10" t="str">
        <f>IFERROR(VLOOKUP(表1[[#This Row],[唯一标示]],[1]!表1_83[#Data],4,FALSE),"EN."&amp;表1[[#This Row],[中文]])</f>
        <v xml:space="preserve">Tinh hoa Thiên thạch </v>
      </c>
      <c r="D187" s="10" t="str">
        <f>IFERROR(VLOOKUP(表1[[#This Row],[唯一标示]],[1]!表1_83[#Data],3,FALSE),"EN."&amp;表1[[#This Row],[中文]])</f>
        <v xml:space="preserve">Tinh hoa Thiên thạch </v>
      </c>
      <c r="E187" s="10" t="str">
        <f>IFERROR(VLOOKUP(表1[[#This Row],[唯一标示]],[1]!表1_83[#Data],5,FALSE),"EN."&amp;表1[[#This Row],[中文]])</f>
        <v>陨石精华</v>
      </c>
    </row>
    <row r="188" spans="1:5" x14ac:dyDescent="0.15">
      <c r="A188" s="8" t="s">
        <v>194</v>
      </c>
      <c r="B188" s="10" t="str">
        <f>IFERROR(VLOOKUP(表1[[#This Row],[唯一标示]],[1]!表1_83[#Data],2,FALSE),"EN."&amp;表1[[#This Row],[中文]])</f>
        <v>每日0点更新排名奖励</v>
      </c>
      <c r="C188" s="10" t="str">
        <f>IFERROR(VLOOKUP(表1[[#This Row],[唯一标示]],[1]!表1_83[#Data],4,FALSE),"EN."&amp;表1[[#This Row],[中文]])</f>
        <v>Làm mới vào 00:00</v>
      </c>
      <c r="D188" s="10" t="str">
        <f>IFERROR(VLOOKUP(表1[[#This Row],[唯一标示]],[1]!表1_83[#Data],3,FALSE),"EN."&amp;表1[[#This Row],[中文]])</f>
        <v>Làm mới vào 00:00</v>
      </c>
      <c r="E188" s="10" t="str">
        <f>IFERROR(VLOOKUP(表1[[#This Row],[唯一标示]],[1]!表1_83[#Data],5,FALSE),"EN."&amp;表1[[#This Row],[中文]])</f>
        <v>每日0点更新排名奖励</v>
      </c>
    </row>
    <row r="189" spans="1:5" x14ac:dyDescent="0.15">
      <c r="A189" s="8" t="s">
        <v>198</v>
      </c>
      <c r="B189" s="10" t="str">
        <f>IFERROR(VLOOKUP(表1[[#This Row],[唯一标示]],[1]!表1_83[#Data],2,FALSE),"EN."&amp;表1[[#This Row],[中文]])</f>
        <v>敬请期待</v>
      </c>
      <c r="C189" s="10" t="str">
        <f>IFERROR(VLOOKUP(表1[[#This Row],[唯一标示]],[1]!表1_83[#Data],4,FALSE),"EN."&amp;表1[[#This Row],[中文]])</f>
        <v>Vui lòng đợi</v>
      </c>
      <c r="D189" s="10" t="str">
        <f>IFERROR(VLOOKUP(表1[[#This Row],[唯一标示]],[1]!表1_83[#Data],3,FALSE),"EN."&amp;表1[[#This Row],[中文]])</f>
        <v>Vui lòng đợi</v>
      </c>
      <c r="E189" s="10" t="str">
        <f>IFERROR(VLOOKUP(表1[[#This Row],[唯一标示]],[1]!表1_83[#Data],5,FALSE),"EN."&amp;表1[[#This Row],[中文]])</f>
        <v>敬请期待</v>
      </c>
    </row>
    <row r="190" spans="1:5" x14ac:dyDescent="0.15">
      <c r="A190" s="8" t="s">
        <v>199</v>
      </c>
      <c r="B190" s="10" t="str">
        <f>IFERROR(VLOOKUP(表1[[#This Row],[唯一标示]],[1]!表1_83[#Data],2,FALSE),"EN."&amp;表1[[#This Row],[中文]])</f>
        <v>售价</v>
      </c>
      <c r="C190" s="10" t="str">
        <f>IFERROR(VLOOKUP(表1[[#This Row],[唯一标示]],[1]!表1_83[#Data],4,FALSE),"EN."&amp;表1[[#This Row],[中文]])</f>
        <v xml:space="preserve">Giá bán </v>
      </c>
      <c r="D190" s="10" t="str">
        <f>IFERROR(VLOOKUP(表1[[#This Row],[唯一标示]],[1]!表1_83[#Data],3,FALSE),"EN."&amp;表1[[#This Row],[中文]])</f>
        <v xml:space="preserve">Giá bán </v>
      </c>
      <c r="E190" s="10" t="str">
        <f>IFERROR(VLOOKUP(表1[[#This Row],[唯一标示]],[1]!表1_83[#Data],5,FALSE),"EN."&amp;表1[[#This Row],[中文]])</f>
        <v>售价</v>
      </c>
    </row>
    <row r="191" spans="1:5" x14ac:dyDescent="0.15">
      <c r="A191" s="8" t="s">
        <v>203</v>
      </c>
      <c r="B191" s="10" t="str">
        <f>IFERROR(VLOOKUP(表1[[#This Row],[唯一标示]],[1]!表1_83[#Data],2,FALSE),"EN."&amp;表1[[#This Row],[中文]])</f>
        <v>重新投票</v>
      </c>
      <c r="C191" s="10" t="str">
        <f>IFERROR(VLOOKUP(表1[[#This Row],[唯一标示]],[1]!表1_83[#Data],4,FALSE),"EN."&amp;表1[[#This Row],[中文]])</f>
        <v xml:space="preserve">Bỏ phiếu lại </v>
      </c>
      <c r="D191" s="10" t="str">
        <f>IFERROR(VLOOKUP(表1[[#This Row],[唯一标示]],[1]!表1_83[#Data],3,FALSE),"EN."&amp;表1[[#This Row],[中文]])</f>
        <v xml:space="preserve">Bỏ phiếu lại </v>
      </c>
      <c r="E191" s="10" t="str">
        <f>IFERROR(VLOOKUP(表1[[#This Row],[唯一标示]],[1]!表1_83[#Data],5,FALSE),"EN."&amp;表1[[#This Row],[中文]])</f>
        <v>重新投票</v>
      </c>
    </row>
    <row r="192" spans="1:5" x14ac:dyDescent="0.15">
      <c r="A192" s="8" t="s">
        <v>204</v>
      </c>
      <c r="B192" s="10" t="str">
        <f>IFERROR(VLOOKUP(表1[[#This Row],[唯一标示]],[1]!表1_83[#Data],2,FALSE),"EN."&amp;表1[[#This Row],[中文]])</f>
        <v>升阶碎片</v>
      </c>
      <c r="C192" s="10" t="str">
        <f>IFERROR(VLOOKUP(表1[[#This Row],[唯一标示]],[1]!表1_83[#Data],4,FALSE),"EN."&amp;表1[[#This Row],[中文]])</f>
        <v>Phân mảnh</v>
      </c>
      <c r="D192" s="10" t="str">
        <f>IFERROR(VLOOKUP(表1[[#This Row],[唯一标示]],[1]!表1_83[#Data],3,FALSE),"EN."&amp;表1[[#This Row],[中文]])</f>
        <v>Phân mảnh</v>
      </c>
      <c r="E192" s="10" t="str">
        <f>IFERROR(VLOOKUP(表1[[#This Row],[唯一标示]],[1]!表1_83[#Data],5,FALSE),"EN."&amp;表1[[#This Row],[中文]])</f>
        <v>升阶碎片</v>
      </c>
    </row>
    <row r="193" spans="1:5" x14ac:dyDescent="0.15">
      <c r="A193" s="8" t="s">
        <v>207</v>
      </c>
      <c r="B193" s="10" t="str">
        <f>IFERROR(VLOOKUP(表1[[#This Row],[唯一标示]],[1]!表1_83[#Data],2,FALSE),"EN."&amp;表1[[#This Row],[中文]])</f>
        <v xml:space="preserve"> </v>
      </c>
      <c r="C193" s="10" t="str">
        <f>IFERROR(VLOOKUP(表1[[#This Row],[唯一标示]],[1]!表1_83[#Data],4,FALSE),"EN."&amp;表1[[#This Row],[中文]])</f>
        <v xml:space="preserve"> </v>
      </c>
      <c r="D193" s="10" t="str">
        <f>IFERROR(VLOOKUP(表1[[#This Row],[唯一标示]],[1]!表1_83[#Data],3,FALSE),"EN."&amp;表1[[#This Row],[中文]])</f>
        <v xml:space="preserve"> </v>
      </c>
      <c r="E193" s="10" t="str">
        <f>IFERROR(VLOOKUP(表1[[#This Row],[唯一标示]],[1]!表1_83[#Data],5,FALSE),"EN."&amp;表1[[#This Row],[中文]])</f>
        <v xml:space="preserve"> </v>
      </c>
    </row>
    <row r="194" spans="1:5" x14ac:dyDescent="0.15">
      <c r="A194" s="8" t="s">
        <v>208</v>
      </c>
      <c r="B194" s="10" t="str">
        <f>IFERROR(VLOOKUP(表1[[#This Row],[唯一标示]],[1]!表1_83[#Data],2,FALSE),"EN."&amp;表1[[#This Row],[中文]])</f>
        <v>倍率</v>
      </c>
      <c r="C194" s="10" t="str">
        <f>IFERROR(VLOOKUP(表1[[#This Row],[唯一标示]],[1]!表1_83[#Data],4,FALSE),"EN."&amp;表1[[#This Row],[中文]])</f>
        <v xml:space="preserve">Tỷ lệ trả thưởng </v>
      </c>
      <c r="D194" s="10" t="str">
        <f>IFERROR(VLOOKUP(表1[[#This Row],[唯一标示]],[1]!表1_83[#Data],3,FALSE),"EN."&amp;表1[[#This Row],[中文]])</f>
        <v xml:space="preserve">Tỷ lệ trả thưởng </v>
      </c>
      <c r="E194" s="10" t="str">
        <f>IFERROR(VLOOKUP(表1[[#This Row],[唯一标示]],[1]!表1_83[#Data],5,FALSE),"EN."&amp;表1[[#This Row],[中文]])</f>
        <v>倍率</v>
      </c>
    </row>
    <row r="195" spans="1:5" x14ac:dyDescent="0.15">
      <c r="A195" s="8" t="s">
        <v>206</v>
      </c>
      <c r="B195" s="10" t="str">
        <f>IFERROR(VLOOKUP(表1[[#This Row],[唯一标示]],[1]!表1_83[#Data],2,FALSE),"EN."&amp;表1[[#This Row],[中文]])</f>
        <v>魅力</v>
      </c>
      <c r="C195" s="10" t="str">
        <f>IFERROR(VLOOKUP(表1[[#This Row],[唯一标示]],[1]!表1_83[#Data],4,FALSE),"EN."&amp;表1[[#This Row],[中文]])</f>
        <v xml:space="preserve">Mị lực </v>
      </c>
      <c r="D195" s="10" t="str">
        <f>IFERROR(VLOOKUP(表1[[#This Row],[唯一标示]],[1]!表1_83[#Data],3,FALSE),"EN."&amp;表1[[#This Row],[中文]])</f>
        <v xml:space="preserve">Mị lực </v>
      </c>
      <c r="E195" s="10" t="str">
        <f>IFERROR(VLOOKUP(表1[[#This Row],[唯一标示]],[1]!表1_83[#Data],5,FALSE),"EN."&amp;表1[[#This Row],[中文]])</f>
        <v>魅力</v>
      </c>
    </row>
    <row r="196" spans="1:5" x14ac:dyDescent="0.15">
      <c r="A196" s="8" t="s">
        <v>209</v>
      </c>
      <c r="B196" s="10" t="str">
        <f>IFERROR(VLOOKUP(表1[[#This Row],[唯一标示]],[1]!表1_83[#Data],2,FALSE),"EN."&amp;表1[[#This Row],[中文]])</f>
        <v>奖励翻倍</v>
      </c>
      <c r="C196" s="10" t="str">
        <f>IFERROR(VLOOKUP(表1[[#This Row],[唯一标示]],[1]!表1_83[#Data],4,FALSE),"EN."&amp;表1[[#This Row],[中文]])</f>
        <v>Giải thưởng x2</v>
      </c>
      <c r="D196" s="10" t="str">
        <f>IFERROR(VLOOKUP(表1[[#This Row],[唯一标示]],[1]!表1_83[#Data],3,FALSE),"EN."&amp;表1[[#This Row],[中文]])</f>
        <v>Giải thưởng x2</v>
      </c>
      <c r="E196" s="10" t="str">
        <f>IFERROR(VLOOKUP(表1[[#This Row],[唯一标示]],[1]!表1_83[#Data],5,FALSE),"EN."&amp;表1[[#This Row],[中文]])</f>
        <v>奖励翻倍</v>
      </c>
    </row>
    <row r="197" spans="1:5" x14ac:dyDescent="0.15">
      <c r="A197" s="8" t="s">
        <v>211</v>
      </c>
      <c r="B197" s="10" t="str">
        <f>IFERROR(VLOOKUP(表1[[#This Row],[唯一标示]],[1]!表1_83[#Data],2,FALSE),"EN."&amp;表1[[#This Row],[中文]])</f>
        <v>提示:高级场景的小游戏奖励更高</v>
      </c>
      <c r="C197" s="10" t="str">
        <f>IFERROR(VLOOKUP(表1[[#This Row],[唯一标示]],[1]!表1_83[#Data],4,FALSE),"EN."&amp;表1[[#This Row],[中文]])</f>
        <v>Nhắc: Game mini tại các phòng cao cấp sẽ có phần thưởng cao hơn.</v>
      </c>
      <c r="D197" s="10" t="str">
        <f>IFERROR(VLOOKUP(表1[[#This Row],[唯一标示]],[1]!表1_83[#Data],3,FALSE),"EN."&amp;表1[[#This Row],[中文]])</f>
        <v>Nhắc: Game mini tại các phòng cao cấp sẽ có phần thưởng cao hơn.</v>
      </c>
      <c r="E197" s="10" t="str">
        <f>IFERROR(VLOOKUP(表1[[#This Row],[唯一标示]],[1]!表1_83[#Data],5,FALSE),"EN."&amp;表1[[#This Row],[中文]])</f>
        <v>提示:高级场景的小游戏奖励更高</v>
      </c>
    </row>
    <row r="198" spans="1:5" x14ac:dyDescent="0.15">
      <c r="A198" s="8" t="s">
        <v>212</v>
      </c>
      <c r="B198" s="10" t="str">
        <f>IFERROR(VLOOKUP(表1[[#This Row],[唯一标示]],[1]!表1_83[#Data],2,FALSE),"EN."&amp;表1[[#This Row],[中文]])</f>
        <v>时间+3秒</v>
      </c>
      <c r="C198" s="10" t="str">
        <f>IFERROR(VLOOKUP(表1[[#This Row],[唯一标示]],[1]!表1_83[#Data],4,FALSE),"EN."&amp;表1[[#This Row],[中文]])</f>
        <v>Thời gian +3 giây</v>
      </c>
      <c r="D198" s="10" t="str">
        <f>IFERROR(VLOOKUP(表1[[#This Row],[唯一标示]],[1]!表1_83[#Data],3,FALSE),"EN."&amp;表1[[#This Row],[中文]])</f>
        <v>Thời gian +3 giây</v>
      </c>
      <c r="E198" s="10" t="str">
        <f>IFERROR(VLOOKUP(表1[[#This Row],[唯一标示]],[1]!表1_83[#Data],5,FALSE),"EN."&amp;表1[[#This Row],[中文]])</f>
        <v>时间+3秒</v>
      </c>
    </row>
    <row r="199" spans="1:5" x14ac:dyDescent="0.15">
      <c r="A199" s="8" t="s">
        <v>213</v>
      </c>
      <c r="B199" s="10" t="str">
        <f>IFERROR(VLOOKUP(表1[[#This Row],[唯一标示]],[1]!表1_83[#Data],2,FALSE),"EN."&amp;表1[[#This Row],[中文]])</f>
        <v>速度+50%</v>
      </c>
      <c r="C199" s="10" t="str">
        <f>IFERROR(VLOOKUP(表1[[#This Row],[唯一标示]],[1]!表1_83[#Data],4,FALSE),"EN."&amp;表1[[#This Row],[中文]])</f>
        <v>Tốc độ +50%</v>
      </c>
      <c r="D199" s="10" t="str">
        <f>IFERROR(VLOOKUP(表1[[#This Row],[唯一标示]],[1]!表1_83[#Data],3,FALSE),"EN."&amp;表1[[#This Row],[中文]])</f>
        <v>Tốc độ +50%</v>
      </c>
      <c r="E199" s="10" t="str">
        <f>IFERROR(VLOOKUP(表1[[#This Row],[唯一标示]],[1]!表1_83[#Data],5,FALSE),"EN."&amp;表1[[#This Row],[中文]])</f>
        <v>速度+50%</v>
      </c>
    </row>
    <row r="200" spans="1:5" x14ac:dyDescent="0.15">
      <c r="A200" s="8" t="s">
        <v>216</v>
      </c>
      <c r="B200" s="10" t="str">
        <f>IFERROR(VLOOKUP(表1[[#This Row],[唯一标示]],[1]!表1_83[#Data],2,FALSE),"EN."&amp;表1[[#This Row],[中文]])</f>
        <v xml:space="preserve"> +100分</v>
      </c>
      <c r="C200" s="10" t="str">
        <f>IFERROR(VLOOKUP(表1[[#This Row],[唯一标示]],[1]!表1_83[#Data],4,FALSE),"EN."&amp;表1[[#This Row],[中文]])</f>
        <v xml:space="preserve"> +100 điểm</v>
      </c>
      <c r="D200" s="10" t="str">
        <f>IFERROR(VLOOKUP(表1[[#This Row],[唯一标示]],[1]!表1_83[#Data],3,FALSE),"EN."&amp;表1[[#This Row],[中文]])</f>
        <v xml:space="preserve"> +100 điểm</v>
      </c>
      <c r="E200" s="10" t="str">
        <f>IFERROR(VLOOKUP(表1[[#This Row],[唯一标示]],[1]!表1_83[#Data],5,FALSE),"EN."&amp;表1[[#This Row],[中文]])</f>
        <v xml:space="preserve"> +100分</v>
      </c>
    </row>
    <row r="201" spans="1:5" x14ac:dyDescent="0.15">
      <c r="A201" s="8" t="s">
        <v>215</v>
      </c>
      <c r="B201" s="10" t="str">
        <f>IFERROR(VLOOKUP(表1[[#This Row],[唯一标示]],[1]!表1_83[#Data],2,FALSE),"EN."&amp;表1[[#This Row],[中文]])</f>
        <v xml:space="preserve"> -500分</v>
      </c>
      <c r="C201" s="10" t="str">
        <f>IFERROR(VLOOKUP(表1[[#This Row],[唯一标示]],[1]!表1_83[#Data],4,FALSE),"EN."&amp;表1[[#This Row],[中文]])</f>
        <v xml:space="preserve"> -500 điểm</v>
      </c>
      <c r="D201" s="10" t="str">
        <f>IFERROR(VLOOKUP(表1[[#This Row],[唯一标示]],[1]!表1_83[#Data],3,FALSE),"EN."&amp;表1[[#This Row],[中文]])</f>
        <v xml:space="preserve"> -500 điểm</v>
      </c>
      <c r="E201" s="10" t="str">
        <f>IFERROR(VLOOKUP(表1[[#This Row],[唯一标示]],[1]!表1_83[#Data],5,FALSE),"EN."&amp;表1[[#This Row],[中文]])</f>
        <v xml:space="preserve"> -500分</v>
      </c>
    </row>
    <row r="202" spans="1:5" x14ac:dyDescent="0.15">
      <c r="A202" s="8" t="s">
        <v>217</v>
      </c>
      <c r="B202" s="10" t="str">
        <f>IFERROR(VLOOKUP(表1[[#This Row],[唯一标示]],[1]!表1_83[#Data],2,FALSE),"EN."&amp;表1[[#This Row],[中文]])</f>
        <v>解锁/升级成功</v>
      </c>
      <c r="C202" s="10" t="str">
        <f>IFERROR(VLOOKUP(表1[[#This Row],[唯一标示]],[1]!表1_83[#Data],4,FALSE),"EN."&amp;表1[[#This Row],[中文]])</f>
        <v>Thành công</v>
      </c>
      <c r="D202" s="10" t="str">
        <f>IFERROR(VLOOKUP(表1[[#This Row],[唯一标示]],[1]!表1_83[#Data],3,FALSE),"EN."&amp;表1[[#This Row],[中文]])</f>
        <v>Thành công</v>
      </c>
      <c r="E202" s="10" t="str">
        <f>IFERROR(VLOOKUP(表1[[#This Row],[唯一标示]],[1]!表1_83[#Data],5,FALSE),"EN."&amp;表1[[#This Row],[中文]])</f>
        <v>解锁/升级成功</v>
      </c>
    </row>
    <row r="203" spans="1:5" x14ac:dyDescent="0.15">
      <c r="A203" s="8" t="s">
        <v>218</v>
      </c>
      <c r="B203" s="10" t="str">
        <f>IFERROR(VLOOKUP(表1[[#This Row],[唯一标示]],[1]!表1_83[#Data],2,FALSE),"EN."&amp;表1[[#This Row],[中文]])</f>
        <v>获得更多</v>
      </c>
      <c r="C203" s="10" t="str">
        <f>IFERROR(VLOOKUP(表1[[#This Row],[唯一标示]],[1]!表1_83[#Data],4,FALSE),"EN."&amp;表1[[#This Row],[中文]])</f>
        <v>Nhận thêm</v>
      </c>
      <c r="D203" s="10" t="str">
        <f>IFERROR(VLOOKUP(表1[[#This Row],[唯一标示]],[1]!表1_83[#Data],3,FALSE),"EN."&amp;表1[[#This Row],[中文]])</f>
        <v>Nhận thêm</v>
      </c>
      <c r="E203" s="10" t="str">
        <f>IFERROR(VLOOKUP(表1[[#This Row],[唯一标示]],[1]!表1_83[#Data],5,FALSE),"EN."&amp;表1[[#This Row],[中文]])</f>
        <v>获得更多</v>
      </c>
    </row>
    <row r="204" spans="1:5" x14ac:dyDescent="0.15">
      <c r="A204" s="8" t="s">
        <v>219</v>
      </c>
      <c r="B204" s="10" t="str">
        <f>IFERROR(VLOOKUP(表1[[#This Row],[唯一标示]],[1]!表1_83[#Data],2,FALSE),"EN."&amp;表1[[#This Row],[中文]])</f>
        <v>当前拥有话费券</v>
      </c>
      <c r="C204" s="10" t="str">
        <f>IFERROR(VLOOKUP(表1[[#This Row],[唯一标示]],[1]!表1_83[#Data],4,FALSE),"EN."&amp;表1[[#This Row],[中文]])</f>
        <v>Phiếu quà đang có</v>
      </c>
      <c r="D204" s="10" t="str">
        <f>IFERROR(VLOOKUP(表1[[#This Row],[唯一标示]],[1]!表1_83[#Data],3,FALSE),"EN."&amp;表1[[#This Row],[中文]])</f>
        <v>Phiếu quà đang có</v>
      </c>
      <c r="E204" s="10" t="str">
        <f>IFERROR(VLOOKUP(表1[[#This Row],[唯一标示]],[1]!表1_83[#Data],5,FALSE),"EN."&amp;表1[[#This Row],[中文]])</f>
        <v>当前拥有话费券</v>
      </c>
    </row>
    <row r="205" spans="1:5" x14ac:dyDescent="0.15">
      <c r="A205" s="8" t="s">
        <v>220</v>
      </c>
      <c r="B205" s="10" t="str">
        <f>IFERROR(VLOOKUP(表1[[#This Row],[唯一标示]],[1]!表1_83[#Data],2,FALSE),"EN."&amp;表1[[#This Row],[中文]])</f>
        <v>输入兑换码</v>
      </c>
      <c r="C205" s="10" t="str">
        <f>IFERROR(VLOOKUP(表1[[#This Row],[唯一标示]],[1]!表1_83[#Data],4,FALSE),"EN."&amp;表1[[#This Row],[中文]])</f>
        <v>Nhập Giftcode</v>
      </c>
      <c r="D205" s="10" t="str">
        <f>IFERROR(VLOOKUP(表1[[#This Row],[唯一标示]],[1]!表1_83[#Data],3,FALSE),"EN."&amp;表1[[#This Row],[中文]])</f>
        <v>Nhập Giftcode</v>
      </c>
      <c r="E205" s="10" t="str">
        <f>IFERROR(VLOOKUP(表1[[#This Row],[唯一标示]],[1]!表1_83[#Data],5,FALSE),"EN."&amp;表1[[#This Row],[中文]])</f>
        <v>输入兑换码</v>
      </c>
    </row>
    <row r="206" spans="1:5" x14ac:dyDescent="0.15">
      <c r="A206" s="8" t="s">
        <v>221</v>
      </c>
      <c r="B206" s="10" t="str">
        <f>IFERROR(VLOOKUP(表1[[#This Row],[唯一标示]],[1]!表1_83[#Data],2,FALSE),"EN."&amp;表1[[#This Row],[中文]])</f>
        <v>兑换</v>
      </c>
      <c r="C206" s="10" t="str">
        <f>IFERROR(VLOOKUP(表1[[#This Row],[唯一标示]],[1]!表1_83[#Data],4,FALSE),"EN."&amp;表1[[#This Row],[中文]])</f>
        <v>Xác nhận</v>
      </c>
      <c r="D206" s="10" t="str">
        <f>IFERROR(VLOOKUP(表1[[#This Row],[唯一标示]],[1]!表1_83[#Data],3,FALSE),"EN."&amp;表1[[#This Row],[中文]])</f>
        <v>Xác nhận</v>
      </c>
      <c r="E206" s="10" t="str">
        <f>IFERROR(VLOOKUP(表1[[#This Row],[唯一标示]],[1]!表1_83[#Data],5,FALSE),"EN."&amp;表1[[#This Row],[中文]])</f>
        <v>兑换</v>
      </c>
    </row>
    <row r="207" spans="1:5" x14ac:dyDescent="0.15">
      <c r="A207" s="8" t="s">
        <v>223</v>
      </c>
      <c r="B207" s="10" t="str">
        <f>IFERROR(VLOOKUP(表1[[#This Row],[唯一标示]],[1]!表1_83[#Data],2,FALSE),"EN."&amp;表1[[#This Row],[中文]])</f>
        <v>获取礼包码</v>
      </c>
      <c r="C207" s="10" t="str">
        <f>IFERROR(VLOOKUP(表1[[#This Row],[唯一标示]],[1]!表1_83[#Data],4,FALSE),"EN."&amp;表1[[#This Row],[中文]])</f>
        <v>Nhận CODE</v>
      </c>
      <c r="D207" s="10" t="str">
        <f>IFERROR(VLOOKUP(表1[[#This Row],[唯一标示]],[1]!表1_83[#Data],3,FALSE),"EN."&amp;表1[[#This Row],[中文]])</f>
        <v>Nhận CODE</v>
      </c>
      <c r="E207" s="10" t="str">
        <f>IFERROR(VLOOKUP(表1[[#This Row],[唯一标示]],[1]!表1_83[#Data],5,FALSE),"EN."&amp;表1[[#This Row],[中文]])</f>
        <v>获取礼包码</v>
      </c>
    </row>
    <row r="208" spans="1:5" x14ac:dyDescent="0.15">
      <c r="A208" s="8" t="s">
        <v>222</v>
      </c>
      <c r="B208" s="10" t="str">
        <f>IFERROR(VLOOKUP(表1[[#This Row],[唯一标示]],[1]!表1_83[#Data],2,FALSE),"EN."&amp;表1[[#This Row],[中文]])</f>
        <v>充值</v>
      </c>
      <c r="C208" s="10" t="str">
        <f>IFERROR(VLOOKUP(表1[[#This Row],[唯一标示]],[1]!表1_83[#Data],4,FALSE),"EN."&amp;表1[[#This Row],[中文]])</f>
        <v xml:space="preserve">Xác nhận </v>
      </c>
      <c r="D208" s="10" t="str">
        <f>IFERROR(VLOOKUP(表1[[#This Row],[唯一标示]],[1]!表1_83[#Data],3,FALSE),"EN."&amp;表1[[#This Row],[中文]])</f>
        <v xml:space="preserve">Xác nhận </v>
      </c>
      <c r="E208" s="10" t="str">
        <f>IFERROR(VLOOKUP(表1[[#This Row],[唯一标示]],[1]!表1_83[#Data],5,FALSE),"EN."&amp;表1[[#This Row],[中文]])</f>
        <v>充值</v>
      </c>
    </row>
    <row r="209" spans="1:5" x14ac:dyDescent="0.15">
      <c r="A209" s="8" t="s">
        <v>226</v>
      </c>
      <c r="B209" s="10" t="str">
        <f>IFERROR(VLOOKUP(表1[[#This Row],[唯一标示]],[1]!表1_83[#Data],2,FALSE),"EN."&amp;表1[[#This Row],[中文]])</f>
        <v>活动倒计时</v>
      </c>
      <c r="C209" s="10" t="str">
        <f>IFERROR(VLOOKUP(表1[[#This Row],[唯一标示]],[1]!表1_83[#Data],4,FALSE),"EN."&amp;表1[[#This Row],[中文]])</f>
        <v>Hoạt động đếm ngược</v>
      </c>
      <c r="D209" s="10" t="str">
        <f>IFERROR(VLOOKUP(表1[[#This Row],[唯一标示]],[1]!表1_83[#Data],3,FALSE),"EN."&amp;表1[[#This Row],[中文]])</f>
        <v>Hoạt động đếm ngược</v>
      </c>
      <c r="E209" s="10" t="str">
        <f>IFERROR(VLOOKUP(表1[[#This Row],[唯一标示]],[1]!表1_83[#Data],5,FALSE),"EN."&amp;表1[[#This Row],[中文]])</f>
        <v>活动倒计时</v>
      </c>
    </row>
  </sheetData>
  <phoneticPr fontId="2" type="noConversion"/>
  <conditionalFormatting sqref="A1:A1048576">
    <cfRule type="duplicateValues" dxfId="6" priority="10"/>
  </conditionalFormatting>
  <pageMargins left="0.69930555555555596" right="0.69930555555555596" top="0.75" bottom="0.75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description</vt:lpstr>
      <vt:lpstr>string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seed</dc:creator>
  <cp:lastModifiedBy>china</cp:lastModifiedBy>
  <cp:lastPrinted>2016-03-25T01:45:00Z</cp:lastPrinted>
  <dcterms:created xsi:type="dcterms:W3CDTF">2014-05-14T18:22:00Z</dcterms:created>
  <dcterms:modified xsi:type="dcterms:W3CDTF">2018-04-28T05:43:59Z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2052-10.1.0.6930</vt:lpwstr>
  </property>
</Properties>
</file>